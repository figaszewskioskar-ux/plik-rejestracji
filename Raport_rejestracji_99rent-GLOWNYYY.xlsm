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1.xml.rels" ContentType="application/vnd.openxmlformats-package.relationships+xml"/>
  <Override PartName="/xl/worksheets/_rels/sheet5.xml.rels" ContentType="application/vnd.openxmlformats-package.relationships+xml"/>
  <Override PartName="/xl/worksheets/_rels/sheet10.xml.rels" ContentType="application/vnd.openxmlformats-package.relationships+xml"/>
  <Override PartName="/xl/worksheets/_rels/sheet4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15.xml" ContentType="application/vnd.ms-excel.controlproperties+xml"/>
  <Override PartName="/xl/ctrlProps/ctrlProps9.xml" ContentType="application/vnd.ms-excel.controlproperties+xml"/>
  <Override PartName="/xl/ctrlProps/ctrlProps20.xml" ContentType="application/vnd.ms-excel.controlproperties+xml"/>
  <Override PartName="/xl/ctrlProps/ctrlProps25.xml" ContentType="application/vnd.ms-excel.controlproperties+xml"/>
  <Override PartName="/xl/ctrlProps/ctrlProps4.xml" ContentType="application/vnd.ms-excel.controlproperties+xml"/>
  <Override PartName="/xl/ctrlProps/ctrlProps23.xml" ContentType="application/vnd.ms-excel.controlproperties+xml"/>
  <Override PartName="/xl/ctrlProps/ctrlProps2.xml" ContentType="application/vnd.ms-excel.controlproperties+xml"/>
  <Override PartName="/xl/ctrlProps/ctrlProps11.xml" ContentType="application/vnd.ms-excel.controlproperties+xml"/>
  <Override PartName="/xl/ctrlProps/ctrlProps19.xml" ContentType="application/vnd.ms-excel.controlproperties+xml"/>
  <Override PartName="/xl/ctrlProps/ctrlProps3.xml" ContentType="application/vnd.ms-excel.controlproperties+xml"/>
  <Override PartName="/xl/ctrlProps/ctrlProps12.xml" ContentType="application/vnd.ms-excel.controlproperties+xml"/>
  <Override PartName="/xl/ctrlProps/ctrlProps5.xml" ContentType="application/vnd.ms-excel.controlproperties+xml"/>
  <Override PartName="/xl/ctrlProps/ctrlProps14.xml" ContentType="application/vnd.ms-excel.controlproperties+xml"/>
  <Override PartName="/xl/ctrlProps/ctrlProps7.xml" ContentType="application/vnd.ms-excel.controlproperties+xml"/>
  <Override PartName="/xl/ctrlProps/ctrlProps16.xml" ContentType="application/vnd.ms-excel.controlproperties+xml"/>
  <Override PartName="/xl/ctrlProps/ctrlProps17.xml" ContentType="application/vnd.ms-excel.controlproperties+xml"/>
  <Override PartName="/xl/ctrlProps/ctrlProps8.xml" ContentType="application/vnd.ms-excel.controlproperties+xml"/>
  <Override PartName="/xl/drawings/vmlDrawing6.vml" ContentType="application/vnd.openxmlformats-officedocument.vmlDrawing"/>
  <Override PartName="/xl/drawings/drawing21.xml" ContentType="application/vnd.openxmlformats-officedocument.drawing+xml"/>
  <Override PartName="/xl/drawings/vmlDrawing5.vml" ContentType="application/vnd.openxmlformats-officedocument.vmlDrawing"/>
  <Override PartName="/xl/drawings/drawing6.xml" ContentType="application/vnd.openxmlformats-officedocument.drawing+xml"/>
  <Override PartName="/xl/drawings/drawing27.xml" ContentType="application/vnd.openxmlformats-officedocument.drawing+xml"/>
  <Override PartName="/xl/drawings/drawing26.xml" ContentType="application/vnd.openxmlformats-officedocument.drawing+xml"/>
  <Override PartName="/xl/drawings/vmlDrawing7.vml" ContentType="application/vnd.openxmlformats-officedocument.vmlDrawing"/>
  <Override PartName="/xl/drawings/drawing24.xml" ContentType="application/vnd.openxmlformats-officedocument.drawing+xml"/>
  <Override PartName="/xl/drawings/drawing18.xml" ContentType="application/vnd.openxmlformats-officedocument.drawing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2.xml" ContentType="application/vnd.openxmlformats-officedocument.drawing+xml"/>
  <Override PartName="/xl/drawings/_rels/drawing24.xml.rels" ContentType="application/vnd.openxmlformats-package.relationships+xml"/>
  <Override PartName="/xl/drawings/_rels/drawing18.xml.rels" ContentType="application/vnd.openxmlformats-package.relationships+xml"/>
  <Override PartName="/xl/drawings/_rels/drawing1.xml.rels" ContentType="application/vnd.openxmlformats-package.relationships+xml"/>
  <Override PartName="/xl/drawings/_rels/drawing10.xml.rels" ContentType="application/vnd.openxmlformats-package.relationships+xml"/>
  <Override PartName="/xl/drawings/_rels/drawing22.xml.rels" ContentType="application/vnd.openxmlformats-package.relationships+xml"/>
  <Override PartName="/xl/drawings/_rels/drawing13.xml.rels" ContentType="application/vnd.openxmlformats-package.relationships+xml"/>
  <Override PartName="/xl/drawings/_rels/drawing6.xml.rels" ContentType="application/vnd.openxmlformats-package.relationships+xml"/>
  <Override PartName="/xl/drawings/_rels/drawing21.xml.rels" ContentType="application/vnd.openxmlformats-package.relationships+xml"/>
  <Override PartName="/xl/drawings/vmlDrawing2.vml" ContentType="application/vnd.openxmlformats-officedocument.vmlDrawing"/>
  <Override PartName="/xl/drawings/vmlDrawing3.vml" ContentType="application/vnd.openxmlformats-officedocument.vmlDrawing"/>
  <Override PartName="/xl/drawings/drawing13.xml" ContentType="application/vnd.openxmlformats-officedocument.drawing+xml"/>
  <Override PartName="/xl/drawings/vmlDrawing4.vml" ContentType="application/vnd.openxmlformats-officedocument.vmlDrawing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comments4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ULPIT" sheetId="1" state="visible" r:id="rId4"/>
    <sheet name="W rejestracji" sheetId="2" state="visible" r:id="rId5"/>
    <sheet name="Import hurtowy" sheetId="3" state="visible" r:id="rId6"/>
    <sheet name="Zarejestrowane" sheetId="4" state="visible" r:id="rId7"/>
    <sheet name="PODSUMOWANIE" sheetId="5" state="visible" r:id="rId8"/>
    <sheet name="Pilne" sheetId="6" state="visible" r:id="rId9"/>
    <sheet name="URZĘDY" sheetId="7" state="visible" r:id="rId10"/>
    <sheet name="PRZELEWY" sheetId="8" state="visible" r:id="rId11"/>
    <sheet name="Listy" sheetId="9" state="hidden" r:id="rId12"/>
    <sheet name="Archiwum 2026-06" sheetId="10" state="visible" r:id="rId13"/>
    <sheet name="Archiwum 2026-07" sheetId="11" state="visible" r:id="rId14"/>
  </sheets>
  <definedNames>
    <definedName function="false" hidden="true" localSheetId="9" name="_xlnm._FilterDatabase" vbProcedure="false">'Archiwum 2026-06'!$A$1:$J$377</definedName>
    <definedName function="false" hidden="true" localSheetId="10" name="_xlnm._FilterDatabase" vbProcedure="false">'Archiwum 2026-07'!$A$1:$J$462</definedName>
    <definedName function="false" hidden="true" localSheetId="1" name="_xlnm._FilterDatabase" vbProcedure="false">'W rejestracji'!$A$8:$I$3000</definedName>
    <definedName function="false" hidden="true" localSheetId="3" name="_xlnm._FilterDatabase" vbProcedure="false">Zarejestrowane!$A$8:$J$3000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4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G8" authorId="0">
      <text>
        <r>
          <rPr>
            <sz val="10"/>
            <rFont val="Arial"/>
            <family val="2"/>
          </rPr>
          <t xml:space="preserve"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<sst xmlns="http://schemas.openxmlformats.org/spreadsheetml/2006/main" count="5074" uniqueCount="1240">
  <si>
    <t xml:space="preserve">  RAPORT REJESTRACJI POJAZDÓW</t>
  </si>
  <si>
    <t xml:space="preserve">99rent</t>
  </si>
  <si>
    <t xml:space="preserve">stan na:</t>
  </si>
  <si>
    <t xml:space="preserve">POJAZDY
W REJESTRACJI</t>
  </si>
  <si>
    <t xml:space="preserve">POJAZDY
ZAREJESTROWANE</t>
  </si>
  <si>
    <t xml:space="preserve">ŚREDNI CZAS
REJESTRACJI (DNI)</t>
  </si>
  <si>
    <t xml:space="preserve">ZAREJESTROWANE
W TYM MIESIĄCU</t>
  </si>
  <si>
    <t xml:space="preserve"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</si>
  <si>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 xml:space="preserve">LEGENDA KOLORÓW:</t>
  </si>
  <si>
    <t xml:space="preserve">w rejestracji (złożone)</t>
  </si>
  <si>
    <t xml:space="preserve">zarejestrowany</t>
  </si>
  <si>
    <t xml:space="preserve">wymaga uwagi / zaległy</t>
  </si>
  <si>
    <t xml:space="preserve">Wygenerowano na podstawie pliku Raport_rejestracji.xlsx</t>
  </si>
  <si>
    <t xml:space="preserve">  POJAZDY W TRAKCIE REJESTRACJI</t>
  </si>
  <si>
    <t xml:space="preserve">FORMULARZ — NOWY WNIOSEK:  wypełnij żółte pola i kliknij DODAJ WNIOSEK</t>
  </si>
  <si>
    <t xml:space="preserve">Marka</t>
  </si>
  <si>
    <t xml:space="preserve">Model</t>
  </si>
  <si>
    <t xml:space="preserve">VIN</t>
  </si>
  <si>
    <t xml:space="preserve">Dealer</t>
  </si>
  <si>
    <t xml:space="preserve">Współwłaściciel</t>
  </si>
  <si>
    <t xml:space="preserve">Urząd</t>
  </si>
  <si>
    <t xml:space="preserve">Data złożenia</t>
  </si>
  <si>
    <t xml:space="preserve">Dni od złożenia</t>
  </si>
  <si>
    <t xml:space="preserve">Uwagi</t>
  </si>
  <si>
    <t xml:space="preserve">auto</t>
  </si>
  <si>
    <t xml:space="preserve">Hyundai</t>
  </si>
  <si>
    <t xml:space="preserve">i20 PE (SW) 5DR MY26</t>
  </si>
  <si>
    <t xml:space="preserve">NLHBN51G1TZ773036</t>
  </si>
  <si>
    <t xml:space="preserve">MM Cars</t>
  </si>
  <si>
    <t xml:space="preserve">WAWER</t>
  </si>
  <si>
    <t xml:space="preserve">możemy składać - opłaty wawer</t>
  </si>
  <si>
    <t xml:space="preserve">NLHBN51G8TZ773227</t>
  </si>
  <si>
    <t xml:space="preserve">Zaznacz wiersze pojazdów i kliknij, aby przenieść je do katalogu ZAREJESTROWANE (nr rej. wpiszesz tam w kolumnie D).</t>
  </si>
  <si>
    <t xml:space="preserve">NLHBN51GXTZ773049</t>
  </si>
  <si>
    <t xml:space="preserve">NLHBN51G8TZ773065</t>
  </si>
  <si>
    <t xml:space="preserve">NLHBN51G2TZ773031</t>
  </si>
  <si>
    <t xml:space="preserve">NLHBN51G7TZ772909</t>
  </si>
  <si>
    <t xml:space="preserve">NLHBN51G3TZ772910</t>
  </si>
  <si>
    <t xml:space="preserve">NLHBN51G3TZ773474</t>
  </si>
  <si>
    <t xml:space="preserve">NLHBN51G1TZ772906</t>
  </si>
  <si>
    <t xml:space="preserve">NLHBN51G8TZ772899</t>
  </si>
  <si>
    <t xml:space="preserve">NLHBN51G9TZ772149</t>
  </si>
  <si>
    <t xml:space="preserve">NLHBN51G6TZ772156</t>
  </si>
  <si>
    <t xml:space="preserve">NLHBN51G8TZ766794</t>
  </si>
  <si>
    <t xml:space="preserve">NLHBN51G8TZ772160</t>
  </si>
  <si>
    <t xml:space="preserve">NLHBN51G6TZ766793</t>
  </si>
  <si>
    <t xml:space="preserve">NLHBN51GXTZ772709</t>
  </si>
  <si>
    <t xml:space="preserve">NLHBN51G9TZ759501</t>
  </si>
  <si>
    <t xml:space="preserve">NLHBN51GXTZ772094</t>
  </si>
  <si>
    <t xml:space="preserve">NLHBN51G2TZ772705</t>
  </si>
  <si>
    <t xml:space="preserve">NLHBN51G3TZ772714</t>
  </si>
  <si>
    <t xml:space="preserve">BMW</t>
  </si>
  <si>
    <t xml:space="preserve">320d</t>
  </si>
  <si>
    <t xml:space="preserve">WBA48FU0108G44583</t>
  </si>
  <si>
    <t xml:space="preserve">Dynamic Motors</t>
  </si>
  <si>
    <t xml:space="preserve">BMW FS</t>
  </si>
  <si>
    <t xml:space="preserve">ŚRÓDMIEŚCIE</t>
  </si>
  <si>
    <t xml:space="preserve">urzad twierdzi ze nie ma dokumentu</t>
  </si>
  <si>
    <t xml:space="preserve">318i</t>
  </si>
  <si>
    <t xml:space="preserve">WBA28FF0508G33414</t>
  </si>
  <si>
    <t xml:space="preserve">ODRZUCILI BO NIE MA 1 SYSTEMU</t>
  </si>
  <si>
    <t xml:space="preserve">Volvo</t>
  </si>
  <si>
    <t xml:space="preserve">XC60 T6 PD</t>
  </si>
  <si>
    <t xml:space="preserve">YV1UZH4V2T1501136</t>
  </si>
  <si>
    <t xml:space="preserve">Euro-Kas</t>
  </si>
  <si>
    <t xml:space="preserve">MLeasing</t>
  </si>
  <si>
    <t xml:space="preserve">WILANÓW</t>
  </si>
  <si>
    <t xml:space="preserve">oplaty zrobione-NA URLOPIE DO 31.07 dok u Nas</t>
  </si>
  <si>
    <t xml:space="preserve">YV1UZH4V4T1501154</t>
  </si>
  <si>
    <t xml:space="preserve">XC60 T6 PB</t>
  </si>
  <si>
    <t xml:space="preserve">YV1UZH4V6T1501141</t>
  </si>
  <si>
    <t xml:space="preserve">XC60 B5 PD</t>
  </si>
  <si>
    <t xml:space="preserve">YV1UZM1V3V1547333</t>
  </si>
  <si>
    <t xml:space="preserve">XC60 B5 PB</t>
  </si>
  <si>
    <t xml:space="preserve">YV1UZM1V3V1531469</t>
  </si>
  <si>
    <t xml:space="preserve">YV1UZM1V9V1531573</t>
  </si>
  <si>
    <t xml:space="preserve">YV1UZM1V3V1547316</t>
  </si>
  <si>
    <t xml:space="preserve">YV1UZM1V3V1531455</t>
  </si>
  <si>
    <t xml:space="preserve">YV1UZM1VXV1547345</t>
  </si>
  <si>
    <t xml:space="preserve">YV1UZM1V7V1547349</t>
  </si>
  <si>
    <t xml:space="preserve">XC90 B5 PB</t>
  </si>
  <si>
    <t xml:space="preserve">YV1LFM1V7V1565936</t>
  </si>
  <si>
    <t xml:space="preserve">XC90 T8 PD</t>
  </si>
  <si>
    <t xml:space="preserve">YV1LFH7V7T1537338</t>
  </si>
  <si>
    <t xml:space="preserve">YV1LFH7V9T1537373</t>
  </si>
  <si>
    <t xml:space="preserve">YV1LFH7V7T1523973</t>
  </si>
  <si>
    <t xml:space="preserve">Skoda</t>
  </si>
  <si>
    <t xml:space="preserve">octavia</t>
  </si>
  <si>
    <t xml:space="preserve">TMBLT8NX8TY124712</t>
  </si>
  <si>
    <t xml:space="preserve">VW GROUP</t>
  </si>
  <si>
    <t xml:space="preserve">CT</t>
  </si>
  <si>
    <t xml:space="preserve">zwrocili fv nie na 99 rent</t>
  </si>
  <si>
    <t xml:space="preserve">TMBLT8NX6TY125342</t>
  </si>
  <si>
    <t xml:space="preserve">TMBLT8NX4TY125405</t>
  </si>
  <si>
    <t xml:space="preserve">kodiaq</t>
  </si>
  <si>
    <t xml:space="preserve">TMBLD9PS6TT134351</t>
  </si>
  <si>
    <t xml:space="preserve">TMBLD7PS5TT133390</t>
  </si>
  <si>
    <t xml:space="preserve">karoq</t>
  </si>
  <si>
    <t xml:space="preserve">TMBJR7NU9V5028453</t>
  </si>
  <si>
    <t xml:space="preserve">TMBJR7NU9V5027576</t>
  </si>
  <si>
    <t xml:space="preserve">TMBJR7NU8V5028377</t>
  </si>
  <si>
    <t xml:space="preserve">TMBJR7NU5V5028871</t>
  </si>
  <si>
    <t xml:space="preserve">TMBJR7NU9V5027254</t>
  </si>
  <si>
    <t xml:space="preserve">Fiat</t>
  </si>
  <si>
    <t xml:space="preserve">Ulysse</t>
  </si>
  <si>
    <t xml:space="preserve">VXFVNFC13TU440401</t>
  </si>
  <si>
    <t xml:space="preserve">ASMB</t>
  </si>
  <si>
    <t xml:space="preserve">OCHOTA</t>
  </si>
  <si>
    <t xml:space="preserve">VXFVNFC1XTU434885</t>
  </si>
  <si>
    <t xml:space="preserve">VXFVNFC16TU434740</t>
  </si>
  <si>
    <t xml:space="preserve">VXFVNFC1XTU434742</t>
  </si>
  <si>
    <t xml:space="preserve">VXFVNFC1XTU434403</t>
  </si>
  <si>
    <t xml:space="preserve">VXFVNFC17TU436674</t>
  </si>
  <si>
    <t xml:space="preserve">VXFVNFC18TU437929</t>
  </si>
  <si>
    <t xml:space="preserve">VXFVNFC15TU439167</t>
  </si>
  <si>
    <t xml:space="preserve">VXFVNFC13TU437210</t>
  </si>
  <si>
    <t xml:space="preserve">VXFVNFC13TU437126</t>
  </si>
  <si>
    <t xml:space="preserve">VXFVNFC12TU434749</t>
  </si>
  <si>
    <t xml:space="preserve">  IMPORT HURTOWY — WIELE POJAZDÓW NARAZ</t>
  </si>
  <si>
    <t xml:space="preserve">Wklej 10, 20, 30… pojazdów do tabeli (od wiersza 9) i kliknij IMPORTUJ DO REJESTRU (możesz też zaznaczyć tylko wybrane wiersze)</t>
  </si>
  <si>
    <t xml:space="preserve"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</si>
  <si>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</si>
  <si>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 xml:space="preserve">FORMULARZ — POJAZD JUŻ ZAREJESTROWANY:  wypełnij żółte pola i kliknij DODAJ DO KATALOGU</t>
  </si>
  <si>
    <t xml:space="preserve">Nr rejestracyjny</t>
  </si>
  <si>
    <t xml:space="preserve">Data rejestracji</t>
  </si>
  <si>
    <t xml:space="preserve">Czas rejestracji (dni)</t>
  </si>
  <si>
    <t xml:space="preserve">TMBJR7NU9V5028484</t>
  </si>
  <si>
    <t xml:space="preserve">TMBJR7NUXV5026209</t>
  </si>
  <si>
    <t xml:space="preserve">Przenosi pojazdy zarejestrowane w poprzednich miesiącach do zakładki „Archiwum RRRR-MM” na dole pliku. Przy pierwszym otwarciu w nowym miesiącu plik sam o to zapyta.</t>
  </si>
  <si>
    <t xml:space="preserve">kamiq</t>
  </si>
  <si>
    <t xml:space="preserve">TMBGK6NW2V3050686</t>
  </si>
  <si>
    <t xml:space="preserve">TMBJR7NU3V5029386</t>
  </si>
  <si>
    <t xml:space="preserve">TMBGK6NWXV3050483</t>
  </si>
  <si>
    <t xml:space="preserve">TMBJR7NU6V5028667</t>
  </si>
  <si>
    <t xml:space="preserve">TMBJR7NU6V5029057</t>
  </si>
  <si>
    <t xml:space="preserve">TMBJR7NU8V5026564</t>
  </si>
  <si>
    <t xml:space="preserve">TMBGK6NWXV3050838</t>
  </si>
  <si>
    <t xml:space="preserve">Zaznacz wiersze i kliknij, aby cofnąć pojazdy do arkusza W REJESTRACJI (nr rej i data rejestracji zostaną usunięte).</t>
  </si>
  <si>
    <t xml:space="preserve">TMBGK6NWXV3051861</t>
  </si>
  <si>
    <t xml:space="preserve">  PODSUMOWANIE REJESTRACJI</t>
  </si>
  <si>
    <t xml:space="preserve">Tworzy gotowy do wysłania plik xlsx z kluczowymi liczbami i listą rejestracji z bieżącego miesiąca →</t>
  </si>
  <si>
    <t xml:space="preserve">  STATYSTYKI</t>
  </si>
  <si>
    <t xml:space="preserve">  WG URZĘDU</t>
  </si>
  <si>
    <t xml:space="preserve">  WG MARKI</t>
  </si>
  <si>
    <t xml:space="preserve">  WG DEALERA</t>
  </si>
  <si>
    <t xml:space="preserve">Pojazdy w rejestracji (oczekujące)</t>
  </si>
  <si>
    <t xml:space="preserve">Nazwa</t>
  </si>
  <si>
    <t xml:space="preserve">W rejestracji</t>
  </si>
  <si>
    <t xml:space="preserve">Zarejestrowane</t>
  </si>
  <si>
    <t xml:space="preserve">Pojazdy zarejestrowane (z archiwum)</t>
  </si>
  <si>
    <t xml:space="preserve">BEMOWO</t>
  </si>
  <si>
    <t xml:space="preserve">Średni czas rejestracji (dni)</t>
  </si>
  <si>
    <t xml:space="preserve">BIAŁOŁĘKA</t>
  </si>
  <si>
    <t xml:space="preserve">Maksymalny czas rejestracji (dni)</t>
  </si>
  <si>
    <t xml:space="preserve">Minimalny czas rejestracji (dni)</t>
  </si>
  <si>
    <t xml:space="preserve">Zarejestrowane w bieżącym miesiącu</t>
  </si>
  <si>
    <t xml:space="preserve">Najdłużej oczekujący (dni od złożenia)</t>
  </si>
  <si>
    <t xml:space="preserve">inne / brak</t>
  </si>
  <si>
    <t xml:space="preserve">RAZEM</t>
  </si>
  <si>
    <t xml:space="preserve">  FILTR — policz wg wybranych kryteriów</t>
  </si>
  <si>
    <t xml:space="preserve">Miesiąc</t>
  </si>
  <si>
    <t xml:space="preserve">(wszystkie)</t>
  </si>
  <si>
    <t xml:space="preserve"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</si>
  <si>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W rejestracji (wg daty złożenia)</t>
  </si>
  <si>
    <t xml:space="preserve">Zarejestrowane (wg daty rejestracji)</t>
  </si>
  <si>
    <t xml:space="preserve">  WG MIESIĄCA (05–12.2026)</t>
  </si>
  <si>
    <t xml:space="preserve">  WG WSPÓŁWŁAŚCICIELA</t>
  </si>
  <si>
    <t xml:space="preserve">Złożone wnioski</t>
  </si>
  <si>
    <t xml:space="preserve">  POJAZDY PILNE</t>
  </si>
  <si>
    <t xml:space="preserve">Lista priorytetowa z pierwotnego raportu</t>
  </si>
  <si>
    <t xml:space="preserve">Marka i model</t>
  </si>
  <si>
    <t xml:space="preserve">SKODA KAMIQ MONTE CARLO</t>
  </si>
  <si>
    <t xml:space="preserve">TMBGK6NW2V3052485</t>
  </si>
  <si>
    <t xml:space="preserve">SKODA KAMIQ DRIVE</t>
  </si>
  <si>
    <t xml:space="preserve">TMBGK6NWXV3050368</t>
  </si>
  <si>
    <t xml:space="preserve">TMBGK6NW3V3051118</t>
  </si>
  <si>
    <t xml:space="preserve">TMBGK6NW0V3051786</t>
  </si>
  <si>
    <t xml:space="preserve">TMBGK6NW1V3051277</t>
  </si>
  <si>
    <t xml:space="preserve">SKODA KAROQ SELECTION</t>
  </si>
  <si>
    <t xml:space="preserve">TMBGK6NW1V3052381</t>
  </si>
  <si>
    <t xml:space="preserve">TMBGK6NW5V3051525</t>
  </si>
  <si>
    <t xml:space="preserve">TMBGK6NW8V3051437</t>
  </si>
  <si>
    <t xml:space="preserve">TMBGK6NWXV3052461</t>
  </si>
  <si>
    <t xml:space="preserve">TMBGK6NW4V3051354</t>
  </si>
  <si>
    <t xml:space="preserve">TMBGK6NW0V3052386</t>
  </si>
  <si>
    <t xml:space="preserve">TMBGK6NW3V3051359</t>
  </si>
  <si>
    <t xml:space="preserve">TMBGK6NW2V3052339</t>
  </si>
  <si>
    <t xml:space="preserve">TMBGK6NW9V3051608</t>
  </si>
  <si>
    <t xml:space="preserve">TMBGK6NW5V3052108</t>
  </si>
  <si>
    <t xml:space="preserve">TMBGK6NW8V3052359</t>
  </si>
  <si>
    <t xml:space="preserve">TMBGK6NWXV3052329</t>
  </si>
  <si>
    <t xml:space="preserve">TMBGK6NW5V3052321</t>
  </si>
  <si>
    <t xml:space="preserve">TMBGK6NW0V3052243</t>
  </si>
  <si>
    <t xml:space="preserve">TMBGK6NW8V3050790</t>
  </si>
  <si>
    <t xml:space="preserve">TMBGK6NWXV3050547</t>
  </si>
  <si>
    <t xml:space="preserve">  URZĘDY I WSPÓŁWŁAŚCICIELE — ADRESY</t>
  </si>
  <si>
    <t xml:space="preserve">Urzędy</t>
  </si>
  <si>
    <t xml:space="preserve">KOD POCZTOWY</t>
  </si>
  <si>
    <t xml:space="preserve">ADRES</t>
  </si>
  <si>
    <t xml:space="preserve">CO POTRZEBA</t>
  </si>
  <si>
    <t xml:space="preserve">ZAWSZE</t>
  </si>
  <si>
    <t xml:space="preserve">01-381 Warszawa</t>
  </si>
  <si>
    <t xml:space="preserve">ul. Powstańców Śląskich 70</t>
  </si>
  <si>
    <t xml:space="preserve">DATA FV i UMOWA PRZEWŁASZCZENIA</t>
  </si>
  <si>
    <t xml:space="preserve">02-797 Warszawa</t>
  </si>
  <si>
    <t xml:space="preserve">ul. Franciszka Klimczaka 2</t>
  </si>
  <si>
    <t xml:space="preserve">00-412 Warszawa</t>
  </si>
  <si>
    <t xml:space="preserve">ul. Leona Kruczkowskiego 2</t>
  </si>
  <si>
    <t xml:space="preserve">opłaty rozbite</t>
  </si>
  <si>
    <t xml:space="preserve">04-713 Warszawa</t>
  </si>
  <si>
    <t xml:space="preserve">ul. Żegańska 1</t>
  </si>
  <si>
    <t xml:space="preserve">02-021 Warszawa</t>
  </si>
  <si>
    <t xml:space="preserve">ul. Grójecka 17a</t>
  </si>
  <si>
    <t xml:space="preserve">daty doki</t>
  </si>
  <si>
    <t xml:space="preserve">KOPIE DOKI</t>
  </si>
  <si>
    <t xml:space="preserve">MOKOTÓW</t>
  </si>
  <si>
    <t xml:space="preserve">02-517 Warszawa</t>
  </si>
  <si>
    <t xml:space="preserve">ul. Rakowiecka 25/27</t>
  </si>
  <si>
    <t xml:space="preserve">WSPÓŁWŁ (FINANSUJĄCY)</t>
  </si>
  <si>
    <t xml:space="preserve">KOD</t>
  </si>
  <si>
    <t xml:space="preserve">REGON</t>
  </si>
  <si>
    <t xml:space="preserve">BMW Financial Services Polska Sp. z o.o.</t>
  </si>
  <si>
    <t xml:space="preserve">ul. Wołoska 22A</t>
  </si>
  <si>
    <t xml:space="preserve">02-675 Warszawa</t>
  </si>
  <si>
    <t xml:space="preserve">REGON 143424261</t>
  </si>
  <si>
    <t xml:space="preserve">MERCEDES-BENZ LEASING POLSKA Sp. z o.o.</t>
  </si>
  <si>
    <t xml:space="preserve">ul. Gottlieba Daimlera 1</t>
  </si>
  <si>
    <t xml:space="preserve">02-460 Warszawa</t>
  </si>
  <si>
    <t xml:space="preserve">REGON 012213933</t>
  </si>
  <si>
    <t xml:space="preserve">PKO LEASING SPÓŁKA AKCYJNA</t>
  </si>
  <si>
    <t xml:space="preserve">ul. Świętokrzyska 36</t>
  </si>
  <si>
    <t xml:space="preserve">00-116 Warszawa</t>
  </si>
  <si>
    <t xml:space="preserve">REGON 472191767</t>
  </si>
  <si>
    <t xml:space="preserve">VELO LEASING S.A.</t>
  </si>
  <si>
    <t xml:space="preserve">Rondo Ignacego Daszyńskiego 2C</t>
  </si>
  <si>
    <t xml:space="preserve">00-843 Warszawa</t>
  </si>
  <si>
    <t xml:space="preserve">REGON 367715275</t>
  </si>
  <si>
    <t xml:space="preserve">M Leasing Sp. z o.o.</t>
  </si>
  <si>
    <t xml:space="preserve">ul. Prosta 18</t>
  </si>
  <si>
    <t xml:space="preserve">00-850 Warszawa</t>
  </si>
  <si>
    <t xml:space="preserve">REGON 012527809</t>
  </si>
  <si>
    <t xml:space="preserve">Urzędy (kody wyróżników)</t>
  </si>
  <si>
    <t xml:space="preserve">ORGAN</t>
  </si>
  <si>
    <t xml:space="preserve">BEMOWO (WB)</t>
  </si>
  <si>
    <t xml:space="preserve">Prezydent m.st. Warszawy</t>
  </si>
  <si>
    <t xml:space="preserve">WILANÓW (WW)</t>
  </si>
  <si>
    <t xml:space="preserve">ŚRÓDMIEŚCIE (WI)</t>
  </si>
  <si>
    <t xml:space="preserve">WAWER (WT)</t>
  </si>
  <si>
    <t xml:space="preserve">BIAŁOŁĘKA (WA)</t>
  </si>
  <si>
    <t xml:space="preserve">ul. Modlińska 197</t>
  </si>
  <si>
    <t xml:space="preserve">03-122 Warszawa</t>
  </si>
  <si>
    <t xml:space="preserve">WOLA (WY)</t>
  </si>
  <si>
    <t xml:space="preserve">ul. Solidarności 90</t>
  </si>
  <si>
    <t xml:space="preserve">01-003 Warszawa</t>
  </si>
  <si>
    <t xml:space="preserve">MOKOTÓW (WE)</t>
  </si>
  <si>
    <t xml:space="preserve">URSYNÓW (WN)</t>
  </si>
  <si>
    <t xml:space="preserve">al. Komisji Edukacji Narodowej 61</t>
  </si>
  <si>
    <t xml:space="preserve">02-777 Warszawa</t>
  </si>
  <si>
    <t xml:space="preserve">LEGIONOWO (WL)</t>
  </si>
  <si>
    <t xml:space="preserve">Starosta Legionowski</t>
  </si>
  <si>
    <t xml:space="preserve">ul. gen. Władysława Sikorskiego 11</t>
  </si>
  <si>
    <t xml:space="preserve">05-119 Legionowo</t>
  </si>
  <si>
    <t xml:space="preserve">GDYNIA (GA)</t>
  </si>
  <si>
    <t xml:space="preserve">Prezydent Miasta Gdyni</t>
  </si>
  <si>
    <t xml:space="preserve">al. Marszałka Piłsudskiego 52/54</t>
  </si>
  <si>
    <t xml:space="preserve">81-382 Gdynia</t>
  </si>
  <si>
    <t xml:space="preserve">NOWY DWÓR MAZ (WND)</t>
  </si>
  <si>
    <t xml:space="preserve">Starosta Nowodworski</t>
  </si>
  <si>
    <t xml:space="preserve">ul. Paderewskiego 1B</t>
  </si>
  <si>
    <t xml:space="preserve">05-100 Nowy Dwór Mazowiecki</t>
  </si>
  <si>
    <t xml:space="preserve">  PRZELEWY ZA REJESTRACJĘ — KONTA URZĘDÓW</t>
  </si>
  <si>
    <t xml:space="preserve">ADRESACI MAILA Z PROŚBĄ O PRZELEW</t>
  </si>
  <si>
    <t xml:space="preserve">Do:</t>
  </si>
  <si>
    <t xml:space="preserve">ksiegowosc@99rent.pl</t>
  </si>
  <si>
    <t xml:space="preserve">e.cyc@99rent.pl</t>
  </si>
  <si>
    <t xml:space="preserve">Cc:</t>
  </si>
  <si>
    <t xml:space="preserve">n.jastrzebska@99rent.pl</t>
  </si>
  <si>
    <t xml:space="preserve">d.wroblewski@99rent.pl</t>
  </si>
  <si>
    <t xml:space="preserve">a.kokot@99rent.pl</t>
  </si>
  <si>
    <t xml:space="preserve">m.wieczorek@99rent.pl</t>
  </si>
  <si>
    <t xml:space="preserve">k.pietrzyk@99rent.pl</t>
  </si>
  <si>
    <t xml:space="preserve">r.piestrzynski@99rent.pl</t>
  </si>
  <si>
    <t xml:space="preserve">j.wojtynska@99rent.pl</t>
  </si>
  <si>
    <t xml:space="preserve">flota@99rent.pl</t>
  </si>
  <si>
    <t xml:space="preserve">k.dudek@99rent.pl</t>
  </si>
  <si>
    <t xml:space="preserve">Przykład tytułu przelewu:</t>
  </si>
  <si>
    <t xml:space="preserve">Przelew za rejestrację pojazdów WAWER 5x BMW INCHCAPE + VIN każdego auta (VIN-y połącz: =POŁĄCZ.TEKSTY("; ";1;zakres))</t>
  </si>
  <si>
    <t xml:space="preserve">KONTA URZĘDÓW</t>
  </si>
  <si>
    <t xml:space="preserve">URZĄD</t>
  </si>
  <si>
    <t xml:space="preserve">Przelew 1 — rejestracja</t>
  </si>
  <si>
    <t xml:space="preserve">Konto (rejestracja)</t>
  </si>
  <si>
    <t xml:space="preserve">Przelew 2 — pełnomocn.</t>
  </si>
  <si>
    <t xml:space="preserve">Konto (pełnomocnictwa)</t>
  </si>
  <si>
    <t xml:space="preserve">160,00 zł / pojazd</t>
  </si>
  <si>
    <t xml:space="preserve">20 1030 1508 0000 0005 5002 4047</t>
  </si>
  <si>
    <t xml:space="preserve">17,00 zł</t>
  </si>
  <si>
    <t xml:space="preserve">21 1030 1508 0000 0005 5000 0070</t>
  </si>
  <si>
    <t xml:space="preserve">07 1030 1508 0000 0005 5001 0119</t>
  </si>
  <si>
    <t xml:space="preserve">77 1030 1508 0000 0005 5003 2139</t>
  </si>
  <si>
    <t xml:space="preserve">50 1030 1508 0000 0005 5000 2167</t>
  </si>
  <si>
    <t xml:space="preserve">51 1030 1508 0000 0005 5001 6117</t>
  </si>
  <si>
    <t xml:space="preserve"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</si>
  <si>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</si>
  <si>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</si>
  <si>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</si>
  <si>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</si>
  <si>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</si>
  <si>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</si>
  <si>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</si>
  <si>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</si>
  <si>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</si>
  <si>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</si>
  <si>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 xml:space="preserve">Marki</t>
  </si>
  <si>
    <t xml:space="preserve">Dealerzy</t>
  </si>
  <si>
    <t xml:space="preserve">Współwłaściciele</t>
  </si>
  <si>
    <t xml:space="preserve">Daty (31 dni)</t>
  </si>
  <si>
    <t xml:space="preserve">Filtr miesiąc</t>
  </si>
  <si>
    <t xml:space="preserve">Filtr urząd</t>
  </si>
  <si>
    <t xml:space="preserve">Filtr marka</t>
  </si>
  <si>
    <t xml:space="preserve">Filtr dealer</t>
  </si>
  <si>
    <t xml:space="preserve">2026-05</t>
  </si>
  <si>
    <t xml:space="preserve">2026-06</t>
  </si>
  <si>
    <t xml:space="preserve">2026-07</t>
  </si>
  <si>
    <t xml:space="preserve">2026-08</t>
  </si>
  <si>
    <t xml:space="preserve">2026-09</t>
  </si>
  <si>
    <t xml:space="preserve">2026-10</t>
  </si>
  <si>
    <t xml:space="preserve">2026-11</t>
  </si>
  <si>
    <t xml:space="preserve">2026-12</t>
  </si>
  <si>
    <t xml:space="preserve">Mercedes</t>
  </si>
  <si>
    <t xml:space="preserve">C180</t>
  </si>
  <si>
    <t xml:space="preserve">W1KAF4BB7TR348604</t>
  </si>
  <si>
    <t xml:space="preserve">MB Motors Poznań</t>
  </si>
  <si>
    <t xml:space="preserve">W1KAF4BB3TR348602</t>
  </si>
  <si>
    <t xml:space="preserve">Audi</t>
  </si>
  <si>
    <t xml:space="preserve">Q5</t>
  </si>
  <si>
    <t xml:space="preserve">WAUZZZGU0T2022984</t>
  </si>
  <si>
    <t xml:space="preserve">Volkswagen</t>
  </si>
  <si>
    <t xml:space="preserve">T-Roc</t>
  </si>
  <si>
    <t xml:space="preserve">WVGZZZA26TV100480</t>
  </si>
  <si>
    <t xml:space="preserve">i20</t>
  </si>
  <si>
    <t xml:space="preserve">NLHBN51G2TZ766533</t>
  </si>
  <si>
    <t xml:space="preserve">BEDNARCZYK</t>
  </si>
  <si>
    <t xml:space="preserve">NLHBN51GXTZ766571</t>
  </si>
  <si>
    <t xml:space="preserve">NLHBN51G1TZ771979</t>
  </si>
  <si>
    <t xml:space="preserve">NLHBN51G4TZ766579</t>
  </si>
  <si>
    <t xml:space="preserve">NLHBN51G4TZ771975</t>
  </si>
  <si>
    <t xml:space="preserve">NLHBN51G1TZ771982</t>
  </si>
  <si>
    <t xml:space="preserve">NLHBN51G8TZ771977</t>
  </si>
  <si>
    <t xml:space="preserve">NLHBN51G1TZ766572</t>
  </si>
  <si>
    <t xml:space="preserve">Tucson</t>
  </si>
  <si>
    <t xml:space="preserve">TMAJC81B9TJ718787</t>
  </si>
  <si>
    <t xml:space="preserve">TMAJC81B1TJ719027</t>
  </si>
  <si>
    <t xml:space="preserve">TMAJC81B5TJ719659</t>
  </si>
  <si>
    <t xml:space="preserve">X3</t>
  </si>
  <si>
    <t xml:space="preserve">WBA21FY030FX00666</t>
  </si>
  <si>
    <t xml:space="preserve">Inchcape</t>
  </si>
  <si>
    <t xml:space="preserve">WBA21FY000FW98441</t>
  </si>
  <si>
    <t xml:space="preserve">WBA21FY090FW98020</t>
  </si>
  <si>
    <t xml:space="preserve">WBA11GR0709411210</t>
  </si>
  <si>
    <t xml:space="preserve">WBA11GR0609419413</t>
  </si>
  <si>
    <t xml:space="preserve">GLC</t>
  </si>
  <si>
    <t xml:space="preserve">W1NKM5BB8TF602888</t>
  </si>
  <si>
    <t xml:space="preserve">Mercedes-Benz</t>
  </si>
  <si>
    <t xml:space="preserve">E 220d 4MATIC sedan</t>
  </si>
  <si>
    <t xml:space="preserve">W1KLF0FB1TA286904</t>
  </si>
  <si>
    <t xml:space="preserve">C 180</t>
  </si>
  <si>
    <t xml:space="preserve">W1KAF4BB6TR349081</t>
  </si>
  <si>
    <t xml:space="preserve">W1KAF4BB4TR349077</t>
  </si>
  <si>
    <t xml:space="preserve">W1KAF4BB6TR349940</t>
  </si>
  <si>
    <t xml:space="preserve">Kia</t>
  </si>
  <si>
    <t xml:space="preserve">Sportage</t>
  </si>
  <si>
    <t xml:space="preserve">U5YPV81B9TL521674</t>
  </si>
  <si>
    <t xml:space="preserve">AUTO-COMPLEX</t>
  </si>
  <si>
    <t xml:space="preserve">U5YPV81B8TL522945</t>
  </si>
  <si>
    <t xml:space="preserve">U5YPV81BXTL522672</t>
  </si>
  <si>
    <t xml:space="preserve">U5YPV81B9TL521707</t>
  </si>
  <si>
    <t xml:space="preserve">U5YPV81B8TL522671</t>
  </si>
  <si>
    <t xml:space="preserve">U5YPV81B9TL521805</t>
  </si>
  <si>
    <t xml:space="preserve">U5YPV81BXTL522669</t>
  </si>
  <si>
    <t xml:space="preserve">U5YPV81B7TL515629</t>
  </si>
  <si>
    <t xml:space="preserve">U5YPV81B6TL517615</t>
  </si>
  <si>
    <t xml:space="preserve">W1KAF4BB0TR348606</t>
  </si>
  <si>
    <t xml:space="preserve">W1KAF4BB0TR349996</t>
  </si>
  <si>
    <t xml:space="preserve">W1KAF4BB8TR349115</t>
  </si>
  <si>
    <t xml:space="preserve">W1KAF4BB3TR349992</t>
  </si>
  <si>
    <t xml:space="preserve">W1KAF4BB1TR349988</t>
  </si>
  <si>
    <t xml:space="preserve">W1KAF4BB4TR349984</t>
  </si>
  <si>
    <t xml:space="preserve">W1KAF4BB7TR349980</t>
  </si>
  <si>
    <t xml:space="preserve">W1KAF4BB5TR349976</t>
  </si>
  <si>
    <t xml:space="preserve">W1KAF4BB7TR349073</t>
  </si>
  <si>
    <t xml:space="preserve">W1KAF4BB1TR349957</t>
  </si>
  <si>
    <t xml:space="preserve">W1KAF4BB4TR349953</t>
  </si>
  <si>
    <t xml:space="preserve">W1KAF4BB2TR349949</t>
  </si>
  <si>
    <t xml:space="preserve">W1KAF4BB5TR349945</t>
  </si>
  <si>
    <t xml:space="preserve">I30 WAGON</t>
  </si>
  <si>
    <t xml:space="preserve">TMAH381E0TJ197127</t>
  </si>
  <si>
    <t xml:space="preserve">NORD AUTO</t>
  </si>
  <si>
    <t xml:space="preserve">dopisać współwąściciela PKO</t>
  </si>
  <si>
    <t xml:space="preserve">TMAH381E7TJ198968</t>
  </si>
  <si>
    <t xml:space="preserve">TMAH381E0TJ199055</t>
  </si>
  <si>
    <t xml:space="preserve">TMAH381E2TJ197260</t>
  </si>
  <si>
    <t xml:space="preserve">TMAH381E7TJ197822</t>
  </si>
  <si>
    <t xml:space="preserve">TMAH381E4TJ197762</t>
  </si>
  <si>
    <t xml:space="preserve">TMAH381E9TJ198714</t>
  </si>
  <si>
    <t xml:space="preserve">TMAH381B5TJ198599</t>
  </si>
  <si>
    <t xml:space="preserve">TMAH381B7TJ199589</t>
  </si>
  <si>
    <t xml:space="preserve">TMAH381B1TJ199720</t>
  </si>
  <si>
    <t xml:space="preserve">TMAH381B9TJ199514</t>
  </si>
  <si>
    <t xml:space="preserve">TMAH381B0TJ199515</t>
  </si>
  <si>
    <t xml:space="preserve">I30 HATCHBACK</t>
  </si>
  <si>
    <t xml:space="preserve">TMAH351B7TJ267081</t>
  </si>
  <si>
    <t xml:space="preserve">TMAH351B6TJ267055</t>
  </si>
  <si>
    <t xml:space="preserve">TMAH351B5TJ266995</t>
  </si>
  <si>
    <t xml:space="preserve">NLHBN51G8TZ737277</t>
  </si>
  <si>
    <t xml:space="preserve">NLHBN51G5TZ737270</t>
  </si>
  <si>
    <t xml:space="preserve">NLHBN51G9TZ738017</t>
  </si>
  <si>
    <t xml:space="preserve">NLHBN51G0TZ734311</t>
  </si>
  <si>
    <t xml:space="preserve">NLHBN51G7TZ733169</t>
  </si>
  <si>
    <t xml:space="preserve">NLHBN51G0TZ736480</t>
  </si>
  <si>
    <t xml:space="preserve">NLHBN51G4TZ733145</t>
  </si>
  <si>
    <t xml:space="preserve">NLHBN51G1TZ732504</t>
  </si>
  <si>
    <t xml:space="preserve">E220D</t>
  </si>
  <si>
    <t xml:space="preserve">W1NKM0CB8TF627601</t>
  </si>
  <si>
    <t xml:space="preserve">Inter Saga</t>
  </si>
  <si>
    <t xml:space="preserve">W1KLF0FB9TA297438</t>
  </si>
  <si>
    <t xml:space="preserve">T-CROSS</t>
  </si>
  <si>
    <t xml:space="preserve">WVGZZZC16VY019338</t>
  </si>
  <si>
    <t xml:space="preserve">WVGZZZC16TY090150</t>
  </si>
  <si>
    <t xml:space="preserve">WVGZZZC13VY016865</t>
  </si>
  <si>
    <t xml:space="preserve">WVGZZZC14VY019354</t>
  </si>
  <si>
    <t xml:space="preserve">PEUGEOT</t>
  </si>
  <si>
    <t xml:space="preserve">5008</t>
  </si>
  <si>
    <t xml:space="preserve">VR3KAHPY9TS071429</t>
  </si>
  <si>
    <t xml:space="preserve">AUTO CLUB</t>
  </si>
  <si>
    <t xml:space="preserve">VR3KAHPY9TS071415</t>
  </si>
  <si>
    <t xml:space="preserve">VR3KAHPY7TS071493</t>
  </si>
  <si>
    <t xml:space="preserve">S&amp;Y</t>
  </si>
  <si>
    <t xml:space="preserve">VR3KAHPY5TS071492</t>
  </si>
  <si>
    <t xml:space="preserve">VR3KAHPY2TS071739</t>
  </si>
  <si>
    <t xml:space="preserve">VR3KAHPY5TS071735</t>
  </si>
  <si>
    <t xml:space="preserve">VR3KAHPY0TS070301</t>
  </si>
  <si>
    <t xml:space="preserve">VR3KAHPY9TS070295</t>
  </si>
  <si>
    <t xml:space="preserve">VR3KAHPY0TS070296</t>
  </si>
  <si>
    <t xml:space="preserve">VR3KAHPY9TS070300</t>
  </si>
  <si>
    <t xml:space="preserve">VR3KAHPY4TS070303</t>
  </si>
  <si>
    <t xml:space="preserve">VR3KAHPYXTS070290</t>
  </si>
  <si>
    <t xml:space="preserve">VR3KAHPY9TS071494</t>
  </si>
  <si>
    <t xml:space="preserve">VR3KAHPY2TS070302</t>
  </si>
  <si>
    <t xml:space="preserve">VR3KAHPY2TS070297</t>
  </si>
  <si>
    <t xml:space="preserve">VR3KAHPY6TS071839</t>
  </si>
  <si>
    <t xml:space="preserve">VR3KAHPY4TS071774</t>
  </si>
  <si>
    <t xml:space="preserve">FIX FORUM</t>
  </si>
  <si>
    <t xml:space="preserve">VR3KAHPY7TS071428</t>
  </si>
  <si>
    <t xml:space="preserve">VR3KAHPY7TS071767</t>
  </si>
  <si>
    <t xml:space="preserve">VR3KAHPY7TS071431</t>
  </si>
  <si>
    <t xml:space="preserve">VR3KAHPY5TS071766</t>
  </si>
  <si>
    <t xml:space="preserve">VR3KAHPY3TS071426</t>
  </si>
  <si>
    <t xml:space="preserve">VR3KAHPY9TS071432</t>
  </si>
  <si>
    <t xml:space="preserve">VR3KAHPY7TS071414</t>
  </si>
  <si>
    <t xml:space="preserve">VR3KAHPY4TS071418</t>
  </si>
  <si>
    <t xml:space="preserve">VR3KAHPY2TS071417</t>
  </si>
  <si>
    <t xml:space="preserve">VR3KAHPY5TS071413</t>
  </si>
  <si>
    <t xml:space="preserve">VR3KAHPY2TS065777</t>
  </si>
  <si>
    <t xml:space="preserve">VR3KAHPY4TS071564</t>
  </si>
  <si>
    <t xml:space="preserve">VR3KAHPY2TS071563</t>
  </si>
  <si>
    <t xml:space="preserve">VR3KAHPY2TS071742</t>
  </si>
  <si>
    <t xml:space="preserve">VR3KAHPY6TS071565</t>
  </si>
  <si>
    <t xml:space="preserve">VR3KAHPY0TS065776</t>
  </si>
  <si>
    <t xml:space="preserve">VR3KAHPY1TS071571</t>
  </si>
  <si>
    <t xml:space="preserve">VR3KAHPY0TS071576</t>
  </si>
  <si>
    <t xml:space="preserve">VR3KAHPYXTS071570</t>
  </si>
  <si>
    <t xml:space="preserve">VR3KAHPY4TS071743</t>
  </si>
  <si>
    <t xml:space="preserve">VR3KAHPY9TS071740</t>
  </si>
  <si>
    <t xml:space="preserve">VR3KAHPY2TS071577</t>
  </si>
  <si>
    <t xml:space="preserve">VR3KAHPY5TS071489</t>
  </si>
  <si>
    <t xml:space="preserve">VR3KAHPY4TS071838</t>
  </si>
  <si>
    <t xml:space="preserve">VR3KAHPY3TS071846</t>
  </si>
  <si>
    <t xml:space="preserve">VR3KAHPY9TS071849</t>
  </si>
  <si>
    <t xml:space="preserve">VR3KAHPY8TS071843</t>
  </si>
  <si>
    <t xml:space="preserve">VR3KAHPY4TS071841</t>
  </si>
  <si>
    <t xml:space="preserve">VR3KAHPY3TS071488</t>
  </si>
  <si>
    <t xml:space="preserve">VR3KAHPY3TS071491</t>
  </si>
  <si>
    <t xml:space="preserve">VR3KAHPY1TS071845</t>
  </si>
  <si>
    <t xml:space="preserve">VR3KAHPY1TS071490</t>
  </si>
  <si>
    <t xml:space="preserve">VR3KAHPY9TS071835</t>
  </si>
  <si>
    <t xml:space="preserve">VR3KAHPY0TS071836</t>
  </si>
  <si>
    <t xml:space="preserve">VR3KAHPY2TS071496</t>
  </si>
  <si>
    <t xml:space="preserve">VR3KAHPY9TS071771</t>
  </si>
  <si>
    <t xml:space="preserve">VR3KAHPY9TS071768</t>
  </si>
  <si>
    <t xml:space="preserve">VR3KAHPY9TS071737</t>
  </si>
  <si>
    <t xml:space="preserve">VR3KAHPY9TS071561</t>
  </si>
  <si>
    <t xml:space="preserve">VR3KAHPY8TS071423</t>
  </si>
  <si>
    <t xml:space="preserve">VR3KAHPY7TS071770</t>
  </si>
  <si>
    <t xml:space="preserve">VR3KAHPY7TS071736</t>
  </si>
  <si>
    <t xml:space="preserve">VR3KAHPY7TS071574</t>
  </si>
  <si>
    <t xml:space="preserve">VR3KAHPY6TS071422</t>
  </si>
  <si>
    <t xml:space="preserve">VR3KAHPY6TS071419</t>
  </si>
  <si>
    <t xml:space="preserve">VR3KAHPY5TS071573</t>
  </si>
  <si>
    <t xml:space="preserve">VR3KAHPY5TS071430</t>
  </si>
  <si>
    <t xml:space="preserve">VR3KAHPY5TS071427</t>
  </si>
  <si>
    <t xml:space="preserve">VR3KAHPY4TS071421</t>
  </si>
  <si>
    <t xml:space="preserve">VR3KAHPY3TS071765</t>
  </si>
  <si>
    <t xml:space="preserve">VR3KAHPY3TS071572</t>
  </si>
  <si>
    <t xml:space="preserve">VR3KAHPY2TS071773</t>
  </si>
  <si>
    <t xml:space="preserve">VR3KAHPY2TS071420</t>
  </si>
  <si>
    <t xml:space="preserve">VR3KAHPY1TS071764</t>
  </si>
  <si>
    <t xml:space="preserve">VR3KAHPY1TS071425</t>
  </si>
  <si>
    <t xml:space="preserve">VR3KAHPY0TS071772</t>
  </si>
  <si>
    <t xml:space="preserve">VR3KAHPY0TS071769</t>
  </si>
  <si>
    <t xml:space="preserve">VR3KAHPY0TS071741</t>
  </si>
  <si>
    <t xml:space="preserve">VR3KAHPY0TS071738</t>
  </si>
  <si>
    <t xml:space="preserve">VR3KAHPY0TS071433</t>
  </si>
  <si>
    <t xml:space="preserve">VR3KAHPY0TS071416</t>
  </si>
  <si>
    <t xml:space="preserve">VR3KAHPYXTS071763</t>
  </si>
  <si>
    <t xml:space="preserve">VR3KAHPYXTS071424</t>
  </si>
  <si>
    <t xml:space="preserve">i30</t>
  </si>
  <si>
    <t xml:space="preserve">TMAH381E5TJ197365</t>
  </si>
  <si>
    <t xml:space="preserve">CLA</t>
  </si>
  <si>
    <t xml:space="preserve">W1KNJ4EBXVJ021918</t>
  </si>
  <si>
    <t xml:space="preserve">WRÓBEL</t>
  </si>
  <si>
    <t xml:space="preserve">W1KNJ4EB9VJ023627</t>
  </si>
  <si>
    <t xml:space="preserve">W1KNJ4EB9VJ023398</t>
  </si>
  <si>
    <t xml:space="preserve">W1KNJ4EB7VJ022184</t>
  </si>
  <si>
    <t xml:space="preserve">W1KNJ4EB8TJ016634</t>
  </si>
  <si>
    <t xml:space="preserve">U5YPV81B1TL529154</t>
  </si>
  <si>
    <t xml:space="preserve">PIECHOWICZ</t>
  </si>
  <si>
    <t xml:space="preserve">U5YPV81B0TL529677</t>
  </si>
  <si>
    <t xml:space="preserve">U5YPV81B0TL529680</t>
  </si>
  <si>
    <t xml:space="preserve">U5YPV81B2TL529146</t>
  </si>
  <si>
    <t xml:space="preserve">U5YPV81B1TL529199</t>
  </si>
  <si>
    <t xml:space="preserve">U5YPV81BXTL523465</t>
  </si>
  <si>
    <t xml:space="preserve">U5YPV81B9TL521870</t>
  </si>
  <si>
    <t xml:space="preserve">U5YPV81B9TL521822</t>
  </si>
  <si>
    <t xml:space="preserve">U5YPV81B9TL521948</t>
  </si>
  <si>
    <t xml:space="preserve">U5YPV81BXTL521814</t>
  </si>
  <si>
    <t xml:space="preserve">U5YPV81B8TL523108</t>
  </si>
  <si>
    <t xml:space="preserve">U5YPV81B8TL523593</t>
  </si>
  <si>
    <t xml:space="preserve">U5YPV81B9TL522548</t>
  </si>
  <si>
    <t xml:space="preserve">U5YPV81BXTL522557</t>
  </si>
  <si>
    <t xml:space="preserve">U5YPV81B9TL521528</t>
  </si>
  <si>
    <t xml:space="preserve">U5YPV81B9TL521691</t>
  </si>
  <si>
    <t xml:space="preserve">U5YPV81BXTL521683</t>
  </si>
  <si>
    <t xml:space="preserve">U5YPV81B9TL522727</t>
  </si>
  <si>
    <t xml:space="preserve">U5YPV81B9TL521755</t>
  </si>
  <si>
    <t xml:space="preserve">U5YPV81B9TL521769</t>
  </si>
  <si>
    <t xml:space="preserve">U5YPV81B8TL515493</t>
  </si>
  <si>
    <t xml:space="preserve">U5YPV81B3TL516096</t>
  </si>
  <si>
    <t xml:space="preserve">U5YPV81B8TL516062</t>
  </si>
  <si>
    <t xml:space="preserve">U5YPV81B3TL517555</t>
  </si>
  <si>
    <t xml:space="preserve">U5YPV81B6TL516092</t>
  </si>
  <si>
    <t xml:space="preserve">W1NKM0CB1TF614852</t>
  </si>
  <si>
    <t xml:space="preserve">W1NKM0CB3TF612536</t>
  </si>
  <si>
    <t xml:space="preserve">W1NKM0CB8TF621264</t>
  </si>
  <si>
    <t xml:space="preserve">W1NKM0CB1TF616083</t>
  </si>
  <si>
    <t xml:space="preserve">W1NKJ0CB0TF608470</t>
  </si>
  <si>
    <t xml:space="preserve">W1NKM0CB6TF616676</t>
  </si>
  <si>
    <t xml:space="preserve">W1NKJ0CB1TF608462</t>
  </si>
  <si>
    <t xml:space="preserve">W1NKJ0CB8TF609821</t>
  </si>
  <si>
    <t xml:space="preserve">W1NKJ0CB9TF607995</t>
  </si>
  <si>
    <t xml:space="preserve">W1NKJ0CB8TF607812</t>
  </si>
  <si>
    <t xml:space="preserve">E 220 D 4MATIC</t>
  </si>
  <si>
    <t xml:space="preserve">W1KLF0FB5TA297419</t>
  </si>
  <si>
    <t xml:space="preserve">W1KLF0FB7TA300529</t>
  </si>
  <si>
    <t xml:space="preserve">W1KLF0FB9TA297956</t>
  </si>
  <si>
    <t xml:space="preserve">W1KLF0FB5TA297517</t>
  </si>
  <si>
    <t xml:space="preserve">W1KLF0FB3TA297788</t>
  </si>
  <si>
    <t xml:space="preserve">W1KLF0FB7TA300384</t>
  </si>
  <si>
    <t xml:space="preserve">W1KLF0FB0TA297554</t>
  </si>
  <si>
    <t xml:space="preserve">W1KLF0FB4TA297718</t>
  </si>
  <si>
    <t xml:space="preserve">E220d 4M</t>
  </si>
  <si>
    <t xml:space="preserve">W1KLF0FB3TA291876</t>
  </si>
  <si>
    <t xml:space="preserve">W1KLF0FB7TA292805</t>
  </si>
  <si>
    <t xml:space="preserve">W1KLF0FB3TA292445</t>
  </si>
  <si>
    <t xml:space="preserve">W1KLF0FB4TA292650</t>
  </si>
  <si>
    <t xml:space="preserve">W1KLF0FB0TA292337</t>
  </si>
  <si>
    <t xml:space="preserve">W1KLF0FB5TA292169</t>
  </si>
  <si>
    <t xml:space="preserve">W1KLF0FB5TA292270</t>
  </si>
  <si>
    <t xml:space="preserve">W1KLF0FB5TA292463</t>
  </si>
  <si>
    <t xml:space="preserve">W1KLF0FB5TA292365</t>
  </si>
  <si>
    <t xml:space="preserve">GLC200d 4M</t>
  </si>
  <si>
    <t xml:space="preserve">W1NKM0CB5TF619147</t>
  </si>
  <si>
    <t xml:space="preserve">W1NKM0CB8TF617117</t>
  </si>
  <si>
    <t xml:space="preserve">W1NKM0CB3TF616599</t>
  </si>
  <si>
    <t xml:space="preserve">W1NKM0CB3TF617073</t>
  </si>
  <si>
    <t xml:space="preserve">W1NKM0CB7TF617075</t>
  </si>
  <si>
    <t xml:space="preserve">W1NKM0CB6TF614832</t>
  </si>
  <si>
    <t xml:space="preserve">W1NKM0CB9TF617093</t>
  </si>
  <si>
    <t xml:space="preserve">W1NKM0CB0TF616432</t>
  </si>
  <si>
    <t xml:space="preserve">W1NKM0CB3TF615176</t>
  </si>
  <si>
    <t xml:space="preserve">W1NKM0CB5TF615731</t>
  </si>
  <si>
    <t xml:space="preserve">W1NKM0CB4TF612528</t>
  </si>
  <si>
    <t xml:space="preserve">W1NKM0CB3TF613752</t>
  </si>
  <si>
    <t xml:space="preserve">W1NKM0CB8TF614220</t>
  </si>
  <si>
    <t xml:space="preserve">W1NKM0CB8TF613116</t>
  </si>
  <si>
    <t xml:space="preserve">W1NKM0CB3TF613685</t>
  </si>
  <si>
    <t xml:space="preserve">W1NKM0CB9TF611567</t>
  </si>
  <si>
    <t xml:space="preserve">W1NKM0CB1TF611403</t>
  </si>
  <si>
    <t xml:space="preserve">W1NKM0CB9TF611214</t>
  </si>
  <si>
    <t xml:space="preserve">W1NKM0CB1TF611188</t>
  </si>
  <si>
    <t xml:space="preserve">W1NKJ0CB9TF612291</t>
  </si>
  <si>
    <t xml:space="preserve">W1NKJ0CB2TF612178</t>
  </si>
  <si>
    <t xml:space="preserve">W1NKJ0CB1TF610891</t>
  </si>
  <si>
    <t xml:space="preserve">W1NKJ0CB6TF612085</t>
  </si>
  <si>
    <t xml:space="preserve">W1NKJ0CB8TF611388</t>
  </si>
  <si>
    <t xml:space="preserve">W1NKJ0CB6TF611826</t>
  </si>
  <si>
    <t xml:space="preserve">W1NKJ0CB4TF610352</t>
  </si>
  <si>
    <t xml:space="preserve">W1NKJ0CB2TF610303</t>
  </si>
  <si>
    <t xml:space="preserve">W1NKJ0CB2TF608616</t>
  </si>
  <si>
    <t xml:space="preserve">W1NKJ0CB7TF608529</t>
  </si>
  <si>
    <t xml:space="preserve">E220d</t>
  </si>
  <si>
    <t xml:space="preserve">W1KLF0FB5TA293130</t>
  </si>
  <si>
    <t xml:space="preserve">W1KLF0FB8TA293235</t>
  </si>
  <si>
    <t xml:space="preserve">W1KLF0FB7TA291735</t>
  </si>
  <si>
    <t xml:space="preserve">W1KLF0FB6TA290687</t>
  </si>
  <si>
    <t xml:space="preserve">W1KLF0FB7TA292643</t>
  </si>
  <si>
    <t xml:space="preserve">W1KLF0FB0TA292144</t>
  </si>
  <si>
    <t xml:space="preserve">W1KLF0FBXTA291549</t>
  </si>
  <si>
    <t xml:space="preserve">W1KLF0FB1TA291598</t>
  </si>
  <si>
    <t xml:space="preserve">W1KLF0FB2TA289374</t>
  </si>
  <si>
    <t xml:space="preserve">W1KLF0FB3TA291652</t>
  </si>
  <si>
    <t xml:space="preserve">W1KLF0FB7TA292254</t>
  </si>
  <si>
    <t xml:space="preserve">W1KLF0FB8TA290142</t>
  </si>
  <si>
    <t xml:space="preserve">W1KLF0FB2TA291447</t>
  </si>
  <si>
    <t xml:space="preserve">W1KLF0FB6TA291340</t>
  </si>
  <si>
    <t xml:space="preserve">W1KAF4BB6TF231288</t>
  </si>
  <si>
    <t xml:space="preserve">W1KAF4BB5TF231153</t>
  </si>
  <si>
    <t xml:space="preserve">VW</t>
  </si>
  <si>
    <t xml:space="preserve">T-Cross</t>
  </si>
  <si>
    <t xml:space="preserve">WVGZZZC15TY089782</t>
  </si>
  <si>
    <t xml:space="preserve">WVGZZZC15TY090754</t>
  </si>
  <si>
    <t xml:space="preserve">WVGZZZC1XTY090734</t>
  </si>
  <si>
    <t xml:space="preserve">WVGZZZC16TY090584</t>
  </si>
  <si>
    <t xml:space="preserve">WVGZZZC12TY090162</t>
  </si>
  <si>
    <t xml:space="preserve">WVGZZZC14TY090681</t>
  </si>
  <si>
    <t xml:space="preserve">WVGZZZC17TY090223</t>
  </si>
  <si>
    <t xml:space="preserve">WVGZZZC14TY088333</t>
  </si>
  <si>
    <t xml:space="preserve">WVGZZZC16TY088771</t>
  </si>
  <si>
    <t xml:space="preserve">WVGZZZA26TV100379</t>
  </si>
  <si>
    <t xml:space="preserve">WVGZZZA29TV097316</t>
  </si>
  <si>
    <t xml:space="preserve">WVGZZZA24TV101031</t>
  </si>
  <si>
    <t xml:space="preserve">WBA11GR0409426263</t>
  </si>
  <si>
    <t xml:space="preserve">WBA11GR0309426366</t>
  </si>
  <si>
    <t xml:space="preserve">WBA11GR0109422784</t>
  </si>
  <si>
    <t xml:space="preserve">TMAH381E7TJ197710</t>
  </si>
  <si>
    <t xml:space="preserve">TMAH381E7TJ197724</t>
  </si>
  <si>
    <t xml:space="preserve">TMAH381E5TJ197995</t>
  </si>
  <si>
    <t xml:space="preserve">TMAH381E7TJ197996</t>
  </si>
  <si>
    <t xml:space="preserve">TMAH381E6TJ199187</t>
  </si>
  <si>
    <t xml:space="preserve">TMAH381E9TJ197336</t>
  </si>
  <si>
    <t xml:space="preserve">TMAH381E4TJ199186</t>
  </si>
  <si>
    <t xml:space="preserve">TMAH381B7TJ199527</t>
  </si>
  <si>
    <t xml:space="preserve">TMAH381B5TJ199526</t>
  </si>
  <si>
    <t xml:space="preserve">TMAH381B1TJ198597</t>
  </si>
  <si>
    <t xml:space="preserve">TMAH381B3TJ198598</t>
  </si>
  <si>
    <t xml:space="preserve">TMAH381B0TJ199742</t>
  </si>
  <si>
    <t xml:space="preserve">TMAH381B1TJ199068</t>
  </si>
  <si>
    <t xml:space="preserve">TMAH381B0TJ200033</t>
  </si>
  <si>
    <t xml:space="preserve">TMAH381B9TJ199660</t>
  </si>
  <si>
    <t xml:space="preserve">TMAH381B8TJ198936</t>
  </si>
  <si>
    <t xml:space="preserve">TMAH381B6TJ199650</t>
  </si>
  <si>
    <t xml:space="preserve">TMAH351EXTJ266808</t>
  </si>
  <si>
    <t xml:space="preserve">TMAH351E0TJ263996</t>
  </si>
  <si>
    <t xml:space="preserve">TMAH351E2TJ266513</t>
  </si>
  <si>
    <t xml:space="preserve">TMAH351E0TJ264310</t>
  </si>
  <si>
    <t xml:space="preserve">TMAH351E5TJ266148</t>
  </si>
  <si>
    <t xml:space="preserve">TMAH351E6TJ266417</t>
  </si>
  <si>
    <t xml:space="preserve">TMAH351E8TJ266466</t>
  </si>
  <si>
    <t xml:space="preserve">TMAH351E6TJ266465</t>
  </si>
  <si>
    <t xml:space="preserve">TMAH351BXTJ267057</t>
  </si>
  <si>
    <t xml:space="preserve">TMAH351B9TJ266546</t>
  </si>
  <si>
    <t xml:space="preserve">TMAH351B2TJ266548</t>
  </si>
  <si>
    <t xml:space="preserve">TMAH351BXTJ267009</t>
  </si>
  <si>
    <t xml:space="preserve">TMAH351B5TJ266155</t>
  </si>
  <si>
    <t xml:space="preserve">TMAH351B5TJ267080</t>
  </si>
  <si>
    <t xml:space="preserve">TMAH351B6TJ267198</t>
  </si>
  <si>
    <t xml:space="preserve">TMAJC81BXTJ703098</t>
  </si>
  <si>
    <t xml:space="preserve">TMAJC81B9TJ702914</t>
  </si>
  <si>
    <t xml:space="preserve">TMAJC81B9TJ697147</t>
  </si>
  <si>
    <t xml:space="preserve">TMAJC81B8TJ703097</t>
  </si>
  <si>
    <t xml:space="preserve">TMAJC81B7TJ702765</t>
  </si>
  <si>
    <t xml:space="preserve">TMAJC81B7TJ698037</t>
  </si>
  <si>
    <t xml:space="preserve">TMAJC81B5TJ703204</t>
  </si>
  <si>
    <t xml:space="preserve">TMAJC81B5TJ702912</t>
  </si>
  <si>
    <t xml:space="preserve">TMAJC81B4TJ702805</t>
  </si>
  <si>
    <t xml:space="preserve">TMAJC81B3TJ703203</t>
  </si>
  <si>
    <t xml:space="preserve">TMAJC81B2TJ702804</t>
  </si>
  <si>
    <t xml:space="preserve">TMAJC81B2TJ698141</t>
  </si>
  <si>
    <t xml:space="preserve">TMAJC81B1TJ697868</t>
  </si>
  <si>
    <t xml:space="preserve">TMAJC81B0TJ702803</t>
  </si>
  <si>
    <t xml:space="preserve">TMAJC81B9TJ702752</t>
  </si>
  <si>
    <t xml:space="preserve">TMAJC81B9TJ699092</t>
  </si>
  <si>
    <t xml:space="preserve">TMAJC81B9TJ698962</t>
  </si>
  <si>
    <t xml:space="preserve">TMAJC81B6TJ697154</t>
  </si>
  <si>
    <t xml:space="preserve">TMAJC81B3TJ698911</t>
  </si>
  <si>
    <t xml:space="preserve">TMAJC81B1TJ703099</t>
  </si>
  <si>
    <t xml:space="preserve">U5YPU81B1TL531666</t>
  </si>
  <si>
    <t xml:space="preserve">U5YPU81B4TL531614</t>
  </si>
  <si>
    <t xml:space="preserve">U5YPU81B2TL531613</t>
  </si>
  <si>
    <t xml:space="preserve">U5YPU81B0TL531612</t>
  </si>
  <si>
    <t xml:space="preserve">U5YPU81BXTL531195</t>
  </si>
  <si>
    <t xml:space="preserve">U5YPU81B8TL531194</t>
  </si>
  <si>
    <t xml:space="preserve">U5YPU81B6TL531193</t>
  </si>
  <si>
    <t xml:space="preserve">U5YPU81B4TL531192</t>
  </si>
  <si>
    <t xml:space="preserve">U5YPU81B2TL531191</t>
  </si>
  <si>
    <t xml:space="preserve">U5YPU81BXTL531858</t>
  </si>
  <si>
    <t xml:space="preserve">U5YPU81B8TL531857</t>
  </si>
  <si>
    <t xml:space="preserve">U5YPU81B6TL531856</t>
  </si>
  <si>
    <t xml:space="preserve">U5YPU81B4TL531838</t>
  </si>
  <si>
    <t xml:space="preserve">U5YPU81B3TL532270</t>
  </si>
  <si>
    <t xml:space="preserve">U5YPU81B7TL532269</t>
  </si>
  <si>
    <t xml:space="preserve">U5YPU81B3TL532267</t>
  </si>
  <si>
    <t xml:space="preserve">U5YPU81B1TL532266</t>
  </si>
  <si>
    <t xml:space="preserve">W1NKM0CB1TF611272</t>
  </si>
  <si>
    <t xml:space="preserve">W1NKM0CB4TF611072</t>
  </si>
  <si>
    <t xml:space="preserve">W1NKM0CBXTF610895</t>
  </si>
  <si>
    <t xml:space="preserve">W1NKM0CB4TF611041</t>
  </si>
  <si>
    <t xml:space="preserve">W1NKM0CB4TF611377</t>
  </si>
  <si>
    <t xml:space="preserve">Mini</t>
  </si>
  <si>
    <t xml:space="preserve">WMW41GD0202Y66818</t>
  </si>
  <si>
    <t xml:space="preserve">BAWARIA</t>
  </si>
  <si>
    <t xml:space="preserve">WMW41GD0X02Y66131</t>
  </si>
  <si>
    <t xml:space="preserve">WMW41GD0302Y66293</t>
  </si>
  <si>
    <t xml:space="preserve">WMW41GD0602Y66918</t>
  </si>
  <si>
    <t xml:space="preserve">WMW41GD0602Y66661</t>
  </si>
  <si>
    <t xml:space="preserve">WAUZZZGU6T2016249</t>
  </si>
  <si>
    <t xml:space="preserve">VGP</t>
  </si>
  <si>
    <t xml:space="preserve">WAUZZZGU4T2020543</t>
  </si>
  <si>
    <t xml:space="preserve">Tiguan</t>
  </si>
  <si>
    <t xml:space="preserve">WVGZZZCT4TW447841</t>
  </si>
  <si>
    <t xml:space="preserve">Bohemia</t>
  </si>
  <si>
    <t xml:space="preserve">WVGZZZCT3TW448060</t>
  </si>
  <si>
    <t xml:space="preserve">WVGZZZCT8TW448457</t>
  </si>
  <si>
    <t xml:space="preserve">WVGZZZCT7TW447753</t>
  </si>
  <si>
    <t xml:space="preserve">WVGZZZCT1TW448798</t>
  </si>
  <si>
    <t xml:space="preserve">WVGZZZCT6TW448344</t>
  </si>
  <si>
    <t xml:space="preserve">WVGZZZCTXTW447679</t>
  </si>
  <si>
    <t xml:space="preserve">WVGZZZCT4TW448794</t>
  </si>
  <si>
    <t xml:space="preserve">WVGZZZCT5TW447914</t>
  </si>
  <si>
    <t xml:space="preserve">WVGZZZCT7TW448787</t>
  </si>
  <si>
    <t xml:space="preserve">WVGZZZCT8TW448250</t>
  </si>
  <si>
    <t xml:space="preserve">WVGZZZCT1TW448221</t>
  </si>
  <si>
    <t xml:space="preserve">WVGZZZCT7TW448031</t>
  </si>
  <si>
    <t xml:space="preserve">WVGZZZCT1TW448039</t>
  </si>
  <si>
    <t xml:space="preserve">WVGZZZCT9TW448127</t>
  </si>
  <si>
    <t xml:space="preserve">WVGZZZCT6TW448747</t>
  </si>
  <si>
    <t xml:space="preserve">WVGZZZCT1TW448557</t>
  </si>
  <si>
    <t xml:space="preserve">WVGZZZCT4TW448746</t>
  </si>
  <si>
    <t xml:space="preserve">WVGZZZCT2TW448776</t>
  </si>
  <si>
    <t xml:space="preserve">WVGZZZCT5TW448657</t>
  </si>
  <si>
    <t xml:space="preserve">W1KAF4BB9TR350001</t>
  </si>
  <si>
    <t xml:space="preserve">Scudo</t>
  </si>
  <si>
    <t xml:space="preserve">VXFVNFC17TZ013015</t>
  </si>
  <si>
    <t xml:space="preserve">WT0573K</t>
  </si>
  <si>
    <t xml:space="preserve">VXFVNFC19TZ013016</t>
  </si>
  <si>
    <t xml:space="preserve">WT0592K</t>
  </si>
  <si>
    <t xml:space="preserve">VXFVNFC16TZ026841</t>
  </si>
  <si>
    <t xml:space="preserve">WT0576K</t>
  </si>
  <si>
    <t xml:space="preserve">VXFVNFC13TU435747</t>
  </si>
  <si>
    <t xml:space="preserve">WT0578K</t>
  </si>
  <si>
    <t xml:space="preserve">VXFVNFC17TU435007</t>
  </si>
  <si>
    <t xml:space="preserve">WT0579K</t>
  </si>
  <si>
    <t xml:space="preserve">VXFVNFC10TU434751</t>
  </si>
  <si>
    <t xml:space="preserve">WT0580K</t>
  </si>
  <si>
    <t xml:space="preserve">VXFVNFC14TU435739</t>
  </si>
  <si>
    <t xml:space="preserve">WT0581K</t>
  </si>
  <si>
    <t xml:space="preserve">VXFVNFC11TU435794</t>
  </si>
  <si>
    <t xml:space="preserve">WT0582K</t>
  </si>
  <si>
    <t xml:space="preserve">VXFVNFC18TU434657</t>
  </si>
  <si>
    <t xml:space="preserve">WT0536K</t>
  </si>
  <si>
    <t xml:space="preserve">VXFVNFC17TU434987</t>
  </si>
  <si>
    <t xml:space="preserve">WT0537K</t>
  </si>
  <si>
    <t xml:space="preserve">VXFVNFC12TU434783</t>
  </si>
  <si>
    <t xml:space="preserve">WT0538K</t>
  </si>
  <si>
    <t xml:space="preserve">VXFVNFC15TU434521</t>
  </si>
  <si>
    <t xml:space="preserve">WT0541K</t>
  </si>
  <si>
    <t xml:space="preserve">VXFVNFC1XTU434658</t>
  </si>
  <si>
    <t xml:space="preserve">WT0542K</t>
  </si>
  <si>
    <t xml:space="preserve">VXFVNFC15TU435796</t>
  </si>
  <si>
    <t xml:space="preserve">WT0543K</t>
  </si>
  <si>
    <t xml:space="preserve">VXFVNFC13TU434226</t>
  </si>
  <si>
    <t xml:space="preserve">WT0544K</t>
  </si>
  <si>
    <t xml:space="preserve">VXFVNFC18TU437624</t>
  </si>
  <si>
    <t xml:space="preserve">WT0545K</t>
  </si>
  <si>
    <t xml:space="preserve">VXFVNFC18TU440121</t>
  </si>
  <si>
    <t xml:space="preserve">WT0591K</t>
  </si>
  <si>
    <t xml:space="preserve">VXFVNFC10TZ053596</t>
  </si>
  <si>
    <t xml:space="preserve">XC60</t>
  </si>
  <si>
    <t xml:space="preserve">YV1UZH4V7T1502900</t>
  </si>
  <si>
    <t xml:space="preserve">YV1UZH4V2T1502898</t>
  </si>
  <si>
    <t xml:space="preserve">XC40</t>
  </si>
  <si>
    <t xml:space="preserve">YV1XZK7VXT2818677</t>
  </si>
  <si>
    <t xml:space="preserve">YV1UZM1VXV1531467</t>
  </si>
  <si>
    <t xml:space="preserve">XC90</t>
  </si>
  <si>
    <t xml:space="preserve">X5</t>
  </si>
  <si>
    <t xml:space="preserve">WBA11EV0109473356</t>
  </si>
  <si>
    <t xml:space="preserve">WBA11EV0909473850</t>
  </si>
  <si>
    <t xml:space="preserve">WBA11EV0909473735</t>
  </si>
  <si>
    <t xml:space="preserve">TUCSON</t>
  </si>
  <si>
    <t xml:space="preserve">TMAJC81BXTJ703084</t>
  </si>
  <si>
    <t xml:space="preserve">TMAJC81B1TJ702955</t>
  </si>
  <si>
    <t xml:space="preserve">TMAJC81B6TJ709884</t>
  </si>
  <si>
    <t xml:space="preserve">TMAJC81B5TJ702845</t>
  </si>
  <si>
    <t xml:space="preserve">TMAJC81B3TJ702942</t>
  </si>
  <si>
    <t xml:space="preserve">TMAJC81B6TJ710002</t>
  </si>
  <si>
    <t xml:space="preserve">TMAJC81BXTJ709998</t>
  </si>
  <si>
    <t xml:space="preserve">TMAJC81B7TJ711160</t>
  </si>
  <si>
    <t xml:space="preserve">TMAJC81BXTJ702954</t>
  </si>
  <si>
    <t xml:space="preserve">TMAJC81B7TJ702913</t>
  </si>
  <si>
    <t xml:space="preserve">TMAJC81B7TJ702846</t>
  </si>
  <si>
    <t xml:space="preserve">YV1LFM1V3V1565982</t>
  </si>
  <si>
    <t xml:space="preserve">YV1UZM1V2V1547324</t>
  </si>
  <si>
    <t xml:space="preserve">YV1UZM1V9V1547322</t>
  </si>
  <si>
    <t xml:space="preserve">YV1UZM1V9V1547319</t>
  </si>
  <si>
    <t xml:space="preserve">YV1UZM1V9V1531458</t>
  </si>
  <si>
    <t xml:space="preserve">YV1LFM1V8V1565962</t>
  </si>
  <si>
    <t xml:space="preserve">X3 20D</t>
  </si>
  <si>
    <t xml:space="preserve">WBA11GR0809422605</t>
  </si>
  <si>
    <t xml:space="preserve">WBA11GR0909426338</t>
  </si>
  <si>
    <t xml:space="preserve">WBA11GR0509440267</t>
  </si>
  <si>
    <t xml:space="preserve">320i</t>
  </si>
  <si>
    <t xml:space="preserve">WBA21FY080FW98770</t>
  </si>
  <si>
    <t xml:space="preserve">GLB 200</t>
  </si>
  <si>
    <t xml:space="preserve">W1NSM4EB6VN001526</t>
  </si>
  <si>
    <t xml:space="preserve">W1NSM4EB6VN001509</t>
  </si>
  <si>
    <t xml:space="preserve">W1NSM4EB1VN001577</t>
  </si>
  <si>
    <t xml:space="preserve">GLB 220</t>
  </si>
  <si>
    <t xml:space="preserve">W1NSM4HB5VN001643</t>
  </si>
  <si>
    <t xml:space="preserve">W1NSM4HB0VN001694</t>
  </si>
  <si>
    <t xml:space="preserve">W1NSM4HB1VN001607</t>
  </si>
  <si>
    <t xml:space="preserve">W1NSM4HB8VN001684</t>
  </si>
  <si>
    <t xml:space="preserve">TMAH381E2TJ202666</t>
  </si>
  <si>
    <t xml:space="preserve">auto neo</t>
  </si>
  <si>
    <t xml:space="preserve">TMAH381BXTJ200346</t>
  </si>
  <si>
    <t xml:space="preserve">TMAH381B8TJ200362</t>
  </si>
  <si>
    <t xml:space="preserve">TMAH381B5TJ200058</t>
  </si>
  <si>
    <t xml:space="preserve">TMAH381B2TJ199077</t>
  </si>
  <si>
    <t xml:space="preserve">TMAH381B1TJ200347</t>
  </si>
  <si>
    <t xml:space="preserve">TMAH381B0TJ203787</t>
  </si>
  <si>
    <t xml:space="preserve">TMAH381B0TJ199692</t>
  </si>
  <si>
    <t xml:space="preserve">TMAH351B9TJ269494</t>
  </si>
  <si>
    <t xml:space="preserve">TMAH351B6TJ269551</t>
  </si>
  <si>
    <t xml:space="preserve">TMAH351B6TJ269291</t>
  </si>
  <si>
    <t xml:space="preserve">TMAH351B5TJ268648</t>
  </si>
  <si>
    <t xml:space="preserve">TMAH351B2TJ268736</t>
  </si>
  <si>
    <t xml:space="preserve">TMAH351B0TJ269528</t>
  </si>
  <si>
    <t xml:space="preserve">TMAH381E2TJ202361</t>
  </si>
  <si>
    <t xml:space="preserve">YV1UZM1V7T1500643</t>
  </si>
  <si>
    <t xml:space="preserve">Plichta</t>
  </si>
  <si>
    <t xml:space="preserve">320i Touring</t>
  </si>
  <si>
    <t xml:space="preserve">WBA21FY050FW98807</t>
  </si>
  <si>
    <t xml:space="preserve">WBA21FY070FX00637</t>
  </si>
  <si>
    <t xml:space="preserve">WBA21FY050FW98323</t>
  </si>
  <si>
    <t xml:space="preserve">WBA21FY070FW99716</t>
  </si>
  <si>
    <t xml:space="preserve">WBA21FY040FW97969</t>
  </si>
  <si>
    <t xml:space="preserve">WBA21FY080FW99269</t>
  </si>
  <si>
    <t xml:space="preserve">WBA21FY070FX00590</t>
  </si>
  <si>
    <t xml:space="preserve">WBA21FY070FX00458</t>
  </si>
  <si>
    <t xml:space="preserve">X3 xDrive20d</t>
  </si>
  <si>
    <t xml:space="preserve">WBA11GR0709453408</t>
  </si>
  <si>
    <t xml:space="preserve">WBA11GR0X09453032</t>
  </si>
  <si>
    <t xml:space="preserve">WBA11GR0809455698</t>
  </si>
  <si>
    <t xml:space="preserve">WBA11GR0209453364</t>
  </si>
  <si>
    <t xml:space="preserve">WBA11GR0809452347</t>
  </si>
  <si>
    <t xml:space="preserve">WBA11GR0109453436</t>
  </si>
  <si>
    <t xml:space="preserve">WBA11GR0209453607</t>
  </si>
  <si>
    <t xml:space="preserve">X3 xDrive20i</t>
  </si>
  <si>
    <t xml:space="preserve">WBA31GP0209440447</t>
  </si>
  <si>
    <t xml:space="preserve">WBA31GP0109446398</t>
  </si>
  <si>
    <t xml:space="preserve">WBA31GP0409440417</t>
  </si>
  <si>
    <t xml:space="preserve">WBA31GP0909444799</t>
  </si>
  <si>
    <t xml:space="preserve">WBA31GP0509446033</t>
  </si>
  <si>
    <t xml:space="preserve">WBA31GP0309441171</t>
  </si>
  <si>
    <t xml:space="preserve">X5 xDrive30d</t>
  </si>
  <si>
    <t xml:space="preserve">WBA11EV0009442261</t>
  </si>
  <si>
    <t xml:space="preserve">WBA11GR0809450260</t>
  </si>
  <si>
    <t xml:space="preserve">WBA11GR0509448711</t>
  </si>
  <si>
    <t xml:space="preserve">WBA11GR0809453532</t>
  </si>
  <si>
    <t xml:space="preserve">WBA11GR0809453028</t>
  </si>
  <si>
    <t xml:space="preserve">WBA11GR0109453596</t>
  </si>
  <si>
    <t xml:space="preserve">WBA11GR0409451681</t>
  </si>
  <si>
    <t xml:space="preserve">WBA11GR0209453249</t>
  </si>
  <si>
    <t xml:space="preserve">WBA11GR0609455957</t>
  </si>
  <si>
    <t xml:space="preserve">WBA11GR0909453412</t>
  </si>
  <si>
    <t xml:space="preserve">WBA11GR0709456146</t>
  </si>
  <si>
    <t xml:space="preserve">WBA11EV0509439405</t>
  </si>
  <si>
    <t xml:space="preserve">WBA11EV0009441983</t>
  </si>
  <si>
    <t xml:space="preserve">WBA11EV0309439628</t>
  </si>
  <si>
    <t xml:space="preserve">WBA11EV0809440144</t>
  </si>
  <si>
    <t xml:space="preserve">WBA11EV0209439703</t>
  </si>
  <si>
    <t xml:space="preserve">WBA11EV0309441993</t>
  </si>
  <si>
    <t xml:space="preserve">WBA11EV0509441669</t>
  </si>
  <si>
    <t xml:space="preserve">WBA11EV0109438008</t>
  </si>
  <si>
    <t xml:space="preserve">WBA11EV0909439293</t>
  </si>
  <si>
    <t xml:space="preserve">WBA11EV0509442417</t>
  </si>
  <si>
    <t xml:space="preserve">WBA11EV0109440082</t>
  </si>
  <si>
    <t xml:space="preserve">WBA11EV0009437691</t>
  </si>
  <si>
    <t xml:space="preserve">WBA11EV0309446823</t>
  </si>
  <si>
    <t xml:space="preserve">WBA11EV0X09448553</t>
  </si>
  <si>
    <t xml:space="preserve">WBA11EV0609446864</t>
  </si>
  <si>
    <t xml:space="preserve">WBA11EV0909448155</t>
  </si>
  <si>
    <t xml:space="preserve">WBA11EV0509448475</t>
  </si>
  <si>
    <t xml:space="preserve">WBA11EV0309443744</t>
  </si>
  <si>
    <t xml:space="preserve">WBA11EV0X09440002</t>
  </si>
  <si>
    <t xml:space="preserve">WBA11EV0909437902</t>
  </si>
  <si>
    <t xml:space="preserve">WBA11EV0909442033</t>
  </si>
  <si>
    <t xml:space="preserve">320D</t>
  </si>
  <si>
    <t xml:space="preserve">WBA31FZ010FW84065</t>
  </si>
  <si>
    <t xml:space="preserve">WBA31FZ060FW81131</t>
  </si>
  <si>
    <t xml:space="preserve">WBA31FZ0X0FW81200</t>
  </si>
  <si>
    <t xml:space="preserve">WBA31FZ030FW80101</t>
  </si>
  <si>
    <t xml:space="preserve">WBA31FZ090FW84623</t>
  </si>
  <si>
    <t xml:space="preserve">WBA31FZ010FW85619</t>
  </si>
  <si>
    <t xml:space="preserve">WBA31FZ090FW81723</t>
  </si>
  <si>
    <t xml:space="preserve">WBA31FZ080FW83205</t>
  </si>
  <si>
    <t xml:space="preserve">WBA31FZ050FW82805</t>
  </si>
  <si>
    <t xml:space="preserve">WBA31FZ0X0FW83271</t>
  </si>
  <si>
    <t xml:space="preserve">WBA31FZ020FX01309</t>
  </si>
  <si>
    <t xml:space="preserve">WBA31FZ030FW87565</t>
  </si>
  <si>
    <t xml:space="preserve">WBA31FZ000FW88009</t>
  </si>
  <si>
    <t xml:space="preserve">WBA31FZ0X0FW88129</t>
  </si>
  <si>
    <t xml:space="preserve">WBA31FZ090FW87294</t>
  </si>
  <si>
    <t xml:space="preserve">WBA31FZ050FX04687</t>
  </si>
  <si>
    <t xml:space="preserve">WBA31FZ090FX04708</t>
  </si>
  <si>
    <t xml:space="preserve">WBA31FZ040FX04258</t>
  </si>
  <si>
    <t xml:space="preserve">WBA31FZ040FX02381</t>
  </si>
  <si>
    <t xml:space="preserve">WBA31FZ090FX01226</t>
  </si>
  <si>
    <t xml:space="preserve">WBA11GR0409446626</t>
  </si>
  <si>
    <t xml:space="preserve">WBA11GR0109446437</t>
  </si>
  <si>
    <t xml:space="preserve">WBA11GR0909440546</t>
  </si>
  <si>
    <t xml:space="preserve">WBA11GR0809446242</t>
  </si>
  <si>
    <t xml:space="preserve">WBA11GR0309440476</t>
  </si>
  <si>
    <t xml:space="preserve">WBA11GR0509446134</t>
  </si>
  <si>
    <t xml:space="preserve">WBA11GR0009446042</t>
  </si>
  <si>
    <t xml:space="preserve">WBA11GR0309441224</t>
  </si>
  <si>
    <t xml:space="preserve">WBA11GR0X09438983</t>
  </si>
  <si>
    <t xml:space="preserve">WBA11GR0809440652</t>
  </si>
  <si>
    <t xml:space="preserve">WBA11GR0309446469</t>
  </si>
  <si>
    <t xml:space="preserve">WBA11GR0909455256</t>
  </si>
  <si>
    <t xml:space="preserve">WBA11GR0909446122</t>
  </si>
  <si>
    <t xml:space="preserve">WBA11GR0509446117</t>
  </si>
  <si>
    <t xml:space="preserve">WBA11GR0X09446209</t>
  </si>
  <si>
    <t xml:space="preserve">WBA11GR0709446247</t>
  </si>
  <si>
    <t xml:space="preserve">WBA11GR0009446607</t>
  </si>
  <si>
    <t xml:space="preserve">WBA11GR0009438989</t>
  </si>
  <si>
    <t xml:space="preserve">WBA11GR0809446502</t>
  </si>
  <si>
    <t xml:space="preserve">WBA11GR0309441336</t>
  </si>
  <si>
    <t xml:space="preserve">WBA11GR0609439029</t>
  </si>
  <si>
    <t xml:space="preserve">WBA11GR0509446294</t>
  </si>
  <si>
    <t xml:space="preserve">WBA11GR0309446052</t>
  </si>
  <si>
    <t xml:space="preserve">WBA11GR0509446537</t>
  </si>
  <si>
    <t xml:space="preserve">WBA11GR0709440240</t>
  </si>
  <si>
    <t xml:space="preserve">WBA11GR0509448742</t>
  </si>
  <si>
    <t xml:space="preserve">WBA11GR0309450280</t>
  </si>
  <si>
    <t xml:space="preserve">WBA11GR0309446553</t>
  </si>
  <si>
    <t xml:space="preserve">WBA11GR0109440931</t>
  </si>
  <si>
    <t xml:space="preserve">WBA11GR0309440252</t>
  </si>
  <si>
    <t xml:space="preserve">WBA11GR0409440602</t>
  </si>
  <si>
    <t xml:space="preserve">WBA11GR0809440313</t>
  </si>
  <si>
    <t xml:space="preserve">WBA11GR0209441005</t>
  </si>
  <si>
    <t xml:space="preserve">WBA11GR0509453164</t>
  </si>
  <si>
    <t xml:space="preserve">WBA11GR0209440405</t>
  </si>
  <si>
    <t xml:space="preserve">WBA31FZ0X0FW75669</t>
  </si>
  <si>
    <t xml:space="preserve">WBA31FZ090FW75629</t>
  </si>
  <si>
    <t xml:space="preserve">WBA31FZ040FW75571</t>
  </si>
  <si>
    <t xml:space="preserve">WBA31FZ020FW76184</t>
  </si>
  <si>
    <t xml:space="preserve">WBA31FZ020FW76668</t>
  </si>
  <si>
    <t xml:space="preserve">WBA31FZ070FW78853</t>
  </si>
  <si>
    <t xml:space="preserve">WBA31FZ040FW77076</t>
  </si>
  <si>
    <t xml:space="preserve">WBA31FZ060FW80089</t>
  </si>
  <si>
    <t xml:space="preserve">WBA31FZ000FW79844</t>
  </si>
  <si>
    <t xml:space="preserve">WBA31FZ020FW80252</t>
  </si>
  <si>
    <t xml:space="preserve">WBA31FZ090FW80071</t>
  </si>
  <si>
    <t xml:space="preserve">WBA31FZ010FW81389</t>
  </si>
  <si>
    <t xml:space="preserve">WBA31FZ010FW80792</t>
  </si>
  <si>
    <t xml:space="preserve">WBA31FZ0X0FW80970</t>
  </si>
  <si>
    <t xml:space="preserve">WBA31FZ0X0FW81083</t>
  </si>
  <si>
    <t xml:space="preserve">WBA31GP0709444624</t>
  </si>
  <si>
    <t xml:space="preserve">WBA31GP0709438936</t>
  </si>
  <si>
    <t xml:space="preserve">WBA31GP0309446449</t>
  </si>
  <si>
    <t xml:space="preserve">WBA31GP0209446393</t>
  </si>
  <si>
    <t xml:space="preserve">WBA31GP0109444926</t>
  </si>
  <si>
    <t xml:space="preserve">WBA31GP0209444773</t>
  </si>
  <si>
    <t xml:space="preserve">YV1LFM1V8T1536359</t>
  </si>
  <si>
    <t xml:space="preserve">YV1LFM1V9T1536287</t>
  </si>
  <si>
    <t xml:space="preserve">YV1LFM1V1T1536350</t>
  </si>
  <si>
    <t xml:space="preserve">YV1LFM1V8T1536362</t>
  </si>
  <si>
    <t xml:space="preserve">YV1UZM1V7T1500660</t>
  </si>
  <si>
    <t xml:space="preserve">YV1UZM1VXT1500670</t>
  </si>
  <si>
    <t xml:space="preserve">YV1UZM1V4T1500647</t>
  </si>
  <si>
    <t xml:space="preserve">YV1UZM1V3T1500638</t>
  </si>
  <si>
    <t xml:space="preserve">YV1UZM1V9T1500627</t>
  </si>
  <si>
    <t xml:space="preserve">YV1UZM1V6T1500701</t>
  </si>
  <si>
    <t xml:space="preserve">YV1UZM1V8T1500697</t>
  </si>
  <si>
    <t xml:space="preserve">YV1XZK7V5T2820790</t>
  </si>
  <si>
    <t xml:space="preserve">YV1XZK7VXT2820784</t>
  </si>
  <si>
    <t xml:space="preserve">YV1XZK7V9T2820761</t>
  </si>
  <si>
    <t xml:space="preserve">YV1XZK7VXT2820753</t>
  </si>
  <si>
    <t xml:space="preserve">YV1XZK7V6T2820748</t>
  </si>
  <si>
    <t xml:space="preserve">YV1XZK7V0T2820728</t>
  </si>
  <si>
    <t xml:space="preserve">YV1XZK7V2T2820715</t>
  </si>
  <si>
    <t xml:space="preserve">YV1XZK7V8T2820699</t>
  </si>
  <si>
    <t xml:space="preserve">YV1XZK7V1T2820690</t>
  </si>
  <si>
    <t xml:space="preserve">YV1LFH7V5T1537743</t>
  </si>
  <si>
    <t xml:space="preserve">YV1LFM1V7V1565967</t>
  </si>
  <si>
    <t xml:space="preserve">YV1LFM1V8V1565928</t>
  </si>
  <si>
    <t xml:space="preserve">YV1UZM1VXV1531923</t>
  </si>
  <si>
    <t xml:space="preserve">YV1UZM1V8V1531497</t>
  </si>
  <si>
    <t xml:space="preserve">YV1UZM1V7V1547335</t>
  </si>
  <si>
    <t xml:space="preserve">YV1UZM1V0V1547306</t>
  </si>
  <si>
    <t xml:space="preserve">YV1UZM1V4V1547289</t>
  </si>
  <si>
    <t xml:space="preserve">YV1UZM1V2V1547291</t>
  </si>
  <si>
    <t xml:space="preserve">YV1UZM1V6V1530574</t>
  </si>
  <si>
    <t xml:space="preserve">YV1UZM1V0V1547273</t>
  </si>
  <si>
    <t xml:space="preserve">YV1UZH4V5T1502877</t>
  </si>
  <si>
    <t xml:space="preserve">YV1UZH4V2T1501170</t>
  </si>
  <si>
    <t xml:space="preserve">YV1UZH4V9T1501120</t>
  </si>
  <si>
    <t xml:space="preserve">YV1UZH4V3T1501145</t>
  </si>
  <si>
    <t xml:space="preserve">YV1UZH4V3T1500495</t>
  </si>
  <si>
    <t xml:space="preserve">XC40 B3 PD</t>
  </si>
  <si>
    <t xml:space="preserve">YV1XZK7V0T2818929</t>
  </si>
  <si>
    <t xml:space="preserve">YV1XZK7V7T2818975</t>
  </si>
  <si>
    <t xml:space="preserve">YV1XZK7V6T2819003</t>
  </si>
  <si>
    <t xml:space="preserve">YV1XZK7VXT2819005</t>
  </si>
  <si>
    <t xml:space="preserve">YV1XZK7V8T2818824</t>
  </si>
  <si>
    <t xml:space="preserve">YV1XZK7VXT2818761</t>
  </si>
  <si>
    <t xml:space="preserve">YV1XZK7VXT2818730</t>
  </si>
  <si>
    <t xml:space="preserve">YV1XZK7V0T2818753</t>
  </si>
  <si>
    <t xml:space="preserve">YV1XZK7V3T2818682</t>
  </si>
  <si>
    <t xml:space="preserve">WAUZZZGU6T2032483</t>
  </si>
  <si>
    <t xml:space="preserve">WBA28FF0308F97948</t>
  </si>
  <si>
    <t xml:space="preserve">YV1UZM1V9T1500398</t>
  </si>
  <si>
    <t xml:space="preserve">NOVA</t>
  </si>
  <si>
    <t xml:space="preserve">YV1UZM1V6T1500388</t>
  </si>
  <si>
    <t xml:space="preserve">YV1UZM1V0T1500385</t>
  </si>
  <si>
    <t xml:space="preserve">YV1UZM1VXT1500541</t>
  </si>
  <si>
    <t xml:space="preserve">YV1UZM1V3T1500381</t>
  </si>
  <si>
    <t xml:space="preserve">YV1UZM1V0T1500421</t>
  </si>
  <si>
    <t xml:space="preserve">YV1UZM1VXT1500409</t>
  </si>
  <si>
    <t xml:space="preserve">YV1UZM1V4T1500390</t>
  </si>
  <si>
    <t xml:space="preserve">YV1UZM1V2T1500436</t>
  </si>
  <si>
    <t xml:space="preserve">YV1UZM1V5T1500429</t>
  </si>
  <si>
    <t xml:space="preserve">YV1UZM1V2T1500405</t>
  </si>
  <si>
    <t xml:space="preserve">YV1UZM1V5T1500477</t>
  </si>
  <si>
    <t xml:space="preserve">YV1UZM1V5T1500446</t>
  </si>
  <si>
    <t xml:space="preserve">YV1UZM1V4T1499998</t>
  </si>
  <si>
    <t xml:space="preserve">YV1UZM1VXT1499486</t>
  </si>
  <si>
    <t xml:space="preserve">YV1XZK7V3T2822666</t>
  </si>
  <si>
    <t xml:space="preserve">YV1XZK7V7T2822928</t>
  </si>
  <si>
    <t xml:space="preserve">YV1XZK7V9T2822087</t>
  </si>
  <si>
    <t xml:space="preserve">YV1XZK7VXT2822969</t>
  </si>
  <si>
    <t xml:space="preserve">YV1XZK7V5T2822975</t>
  </si>
  <si>
    <t xml:space="preserve">YV1XZK7V7T2823139</t>
  </si>
  <si>
    <t xml:space="preserve">YV1XZK7V5T2823172</t>
  </si>
  <si>
    <t xml:space="preserve">YV1XZK7V8T2823148</t>
  </si>
  <si>
    <t xml:space="preserve">YV1XZK7V3T2822098</t>
  </si>
  <si>
    <t xml:space="preserve">YV1XZK7V2T2822092</t>
  </si>
  <si>
    <t xml:space="preserve">YV1XZK7V8T2821934</t>
  </si>
  <si>
    <t xml:space="preserve">YV1XZK7V2T2821945</t>
  </si>
  <si>
    <t xml:space="preserve">YV1XZK7V4T2821896</t>
  </si>
  <si>
    <t xml:space="preserve">YV1XZK7V1T2821905</t>
  </si>
  <si>
    <t xml:space="preserve">YV1XZK7V5T2821888</t>
  </si>
  <si>
    <t xml:space="preserve">YV1LFM1VXT1538470</t>
  </si>
  <si>
    <t xml:space="preserve">KARLIK</t>
  </si>
  <si>
    <t xml:space="preserve">YV1LFM1V2T1537894</t>
  </si>
  <si>
    <t xml:space="preserve">YV1LFM1V1T1538468</t>
  </si>
  <si>
    <t xml:space="preserve">YV1LFM1V2T1538446</t>
  </si>
  <si>
    <t xml:space="preserve">YV1LFM1V6T1538501</t>
  </si>
  <si>
    <t xml:space="preserve">YV1UZM1V4T1479136</t>
  </si>
  <si>
    <t xml:space="preserve">YV1UZM1V3T1479161</t>
  </si>
  <si>
    <t xml:space="preserve">YV1UZM1V4T1478861</t>
  </si>
  <si>
    <t xml:space="preserve">YV1UZM1VXT1478444</t>
  </si>
  <si>
    <t xml:space="preserve">YV1UZM1V6T1478439</t>
  </si>
  <si>
    <t xml:space="preserve">YV1UZM1V8T1479172</t>
  </si>
  <si>
    <t xml:space="preserve">YV1UZM1V5T1478870</t>
  </si>
  <si>
    <t xml:space="preserve">YV1UZM1V5T1479114</t>
  </si>
  <si>
    <t xml:space="preserve">YV1UZM1V0T1478906</t>
  </si>
  <si>
    <t xml:space="preserve">YV1UZM1V6T1478666</t>
  </si>
  <si>
    <t xml:space="preserve">YV1UZM1V4T1475362</t>
  </si>
  <si>
    <t xml:space="preserve">YV1UZM1V6T1475363</t>
  </si>
  <si>
    <t xml:space="preserve">YV1UZM1V5T1480585</t>
  </si>
  <si>
    <t xml:space="preserve">YV1UZM1V7T1479311</t>
  </si>
  <si>
    <t xml:space="preserve">YV1UZM1V7T1478661</t>
  </si>
  <si>
    <t xml:space="preserve">YV1UZM1VXT1475365</t>
  </si>
  <si>
    <t xml:space="preserve">YV1UZM1V0T1475374</t>
  </si>
  <si>
    <t xml:space="preserve">YV1UZM1V4T1475376</t>
  </si>
  <si>
    <t xml:space="preserve">YV1UZM1V2T1478664</t>
  </si>
  <si>
    <t xml:space="preserve">YV1UZM1V6T1475220</t>
  </si>
  <si>
    <t xml:space="preserve">YV1XZK7V0T2821071</t>
  </si>
  <si>
    <t xml:space="preserve">YV1XZK7V7T2821164</t>
  </si>
  <si>
    <t xml:space="preserve">YV1XZK7VXT2821160</t>
  </si>
  <si>
    <t xml:space="preserve">YV1XZK7V5T2821051</t>
  </si>
  <si>
    <t xml:space="preserve">YV1XZK7V9T2821036</t>
  </si>
  <si>
    <t xml:space="preserve">X5 30D</t>
  </si>
  <si>
    <t xml:space="preserve">WBA11EV0309439290</t>
  </si>
  <si>
    <t xml:space="preserve">WBA11EV0009437769</t>
  </si>
  <si>
    <t xml:space="preserve">WBA21FY040FW97664</t>
  </si>
  <si>
    <t xml:space="preserve">WBA31GP0409431202</t>
  </si>
  <si>
    <t xml:space="preserve">WBA31GP0509440622</t>
  </si>
  <si>
    <t xml:space="preserve">WBA31GP0009435747</t>
  </si>
  <si>
    <t xml:space="preserve">WBA31GP0X09435867</t>
  </si>
  <si>
    <t xml:space="preserve">WBA21FY050FW96880</t>
  </si>
  <si>
    <t xml:space="preserve">WBA31GP0809435947</t>
  </si>
  <si>
    <t xml:space="preserve">WBA31GP0709431520</t>
  </si>
  <si>
    <t xml:space="preserve">WBA31GP0209435913</t>
  </si>
  <si>
    <t xml:space="preserve">WBA31GP0309439145</t>
  </si>
  <si>
    <t xml:space="preserve">WBA31GP0609431170</t>
  </si>
  <si>
    <t xml:space="preserve">WBA31GP0909436069</t>
  </si>
  <si>
    <t xml:space="preserve">WBA11EV0209439412</t>
  </si>
  <si>
    <t xml:space="preserve">WBA31GP0309433751</t>
  </si>
  <si>
    <t xml:space="preserve">WBA11GR0X09453404</t>
  </si>
  <si>
    <t xml:space="preserve">WBA11GR0409452992</t>
  </si>
  <si>
    <t xml:space="preserve">WBA11GR0309451591</t>
  </si>
  <si>
    <t xml:space="preserve">WBA11GR0409449039</t>
  </si>
  <si>
    <t xml:space="preserve">WBA11GR0809429540</t>
  </si>
  <si>
    <t xml:space="preserve">WBA11GR0709429738</t>
  </si>
  <si>
    <t xml:space="preserve">WBA11GR0209451579</t>
  </si>
  <si>
    <t xml:space="preserve">WBA11GR0609448572</t>
  </si>
  <si>
    <t xml:space="preserve">WBA11GR0409451745</t>
  </si>
  <si>
    <t xml:space="preserve">WBA11EV0109437151</t>
  </si>
  <si>
    <t xml:space="preserve">WBA31GP0809431672</t>
  </si>
  <si>
    <t xml:space="preserve">WBA31GP0309435595</t>
  </si>
  <si>
    <t xml:space="preserve">WBA31GP0X09435691</t>
  </si>
  <si>
    <t xml:space="preserve">WBA11GR0109448706</t>
  </si>
  <si>
    <t xml:space="preserve">WBA11EV0309438351</t>
  </si>
  <si>
    <t xml:space="preserve">WBA11EV0409439539</t>
  </si>
  <si>
    <t xml:space="preserve">WBA31GP0909431034</t>
  </si>
  <si>
    <t xml:space="preserve">WBA31GP0909431955</t>
  </si>
  <si>
    <t xml:space="preserve">WBA31GP0409431085</t>
  </si>
  <si>
    <t xml:space="preserve">WBA31GP0209435670</t>
  </si>
  <si>
    <t xml:space="preserve">WBA31GP0909431647</t>
  </si>
  <si>
    <t xml:space="preserve">WBA11EV0709437882</t>
  </si>
  <si>
    <t xml:space="preserve">WBA11GR0209449086</t>
  </si>
  <si>
    <t xml:space="preserve">WBA11GR0709426869</t>
  </si>
  <si>
    <t xml:space="preserve">WBA31GP0009440494</t>
  </si>
  <si>
    <t xml:space="preserve">WBA31GP0309438822</t>
  </si>
  <si>
    <t xml:space="preserve">WBA31GP0609438698</t>
  </si>
  <si>
    <t xml:space="preserve">WBA31GP0109446465</t>
  </si>
  <si>
    <t xml:space="preserve">WBA31GP0409439199</t>
  </si>
  <si>
    <t xml:space="preserve">WBA31GP0209440576</t>
  </si>
  <si>
    <t xml:space="preserve">WBA31GP0X09440664</t>
  </si>
  <si>
    <t xml:space="preserve">TOYOTA</t>
  </si>
  <si>
    <t xml:space="preserve">HILUX</t>
  </si>
  <si>
    <t xml:space="preserve">AHTBE3CD207471443</t>
  </si>
  <si>
    <t xml:space="preserve">AUTO PODLASIE</t>
  </si>
  <si>
    <t xml:space="preserve">AHTBE3CD307472004</t>
  </si>
  <si>
    <t xml:space="preserve">AHTBE3CD407472139</t>
  </si>
  <si>
    <t xml:space="preserve">AHTBE3CD807472242</t>
  </si>
  <si>
    <t xml:space="preserve">AHTBE3CD507472263</t>
  </si>
  <si>
    <t xml:space="preserve">AHTBE3CD907471875</t>
  </si>
  <si>
    <t xml:space="preserve">AHTBE3CD407472318</t>
  </si>
  <si>
    <t xml:space="preserve">AHTBE3CDX07472520</t>
  </si>
  <si>
    <t xml:space="preserve">AHTBE3CD707472507</t>
  </si>
  <si>
    <t xml:space="preserve">AHTBE3CDX07472629</t>
  </si>
  <si>
    <t xml:space="preserve">X3 20 Xdrive</t>
  </si>
  <si>
    <t xml:space="preserve">WBA31GP0X09444598</t>
  </si>
  <si>
    <t xml:space="preserve">X5 30D Xdrive</t>
  </si>
  <si>
    <t xml:space="preserve">WBA11EV0809442959</t>
  </si>
  <si>
    <t xml:space="preserve">WBA11EV0509437654</t>
  </si>
  <si>
    <t xml:space="preserve">WBA11EV0309438575</t>
  </si>
  <si>
    <t xml:space="preserve">WBA11EV0109422875</t>
  </si>
  <si>
    <t xml:space="preserve">X3 20d Xdrive</t>
  </si>
  <si>
    <t xml:space="preserve">WBA11GR0409446383</t>
  </si>
  <si>
    <t xml:space="preserve">WBA11GR0509441449</t>
  </si>
  <si>
    <t xml:space="preserve">WBA11GR0209446527</t>
  </si>
  <si>
    <t xml:space="preserve">WBA11GR0709441212</t>
  </si>
  <si>
    <t xml:space="preserve">WBA11GR0209439111</t>
  </si>
  <si>
    <t xml:space="preserve">WBA31GP0X09440809</t>
  </si>
  <si>
    <t xml:space="preserve">WBA11GR0309440428</t>
  </si>
  <si>
    <t xml:space="preserve">WBA11GR0909439008</t>
  </si>
  <si>
    <t xml:space="preserve">WBA11GR0209440789</t>
  </si>
  <si>
    <t xml:space="preserve">WBA11GR0109441304</t>
  </si>
  <si>
    <t xml:space="preserve">WBA11EV0909423742</t>
  </si>
  <si>
    <t xml:space="preserve">WBA11EV0909473055</t>
  </si>
  <si>
    <t xml:space="preserve">WBA11GR0309446343</t>
  </si>
  <si>
    <t xml:space="preserve">WBA11EV0009468780</t>
  </si>
  <si>
    <t xml:space="preserve">WBA11EV0409469981</t>
  </si>
  <si>
    <t xml:space="preserve">WBA11EV0709445819</t>
  </si>
  <si>
    <t xml:space="preserve">WBA11EV0209469641</t>
  </si>
  <si>
    <t xml:space="preserve">WBA11EV0509473196</t>
  </si>
  <si>
    <t xml:space="preserve">WBA11EV0609469318</t>
  </si>
  <si>
    <t xml:space="preserve">-</t>
  </si>
  <si>
    <t xml:space="preserve">Q3</t>
  </si>
  <si>
    <t xml:space="preserve">WAUZZZFJ8T1095890</t>
  </si>
  <si>
    <t xml:space="preserve">Krotoski</t>
  </si>
  <si>
    <t xml:space="preserve">WAUZZZFJ3T1097059</t>
  </si>
  <si>
    <t xml:space="preserve">WAUZZZFJ5T1096608</t>
  </si>
  <si>
    <t xml:space="preserve">WAUZZZFJ2T1096419</t>
  </si>
  <si>
    <t xml:space="preserve">WAUZZZFJXT1100944</t>
  </si>
  <si>
    <t xml:space="preserve">WAUZZZFJ8T1097381</t>
  </si>
  <si>
    <t xml:space="preserve">WAUZZZFJ6T1099193</t>
  </si>
  <si>
    <t xml:space="preserve">WAUZZZFJ5T1095118</t>
  </si>
  <si>
    <t xml:space="preserve">WAUZZZFJ2T1100789</t>
  </si>
  <si>
    <t xml:space="preserve">WAUZZZFJ0T1098430</t>
  </si>
  <si>
    <t xml:space="preserve">WAUZZZFJ2T1095481</t>
  </si>
  <si>
    <t xml:space="preserve">WAUZZZFJ1T1098078</t>
  </si>
  <si>
    <t xml:space="preserve">WAUZZZFJ4T1098477</t>
  </si>
  <si>
    <t xml:space="preserve">WAUZZZFJ3T1096090</t>
  </si>
  <si>
    <t xml:space="preserve">WAUZZZFJ4T1079654</t>
  </si>
  <si>
    <t xml:space="preserve">WAUZZZFJ6T1080451</t>
  </si>
  <si>
    <t xml:space="preserve">WAUZZZFJ8T1080886</t>
  </si>
  <si>
    <t xml:space="preserve">WAUZZZFJ7T1080880</t>
  </si>
  <si>
    <t xml:space="preserve">WAUZZZFJ8T1089555</t>
  </si>
  <si>
    <t xml:space="preserve">WAUZZZFJ5T1080067</t>
  </si>
  <si>
    <t xml:space="preserve">TMAJC81BXTJ718846</t>
  </si>
  <si>
    <t xml:space="preserve">DEX-POL</t>
  </si>
  <si>
    <t xml:space="preserve">TMAJC81B0TJ718855</t>
  </si>
  <si>
    <t xml:space="preserve">TMAJC81B8TJ718845</t>
  </si>
  <si>
    <t xml:space="preserve">TMAJC81B7TJ718853</t>
  </si>
  <si>
    <t xml:space="preserve">I 20</t>
  </si>
  <si>
    <t xml:space="preserve">NLHBN51G0TZ737144</t>
  </si>
  <si>
    <t xml:space="preserve">NLHBN51G7TZ737139</t>
  </si>
  <si>
    <t xml:space="preserve">NLHBN51G9TZ761216</t>
  </si>
  <si>
    <t xml:space="preserve">NLHBN51G4TZ761172</t>
  </si>
  <si>
    <t xml:space="preserve">NLHBN51G9TZ761202</t>
  </si>
  <si>
    <t xml:space="preserve">I 30 hb</t>
  </si>
  <si>
    <t xml:space="preserve">TMAH351B2TJ267246</t>
  </si>
  <si>
    <t xml:space="preserve">TMAH351B1TJ267187</t>
  </si>
  <si>
    <t xml:space="preserve">TMAH351B4TJ267040</t>
  </si>
  <si>
    <t xml:space="preserve">TMAH351B9TJ267034</t>
  </si>
  <si>
    <t xml:space="preserve">TMAH351B5TJ266527</t>
  </si>
  <si>
    <t xml:space="preserve">WVGZZZC18VY018790</t>
  </si>
  <si>
    <t xml:space="preserve">WVGZZZC18VY019244</t>
  </si>
  <si>
    <t xml:space="preserve">WVGZZZC16VY018674</t>
  </si>
  <si>
    <t xml:space="preserve">WVGZZZC15VY018648</t>
  </si>
  <si>
    <t xml:space="preserve">WVGZZZC1XVY032416</t>
  </si>
  <si>
    <t xml:space="preserve">WVGZZZC19VY018703</t>
  </si>
  <si>
    <t xml:space="preserve">WVGZZZC11VY018887</t>
  </si>
  <si>
    <t xml:space="preserve">WVGZZZC13VY018907</t>
  </si>
  <si>
    <t xml:space="preserve">WVGZZZC11VY018498</t>
  </si>
  <si>
    <t xml:space="preserve">WVGZZZC14VY018835</t>
  </si>
  <si>
    <t xml:space="preserve">WVGZZZC1XVY032898</t>
  </si>
  <si>
    <t xml:space="preserve">WVGZZZC19VY019494</t>
  </si>
  <si>
    <t xml:space="preserve">WVGZZZC15VY018536</t>
  </si>
  <si>
    <t xml:space="preserve">WBA11EV0209465007</t>
  </si>
  <si>
    <t xml:space="preserve">WBA11EV0109462924</t>
  </si>
  <si>
    <t xml:space="preserve">WBA48FU0008G46633</t>
  </si>
  <si>
    <t xml:space="preserve">WBA28FF0408G33694</t>
  </si>
  <si>
    <t xml:space="preserve">WBA28FF0408G02493</t>
  </si>
  <si>
    <t xml:space="preserve">WBA28FF0X08G30105</t>
  </si>
  <si>
    <t xml:space="preserve">WBA48FU0608F94800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</si>
</sst>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yyyy\-mm\-dd&quot;  &quot;hh:mm:ss"/>
    <numFmt numFmtId="166" formatCode="General"/>
    <numFmt numFmtId="167" formatCode="yyyy\-mm\-dd"/>
    <numFmt numFmtId="168" formatCode="0"/>
    <numFmt numFmtId="169" formatCode="yyyy\-mm"/>
  </numFmts>
  <fonts count="22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Arial"/>
      <family val="2"/>
      <charset val="1"/>
    </font>
    <font>
      <sz val="10"/>
      <color rgb="FFFFFFFF"/>
      <name val="Arial"/>
      <family val="2"/>
      <charset val="1"/>
    </font>
    <font>
      <sz val="9"/>
      <color rgb="FF7F7F7F"/>
      <name val="Arial"/>
      <family val="2"/>
      <charset val="1"/>
    </font>
    <font>
      <b val="true"/>
      <sz val="12"/>
      <color rgb="FF3F3F3F"/>
      <name val="Arial"/>
      <family val="2"/>
      <charset val="1"/>
    </font>
    <font>
      <b val="true"/>
      <sz val="26"/>
      <color rgb="FFE30613"/>
      <name val="Arial"/>
      <family val="2"/>
      <charset val="1"/>
    </font>
    <font>
      <b val="true"/>
      <sz val="9"/>
      <color rgb="FF595959"/>
      <name val="Arial"/>
      <family val="2"/>
      <charset val="1"/>
    </font>
    <font>
      <sz val="10"/>
      <color theme="1"/>
      <name val="Arial"/>
      <family val="2"/>
      <charset val="1"/>
    </font>
    <font>
      <b val="true"/>
      <sz val="10"/>
      <color theme="1"/>
      <name val="Arial"/>
      <family val="2"/>
      <charset val="1"/>
    </font>
    <font>
      <sz val="9"/>
      <color theme="1"/>
      <name val="Arial"/>
      <family val="2"/>
      <charset val="1"/>
    </font>
    <font>
      <i val="true"/>
      <sz val="9"/>
      <color rgb="FF595959"/>
      <name val="Arial"/>
      <family val="2"/>
      <charset val="1"/>
    </font>
    <font>
      <sz val="11"/>
      <color rgb="FF000000"/>
      <name val="Calibri"/>
      <family val="0"/>
      <charset val="1"/>
    </font>
    <font>
      <b val="true"/>
      <sz val="10"/>
      <color rgb="FFE30613"/>
      <name val="Arial"/>
      <family val="2"/>
      <charset val="1"/>
    </font>
    <font>
      <b val="true"/>
      <sz val="8"/>
      <color rgb="FF7F7F7F"/>
      <name val="Arial"/>
      <family val="2"/>
      <charset val="1"/>
    </font>
    <font>
      <i val="true"/>
      <sz val="10"/>
      <color rgb="FF7F7F7F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sz val="10"/>
      <name val="Arial"/>
      <family val="2"/>
    </font>
    <font>
      <b val="true"/>
      <sz val="11"/>
      <color rgb="FFFFFFFF"/>
      <name val="Arial"/>
      <family val="2"/>
      <charset val="1"/>
    </font>
    <font>
      <b val="true"/>
      <sz val="11"/>
      <color rgb="FFE30613"/>
      <name val="Arial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E30613"/>
        <bgColor rgb="FFB71C1C"/>
      </patternFill>
    </fill>
    <fill>
      <patternFill patternType="solid">
        <fgColor rgb="FFFFFFFF"/>
        <bgColor rgb="FFFFFDE7"/>
      </patternFill>
    </fill>
    <fill>
      <patternFill patternType="solid">
        <fgColor rgb="FFF2F2F2"/>
        <bgColor rgb="FFFFFDE7"/>
      </patternFill>
    </fill>
    <fill>
      <patternFill patternType="solid">
        <fgColor rgb="FFFFF9C4"/>
        <bgColor rgb="FFFFF2CC"/>
      </patternFill>
    </fill>
    <fill>
      <patternFill patternType="solid">
        <fgColor rgb="FFC6EFCE"/>
        <bgColor rgb="FFD9D9D9"/>
      </patternFill>
    </fill>
    <fill>
      <patternFill patternType="solid">
        <fgColor rgb="FFFFC7CE"/>
        <bgColor rgb="FFD9D9D9"/>
      </patternFill>
    </fill>
    <fill>
      <patternFill patternType="solid">
        <fgColor rgb="FFFFF2CC"/>
        <bgColor rgb="FFFFF9C4"/>
      </patternFill>
    </fill>
    <fill>
      <patternFill patternType="solid">
        <fgColor rgb="FFE7E6E6"/>
        <bgColor rgb="FFF2F2F2"/>
      </patternFill>
    </fill>
    <fill>
      <patternFill patternType="solid">
        <fgColor rgb="FF3F3F3F"/>
        <bgColor rgb="FF333300"/>
      </patternFill>
    </fill>
    <fill>
      <patternFill patternType="solid">
        <fgColor rgb="FFFFFDE7"/>
        <bgColor rgb="FFFFFFFF"/>
      </patternFill>
    </fill>
    <fill>
      <patternFill patternType="solid">
        <fgColor rgb="FFFFF200"/>
        <bgColor rgb="FFFFEB9C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/>
      <diagonal/>
    </border>
    <border diagonalUp="false" diagonalDown="false"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 style="thin"/>
      <right style="thin"/>
      <top style="thin"/>
      <bottom style="medium">
        <color rgb="FFE30613"/>
      </bottom>
      <diagonal/>
    </border>
    <border diagonalUp="false" diagonalDown="false"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4" fontId="5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7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3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0" fillId="4" borderId="3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6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7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8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10" fillId="8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7" fillId="9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1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0" fillId="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7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7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0" fillId="7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11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11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6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0" fillId="6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0" fillId="2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0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5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0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4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1" fillId="4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1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1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9" xfId="0" applyFont="true" applyBorder="true" applyAlignment="true" applyProtection="false">
      <alignment horizontal="general" vertical="top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2">
    <dxf>
      <fill>
        <patternFill patternType="solid">
          <fgColor rgb="FF3F3F3F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F9C4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FFEB9C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ill>
        <patternFill patternType="solid">
          <fgColor rgb="FF9C65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fgColor rgb="FFC6EFCE"/>
          <bgColor rgb="FF000000"/>
        </patternFill>
      </fill>
    </dxf>
  </dxfs>
  <colors>
    <indexedColors>
      <rgbColor rgb="FF000000"/>
      <rgbColor rgb="FFFFFFFF"/>
      <rgbColor rgb="FFE30613"/>
      <rgbColor rgb="FF00FF00"/>
      <rgbColor rgb="FF0000FF"/>
      <rgbColor rgb="FFFFF200"/>
      <rgbColor rgb="FFFF00FF"/>
      <rgbColor rgb="FF00FFFF"/>
      <rgbColor rgb="FF9C0006"/>
      <rgbColor rgb="FF008000"/>
      <rgbColor rgb="FF000080"/>
      <rgbColor rgb="FF9C6500"/>
      <rgbColor rgb="FF6A1B9A"/>
      <rgbColor rgb="FF00695C"/>
      <rgbColor rgb="FFBFBFBF"/>
      <rgbColor rgb="FF7F7F7F"/>
      <rgbColor rgb="FF787878"/>
      <rgbColor rgb="FF993366"/>
      <rgbColor rgb="FFFFF9C4"/>
      <rgbColor rgb="FFF2F2F2"/>
      <rgbColor rgb="FF660066"/>
      <rgbColor rgb="FFFF8080"/>
      <rgbColor rgb="FF0066CC"/>
      <rgbColor rgb="FFD9D9D9"/>
      <rgbColor rgb="FF000080"/>
      <rgbColor rgb="FFFF00FF"/>
      <rgbColor rgb="FFFFF2CC"/>
      <rgbColor rgb="FF00FFFF"/>
      <rgbColor rgb="FF800080"/>
      <rgbColor rgb="FF800000"/>
      <rgbColor rgb="FF008080"/>
      <rgbColor rgb="FF0000FF"/>
      <rgbColor rgb="FF00CCFF"/>
      <rgbColor rgb="FFE7E6E6"/>
      <rgbColor rgb="FFC6EFCE"/>
      <rgbColor rgb="FFFFEB9C"/>
      <rgbColor rgb="FFC8C8C8"/>
      <rgbColor rgb="FFE0D9A0"/>
      <rgbColor rgb="FFFFFDE7"/>
      <rgbColor rgb="FFFFC7CE"/>
      <rgbColor rgb="FF3366FF"/>
      <rgbColor rgb="FF33CCCC"/>
      <rgbColor rgb="FF99CC00"/>
      <rgbColor rgb="FFF9A825"/>
      <rgbColor rgb="FFF4A100"/>
      <rgbColor rgb="FFFF6600"/>
      <rgbColor rgb="FF616161"/>
      <rgbColor rgb="FF9E9E9E"/>
      <rgbColor rgb="FF003366"/>
      <rgbColor rgb="FF2E7D32"/>
      <rgbColor rgb="FF003300"/>
      <rgbColor rgb="FF333300"/>
      <rgbColor rgb="FFB71C1C"/>
      <rgbColor rgb="FF993366"/>
      <rgbColor rgb="FF59595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1.xml><?xml version="1.0" encoding="utf-8"?>
<formControlPr xmlns="http://schemas.microsoft.com/office/spreadsheetml/2009/9/main" objectType="Button" lockText="1"/>
</file>

<file path=xl/ctrlProps/ctrlProps12.xml><?xml version="1.0" encoding="utf-8"?>
<formControlPr xmlns="http://schemas.microsoft.com/office/spreadsheetml/2009/9/main" objectType="Button" lockText="1"/>
</file>

<file path=xl/ctrlProps/ctrlProps14.xml><?xml version="1.0" encoding="utf-8"?>
<formControlPr xmlns="http://schemas.microsoft.com/office/spreadsheetml/2009/9/main" objectType="Button" lockText="1"/>
</file>

<file path=xl/ctrlProps/ctrlProps15.xml><?xml version="1.0" encoding="utf-8"?>
<formControlPr xmlns="http://schemas.microsoft.com/office/spreadsheetml/2009/9/main" objectType="Button" lockText="1"/>
</file>

<file path=xl/ctrlProps/ctrlProps16.xml><?xml version="1.0" encoding="utf-8"?>
<formControlPr xmlns="http://schemas.microsoft.com/office/spreadsheetml/2009/9/main" objectType="Button" lockText="1"/>
</file>

<file path=xl/ctrlProps/ctrlProps17.xml><?xml version="1.0" encoding="utf-8"?>
<formControlPr xmlns="http://schemas.microsoft.com/office/spreadsheetml/2009/9/main" objectType="Button" lockText="1"/>
</file>

<file path=xl/ctrlProps/ctrlProps19.xml><?xml version="1.0" encoding="utf-8"?>
<formControlPr xmlns="http://schemas.microsoft.com/office/spreadsheetml/2009/9/main" objectType="Button" lockText="1"/>
</file>

<file path=xl/ctrlProps/ctrlProps20.xml><?xml version="1.0" encoding="utf-8"?>
<formControlPr xmlns="http://schemas.microsoft.com/office/spreadsheetml/2009/9/main" objectType="Button" lockText="1"/>
</file>

<file path=xl/ctrlProps/ctrlProps23.xml><?xml version="1.0" encoding="utf-8"?>
<formControlPr xmlns="http://schemas.microsoft.com/office/spreadsheetml/2009/9/main" objectType="Button" lockText="1"/>
</file>

<file path=xl/ctrlProps/ctrlProps25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0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3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8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2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4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1</xdr:col>
      <xdr:colOff>198360</xdr:colOff>
      <xdr:row>0</xdr:row>
      <xdr:rowOff>379080</xdr:rowOff>
    </xdr:to>
    <xdr:pic>
      <xdr:nvPicPr>
        <xdr:cNvPr id="0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401400" cy="34092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40320</xdr:colOff>
      <xdr:row>6</xdr:row>
      <xdr:rowOff>126000</xdr:rowOff>
    </xdr:to>
    <xdr:pic>
      <xdr:nvPicPr>
        <xdr:cNvPr id="1" name="Picture 2" descr="logo99rent.png"/>
        <xdr:cNvPicPr/>
      </xdr:nvPicPr>
      <xdr:blipFill>
        <a:blip r:embed="rId2"/>
        <a:stretch/>
      </xdr:blipFill>
      <xdr:spPr>
        <a:xfrm>
          <a:off x="241200" y="695160"/>
          <a:ext cx="1348560" cy="102168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W REJESTRACJI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W REJESTRACJI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IMPORT HURTOWY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 HURTOWY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KATALOG ZAREJESTR.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KATALOG ZAREJESTR.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4" descr="PODSUMOWANI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PODSUMOWANIE</a:t>
              </a:r>
            </a:p>
          </xdr:txBody>
        </xdr:sp>
        <xdr:clientData/>
      </xdr:twoCellAnchor>
    </mc:Choice>
  </mc:AlternateContent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2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DODAJ WNIOSEK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DODAJ WNIOSEK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ZAREJESTRUJ ZAZNACZONE ▶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ZAREJESTRUJ ZAZNACZONE ▶</a:t>
              </a:r>
            </a:p>
          </xdr:txBody>
        </xdr:sp>
        <xdr:clientData/>
      </xdr:twoCellAnchor>
    </mc:Choice>
  </mc:AlternateContent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3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IMPORTUJ DO REJESTR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IMPORTUJ DO REJESTRU</a:t>
              </a:r>
            </a:p>
          </xdr:txBody>
        </xdr:sp>
        <xdr:clientData/>
      </xdr:twoCellAnchor>
    </mc:Choice>
  </mc:AlternateContent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4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DODAJ DO KATALOG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DODAJ DO KATALOGU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ARCHIWIZUJ STARE MIES.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ARCHIWIZUJ STARE MIES.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4" descr="◀ PRZYWRÓĆ DO REJESTRACJI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PRZYWRÓĆ DO REJESTRACJI</a:t>
              </a:r>
            </a:p>
          </xdr:txBody>
        </xdr:sp>
        <xdr:clientData/>
      </xdr:twoCellAnchor>
    </mc:Choice>
  </mc:AlternateContent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1</xdr:col>
      <xdr:colOff>198360</xdr:colOff>
      <xdr:row>0</xdr:row>
      <xdr:rowOff>379080</xdr:rowOff>
    </xdr:to>
    <xdr:pic>
      <xdr:nvPicPr>
        <xdr:cNvPr id="5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40140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GENERUJ RAPORT (PLIK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GENERUJ RAPORT (PLIK)</a:t>
              </a:r>
            </a:p>
          </xdr:txBody>
        </xdr:sp>
        <xdr:clientData/>
      </xdr:twoCellAnchor>
    </mc:Choice>
  </mc:AlternateContent>
</xdr:wsDr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6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7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</xdr:wsDr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8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</xdr:wsDr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7.xml"/><Relationship Id="rId4" Type="http://schemas.openxmlformats.org/officeDocument/2006/relationships/ctrlProp" Target="../ctrlProps/ctrlProps8.xml"/><Relationship Id="rId5" Type="http://schemas.openxmlformats.org/officeDocument/2006/relationships/ctrlProp" Target="../ctrlProps/ctrlProps9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s11.xml"/><Relationship Id="rId4" Type="http://schemas.openxmlformats.org/officeDocument/2006/relationships/ctrlProp" Target="../ctrlProps/ctrlProps1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13.xml"/><Relationship Id="rId3" Type="http://schemas.openxmlformats.org/officeDocument/2006/relationships/vmlDrawing" Target="../drawings/vmlDrawing4.vml"/><Relationship Id="rId4" Type="http://schemas.openxmlformats.org/officeDocument/2006/relationships/ctrlProp" Target="../ctrlProps/ctrlProps14.xml"/><Relationship Id="rId5" Type="http://schemas.openxmlformats.org/officeDocument/2006/relationships/ctrlProp" Target="../ctrlProps/ctrlProps15.xml"/><Relationship Id="rId6" Type="http://schemas.openxmlformats.org/officeDocument/2006/relationships/ctrlProp" Target="../ctrlProps/ctrlProps16.xml"/><Relationship Id="rId7" Type="http://schemas.openxmlformats.org/officeDocument/2006/relationships/ctrlProp" Target="../ctrlProps/ctrlProps17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s19.xml"/><Relationship Id="rId4" Type="http://schemas.openxmlformats.org/officeDocument/2006/relationships/ctrlProp" Target="../ctrlProps/ctrlProps20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s23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s25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26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27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E30613"/>
    <pageSetUpPr fitToPage="false"/>
  </sheetPr>
  <dimension ref="A1:K22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.71"/>
    <col collapsed="false" customWidth="true" hidden="false" outlineLevel="0" max="3" min="2" style="0" width="14.72"/>
    <col collapsed="false" customWidth="true" hidden="false" outlineLevel="0" max="11" min="4" style="0" width="12.72"/>
  </cols>
  <sheetData>
    <row r="1" customFormat="false" ht="39.75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customFormat="false" ht="15" hidden="false" customHeight="false" outlineLevel="0" collapsed="false">
      <c r="I2" s="3" t="s">
        <v>2</v>
      </c>
      <c r="J2" s="4" t="n">
        <f aca="true">NOW()</f>
        <v>46239.2896315257</v>
      </c>
      <c r="K2" s="4"/>
    </row>
    <row r="4" customFormat="false" ht="15" hidden="false" customHeight="false" outlineLevel="0" collapsed="false">
      <c r="D4" s="5" t="n">
        <f aca="false">SUMPRODUCT(--(('W rejestracji'!$A$9:$A$3000&amp;'W rejestracji'!$C$9:$C$3000)&lt;&gt;""))</f>
        <v>57</v>
      </c>
      <c r="E4" s="5"/>
      <c r="F4" s="5" t="n">
        <f aca="false"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847</v>
      </c>
      <c r="G4" s="5"/>
      <c r="H4" s="5" t="n">
        <f aca="false"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5.4</v>
      </c>
      <c r="I4" s="5"/>
      <c r="J4" s="5" t="n">
        <f aca="true"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10</v>
      </c>
      <c r="K4" s="5"/>
    </row>
    <row r="5" customFormat="false" ht="15" hidden="false" customHeight="false" outlineLevel="0" collapsed="false">
      <c r="D5" s="5"/>
      <c r="E5" s="5"/>
      <c r="F5" s="5"/>
      <c r="G5" s="5"/>
      <c r="H5" s="5"/>
      <c r="I5" s="5"/>
      <c r="J5" s="5"/>
      <c r="K5" s="5"/>
    </row>
    <row r="6" customFormat="false" ht="25.5" hidden="false" customHeight="true" outlineLevel="0" collapsed="false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customFormat="false" ht="30" hidden="false" customHeight="true" outlineLevel="0" collapsed="false"/>
    <row r="10" customFormat="false" ht="15" hidden="false" customHeight="true" outlineLevel="0" collapsed="false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customFormat="false" ht="15" hidden="false" customHeight="false" outlineLevel="0" collapsed="false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customFormat="false" ht="15" hidden="false" customHeight="false" outlineLevel="0" collapsed="false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customFormat="false" ht="15" hidden="false" customHeight="false" outlineLevel="0" collapsed="false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customFormat="false" ht="15" hidden="false" customHeight="false" outlineLevel="0" collapsed="false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customFormat="false" ht="15" hidden="false" customHeight="false" outlineLevel="0" collapsed="false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customFormat="false" ht="15" hidden="false" customHeight="false" outlineLevel="0" collapsed="false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customFormat="false" ht="15" hidden="false" customHeight="false" outlineLevel="0" collapsed="false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customFormat="false" ht="15" hidden="false" customHeight="false" outlineLevel="0" collapsed="false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customFormat="false" ht="15" hidden="false" customHeight="false" outlineLevel="0" collapsed="false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customFormat="false" ht="32.8" hidden="false" customHeight="false" outlineLevel="0" collapsed="false">
      <c r="B22" s="12" t="s">
        <v>12</v>
      </c>
    </row>
  </sheetData>
  <mergeCells count="14">
    <mergeCell ref="A1:J1"/>
    <mergeCell ref="J2:K2"/>
    <mergeCell ref="D4:E5"/>
    <mergeCell ref="F4:G5"/>
    <mergeCell ref="H4:I5"/>
    <mergeCell ref="J4:K5"/>
    <mergeCell ref="D6:E6"/>
    <mergeCell ref="F6:G6"/>
    <mergeCell ref="H6:I6"/>
    <mergeCell ref="J6:K6"/>
    <mergeCell ref="B10:K18"/>
    <mergeCell ref="D20:E20"/>
    <mergeCell ref="F20:G20"/>
    <mergeCell ref="H20:I2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WRejestracji">
                <anchor moveWithCells="true" sizeWithCells="false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352440</xdr:colOff>
                    <xdr:row>8</xdr:row>
                    <xdr:rowOff>-57240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IdzImport">
                <anchor moveWithCells="true" sizeWithCells="false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485640</xdr:colOff>
                    <xdr:row>8</xdr:row>
                    <xdr:rowOff>-57240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false" autoFill="0" autoPict="0" macro="Module1.IdzZarejestrowane">
                <anchor moveWithCells="true" sizeWithCells="false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485640</xdr:colOff>
                    <xdr:row>8</xdr:row>
                    <xdr:rowOff>-57240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4">
              <controlPr defaultSize="0" print="false" autoFill="0" autoPict="0" macro="Module1.IdzPodsumowanie">
                <anchor moveWithCells="true" sizeWithCells="false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485640</xdr:colOff>
                    <xdr:row>8</xdr:row>
                    <xdr:rowOff>-57240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4A100"/>
    <pageSetUpPr fitToPage="false"/>
  </sheetPr>
  <dimension ref="A1:K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3" width="14.72"/>
    <col collapsed="false" customWidth="true" hidden="false" outlineLevel="0" max="2" min="2" style="13" width="20.71"/>
    <col collapsed="false" customWidth="true" hidden="false" outlineLevel="0" max="3" min="3" style="13" width="23.71"/>
    <col collapsed="false" customWidth="true" hidden="false" outlineLevel="0" max="5" min="4" style="13" width="17.71"/>
    <col collapsed="false" customWidth="true" hidden="false" outlineLevel="0" max="6" min="6" style="13" width="15.72"/>
    <col collapsed="false" customWidth="true" hidden="false" outlineLevel="0" max="7" min="7" style="14" width="14.72"/>
    <col collapsed="false" customWidth="true" hidden="false" outlineLevel="0" max="8" min="8" style="15" width="14.72"/>
    <col collapsed="false" customWidth="true" hidden="false" outlineLevel="0" max="9" min="9" style="13" width="32.72"/>
    <col collapsed="false" customWidth="true" hidden="false" outlineLevel="0" max="10" min="10" style="0" width="2.71"/>
    <col collapsed="false" customWidth="true" hidden="false" outlineLevel="0" max="11" min="11" style="0" width="22.71"/>
  </cols>
  <sheetData>
    <row r="1" customFormat="false" ht="39.75" hidden="false" customHeight="true" outlineLevel="0" collapsed="false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customFormat="false" ht="15" hidden="false" customHeight="false" outlineLevel="0" collapsed="false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customFormat="false" ht="15" hidden="false" customHeight="false" outlineLevel="0" collapsed="false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customFormat="false" ht="21.75" hidden="false" customHeight="true" outlineLevel="0" collapsed="false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customFormat="false" ht="27.75" hidden="false" customHeight="true" outlineLevel="0" collapsed="false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customFormat="false" ht="15" hidden="false" customHeight="false" outlineLevel="0" collapsed="false">
      <c r="A9" s="22" t="s">
        <v>25</v>
      </c>
      <c r="B9" s="22" t="s">
        <v>26</v>
      </c>
      <c r="C9" s="22" t="s">
        <v>27</v>
      </c>
      <c r="D9" s="22" t="s">
        <v>28</v>
      </c>
      <c r="E9" s="22"/>
      <c r="F9" s="22" t="s">
        <v>29</v>
      </c>
      <c r="G9" s="23"/>
      <c r="H9" s="24" t="str">
        <f aca="true">IF($G9="","",TODAY()-$G9)</f>
        <v/>
      </c>
      <c r="I9" s="22" t="s">
        <v>30</v>
      </c>
    </row>
    <row r="10" customFormat="false" ht="43.25" hidden="false" customHeight="false" outlineLevel="0" collapsed="false">
      <c r="A10" s="22" t="s">
        <v>25</v>
      </c>
      <c r="B10" s="22" t="s">
        <v>26</v>
      </c>
      <c r="C10" s="22" t="s">
        <v>31</v>
      </c>
      <c r="D10" s="22" t="s">
        <v>28</v>
      </c>
      <c r="E10" s="22"/>
      <c r="F10" s="22" t="s">
        <v>29</v>
      </c>
      <c r="G10" s="23"/>
      <c r="H10" s="24" t="str">
        <f aca="true">IF($G10="","",TODAY()-$G10)</f>
        <v/>
      </c>
      <c r="I10" s="22" t="s">
        <v>30</v>
      </c>
      <c r="K10" s="12" t="s">
        <v>32</v>
      </c>
    </row>
    <row r="11" customFormat="false" ht="15" hidden="false" customHeight="false" outlineLevel="0" collapsed="false">
      <c r="A11" s="22" t="s">
        <v>25</v>
      </c>
      <c r="B11" s="22" t="s">
        <v>26</v>
      </c>
      <c r="C11" s="22" t="s">
        <v>33</v>
      </c>
      <c r="D11" s="22" t="s">
        <v>28</v>
      </c>
      <c r="E11" s="22"/>
      <c r="F11" s="22" t="s">
        <v>29</v>
      </c>
      <c r="G11" s="23"/>
      <c r="H11" s="24" t="str">
        <f aca="true">IF($G11="","",TODAY()-$G11)</f>
        <v/>
      </c>
      <c r="I11" s="22" t="s">
        <v>30</v>
      </c>
    </row>
    <row r="12" customFormat="false" ht="15" hidden="false" customHeight="false" outlineLevel="0" collapsed="false">
      <c r="A12" s="22" t="s">
        <v>25</v>
      </c>
      <c r="B12" s="22" t="s">
        <v>26</v>
      </c>
      <c r="C12" s="22" t="s">
        <v>34</v>
      </c>
      <c r="D12" s="22" t="s">
        <v>28</v>
      </c>
      <c r="E12" s="22"/>
      <c r="F12" s="22" t="s">
        <v>29</v>
      </c>
      <c r="G12" s="23"/>
      <c r="H12" s="24" t="str">
        <f aca="true">IF($G12="","",TODAY()-$G12)</f>
        <v/>
      </c>
      <c r="I12" s="22" t="s">
        <v>30</v>
      </c>
    </row>
    <row r="13" customFormat="false" ht="15" hidden="false" customHeight="false" outlineLevel="0" collapsed="false">
      <c r="A13" s="22" t="s">
        <v>25</v>
      </c>
      <c r="B13" s="22" t="s">
        <v>26</v>
      </c>
      <c r="C13" s="22" t="s">
        <v>35</v>
      </c>
      <c r="D13" s="22" t="s">
        <v>28</v>
      </c>
      <c r="E13" s="22"/>
      <c r="F13" s="22" t="s">
        <v>29</v>
      </c>
      <c r="G13" s="23"/>
      <c r="H13" s="24" t="str">
        <f aca="true">IF($G13="","",TODAY()-$G13)</f>
        <v/>
      </c>
      <c r="I13" s="22" t="s">
        <v>30</v>
      </c>
    </row>
    <row r="14" customFormat="false" ht="15" hidden="false" customHeight="false" outlineLevel="0" collapsed="false">
      <c r="A14" s="22" t="s">
        <v>25</v>
      </c>
      <c r="B14" s="22" t="s">
        <v>26</v>
      </c>
      <c r="C14" s="22" t="s">
        <v>36</v>
      </c>
      <c r="D14" s="22" t="s">
        <v>28</v>
      </c>
      <c r="E14" s="22"/>
      <c r="F14" s="22" t="s">
        <v>29</v>
      </c>
      <c r="G14" s="23"/>
      <c r="H14" s="24" t="str">
        <f aca="true">IF($G14="","",TODAY()-$G14)</f>
        <v/>
      </c>
      <c r="I14" s="22" t="s">
        <v>30</v>
      </c>
    </row>
    <row r="15" customFormat="false" ht="15" hidden="false" customHeight="false" outlineLevel="0" collapsed="false">
      <c r="A15" s="22" t="s">
        <v>25</v>
      </c>
      <c r="B15" s="22" t="s">
        <v>26</v>
      </c>
      <c r="C15" s="22" t="s">
        <v>37</v>
      </c>
      <c r="D15" s="22" t="s">
        <v>28</v>
      </c>
      <c r="E15" s="22"/>
      <c r="F15" s="22" t="s">
        <v>29</v>
      </c>
      <c r="G15" s="23"/>
      <c r="H15" s="24" t="str">
        <f aca="true">IF($G15="","",TODAY()-$G15)</f>
        <v/>
      </c>
      <c r="I15" s="22" t="s">
        <v>30</v>
      </c>
    </row>
    <row r="16" customFormat="false" ht="15" hidden="false" customHeight="false" outlineLevel="0" collapsed="false">
      <c r="A16" s="22" t="s">
        <v>25</v>
      </c>
      <c r="B16" s="22" t="s">
        <v>26</v>
      </c>
      <c r="C16" s="22" t="s">
        <v>38</v>
      </c>
      <c r="D16" s="22" t="s">
        <v>28</v>
      </c>
      <c r="E16" s="22"/>
      <c r="F16" s="22" t="s">
        <v>29</v>
      </c>
      <c r="G16" s="23"/>
      <c r="H16" s="24" t="str">
        <f aca="true">IF($G16="","",TODAY()-$G16)</f>
        <v/>
      </c>
      <c r="I16" s="22" t="s">
        <v>30</v>
      </c>
    </row>
    <row r="17" customFormat="false" ht="15" hidden="false" customHeight="false" outlineLevel="0" collapsed="false">
      <c r="A17" s="22" t="s">
        <v>25</v>
      </c>
      <c r="B17" s="22" t="s">
        <v>26</v>
      </c>
      <c r="C17" s="22" t="s">
        <v>39</v>
      </c>
      <c r="D17" s="22" t="s">
        <v>28</v>
      </c>
      <c r="E17" s="22"/>
      <c r="F17" s="22" t="s">
        <v>29</v>
      </c>
      <c r="G17" s="23"/>
      <c r="H17" s="24" t="str">
        <f aca="true">IF($G17="","",TODAY()-$G17)</f>
        <v/>
      </c>
      <c r="I17" s="22" t="s">
        <v>30</v>
      </c>
    </row>
    <row r="18" customFormat="false" ht="15" hidden="false" customHeight="false" outlineLevel="0" collapsed="false">
      <c r="A18" s="22" t="s">
        <v>25</v>
      </c>
      <c r="B18" s="22" t="s">
        <v>26</v>
      </c>
      <c r="C18" s="22" t="s">
        <v>40</v>
      </c>
      <c r="D18" s="22" t="s">
        <v>28</v>
      </c>
      <c r="E18" s="22"/>
      <c r="F18" s="22" t="s">
        <v>29</v>
      </c>
      <c r="G18" s="23"/>
      <c r="H18" s="24" t="str">
        <f aca="true">IF($G18="","",TODAY()-$G18)</f>
        <v/>
      </c>
      <c r="I18" s="22" t="s">
        <v>30</v>
      </c>
    </row>
    <row r="19" customFormat="false" ht="15" hidden="false" customHeight="false" outlineLevel="0" collapsed="false">
      <c r="A19" s="22" t="s">
        <v>25</v>
      </c>
      <c r="B19" s="22" t="s">
        <v>26</v>
      </c>
      <c r="C19" s="22" t="s">
        <v>41</v>
      </c>
      <c r="D19" s="22" t="s">
        <v>28</v>
      </c>
      <c r="E19" s="22"/>
      <c r="F19" s="22" t="s">
        <v>29</v>
      </c>
      <c r="G19" s="23"/>
      <c r="H19" s="24" t="str">
        <f aca="true">IF($G19="","",TODAY()-$G19)</f>
        <v/>
      </c>
      <c r="I19" s="22" t="s">
        <v>30</v>
      </c>
    </row>
    <row r="20" customFormat="false" ht="15" hidden="false" customHeight="false" outlineLevel="0" collapsed="false">
      <c r="A20" s="22" t="s">
        <v>25</v>
      </c>
      <c r="B20" s="22" t="s">
        <v>26</v>
      </c>
      <c r="C20" s="22" t="s">
        <v>42</v>
      </c>
      <c r="D20" s="22" t="s">
        <v>28</v>
      </c>
      <c r="E20" s="22"/>
      <c r="F20" s="22" t="s">
        <v>29</v>
      </c>
      <c r="G20" s="23"/>
      <c r="H20" s="24" t="str">
        <f aca="true">IF($G20="","",TODAY()-$G20)</f>
        <v/>
      </c>
      <c r="I20" s="22" t="s">
        <v>30</v>
      </c>
    </row>
    <row r="21" customFormat="false" ht="15" hidden="false" customHeight="false" outlineLevel="0" collapsed="false">
      <c r="A21" s="22" t="s">
        <v>25</v>
      </c>
      <c r="B21" s="22" t="s">
        <v>26</v>
      </c>
      <c r="C21" s="22" t="s">
        <v>43</v>
      </c>
      <c r="D21" s="22" t="s">
        <v>28</v>
      </c>
      <c r="E21" s="22"/>
      <c r="F21" s="22" t="s">
        <v>29</v>
      </c>
      <c r="G21" s="23"/>
      <c r="H21" s="24" t="str">
        <f aca="true">IF($G21="","",TODAY()-$G21)</f>
        <v/>
      </c>
      <c r="I21" s="22" t="s">
        <v>30</v>
      </c>
    </row>
    <row r="22" customFormat="false" ht="15" hidden="false" customHeight="false" outlineLevel="0" collapsed="false">
      <c r="A22" s="22" t="s">
        <v>25</v>
      </c>
      <c r="B22" s="22" t="s">
        <v>26</v>
      </c>
      <c r="C22" s="22" t="s">
        <v>44</v>
      </c>
      <c r="D22" s="22" t="s">
        <v>28</v>
      </c>
      <c r="E22" s="22"/>
      <c r="F22" s="22" t="s">
        <v>29</v>
      </c>
      <c r="G22" s="23"/>
      <c r="H22" s="24" t="str">
        <f aca="true">IF($G22="","",TODAY()-$G22)</f>
        <v/>
      </c>
      <c r="I22" s="22" t="s">
        <v>30</v>
      </c>
    </row>
    <row r="23" customFormat="false" ht="15" hidden="false" customHeight="false" outlineLevel="0" collapsed="false">
      <c r="A23" s="22" t="s">
        <v>25</v>
      </c>
      <c r="B23" s="22" t="s">
        <v>26</v>
      </c>
      <c r="C23" s="22" t="s">
        <v>45</v>
      </c>
      <c r="D23" s="22" t="s">
        <v>28</v>
      </c>
      <c r="E23" s="22"/>
      <c r="F23" s="22" t="s">
        <v>29</v>
      </c>
      <c r="G23" s="23"/>
      <c r="H23" s="24" t="str">
        <f aca="true">IF($G23="","",TODAY()-$G23)</f>
        <v/>
      </c>
      <c r="I23" s="22" t="s">
        <v>30</v>
      </c>
    </row>
    <row r="24" customFormat="false" ht="15" hidden="false" customHeight="false" outlineLevel="0" collapsed="false">
      <c r="A24" s="22" t="s">
        <v>25</v>
      </c>
      <c r="B24" s="22" t="s">
        <v>26</v>
      </c>
      <c r="C24" s="22" t="s">
        <v>46</v>
      </c>
      <c r="D24" s="22" t="s">
        <v>28</v>
      </c>
      <c r="E24" s="22"/>
      <c r="F24" s="22" t="s">
        <v>29</v>
      </c>
      <c r="G24" s="23"/>
      <c r="H24" s="24" t="str">
        <f aca="true">IF($G24="","",TODAY()-$G24)</f>
        <v/>
      </c>
      <c r="I24" s="22" t="s">
        <v>30</v>
      </c>
    </row>
    <row r="25" customFormat="false" ht="15" hidden="false" customHeight="false" outlineLevel="0" collapsed="false">
      <c r="A25" s="22" t="s">
        <v>25</v>
      </c>
      <c r="B25" s="22" t="s">
        <v>26</v>
      </c>
      <c r="C25" s="22" t="s">
        <v>47</v>
      </c>
      <c r="D25" s="22" t="s">
        <v>28</v>
      </c>
      <c r="E25" s="22"/>
      <c r="F25" s="22" t="s">
        <v>29</v>
      </c>
      <c r="G25" s="23"/>
      <c r="H25" s="24" t="str">
        <f aca="true">IF($G25="","",TODAY()-$G25)</f>
        <v/>
      </c>
      <c r="I25" s="22" t="s">
        <v>30</v>
      </c>
    </row>
    <row r="26" customFormat="false" ht="15" hidden="false" customHeight="false" outlineLevel="0" collapsed="false">
      <c r="A26" s="22" t="s">
        <v>25</v>
      </c>
      <c r="B26" s="22" t="s">
        <v>26</v>
      </c>
      <c r="C26" s="22" t="s">
        <v>48</v>
      </c>
      <c r="D26" s="22" t="s">
        <v>28</v>
      </c>
      <c r="E26" s="22"/>
      <c r="F26" s="22" t="s">
        <v>29</v>
      </c>
      <c r="G26" s="23"/>
      <c r="H26" s="24" t="str">
        <f aca="true">IF($G26="","",TODAY()-$G26)</f>
        <v/>
      </c>
      <c r="I26" s="22" t="s">
        <v>30</v>
      </c>
    </row>
    <row r="27" customFormat="false" ht="15" hidden="false" customHeight="false" outlineLevel="0" collapsed="false">
      <c r="A27" s="22" t="s">
        <v>25</v>
      </c>
      <c r="B27" s="22" t="s">
        <v>26</v>
      </c>
      <c r="C27" s="22" t="s">
        <v>49</v>
      </c>
      <c r="D27" s="22" t="s">
        <v>28</v>
      </c>
      <c r="E27" s="22"/>
      <c r="F27" s="22" t="s">
        <v>29</v>
      </c>
      <c r="G27" s="23"/>
      <c r="H27" s="24" t="str">
        <f aca="true">IF($G27="","",TODAY()-$G27)</f>
        <v/>
      </c>
      <c r="I27" s="22" t="s">
        <v>30</v>
      </c>
    </row>
    <row r="28" customFormat="false" ht="15" hidden="false" customHeight="false" outlineLevel="0" collapsed="false">
      <c r="A28" s="22" t="s">
        <v>25</v>
      </c>
      <c r="B28" s="22" t="s">
        <v>26</v>
      </c>
      <c r="C28" s="22" t="s">
        <v>50</v>
      </c>
      <c r="D28" s="22" t="s">
        <v>28</v>
      </c>
      <c r="E28" s="22"/>
      <c r="F28" s="22" t="s">
        <v>29</v>
      </c>
      <c r="G28" s="23"/>
      <c r="H28" s="24" t="str">
        <f aca="true">IF($G28="","",TODAY()-$G28)</f>
        <v/>
      </c>
      <c r="I28" s="22" t="s">
        <v>30</v>
      </c>
    </row>
    <row r="29" customFormat="false" ht="15" hidden="false" customHeight="false" outlineLevel="0" collapsed="false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 t="n">
        <v>46209</v>
      </c>
      <c r="H29" s="27" t="n">
        <f aca="true">IF($G29="","",TODAY()-$G29)</f>
        <v>30</v>
      </c>
      <c r="I29" s="25" t="s">
        <v>57</v>
      </c>
    </row>
    <row r="30" customFormat="false" ht="15" hidden="false" customHeight="false" outlineLevel="0" collapsed="false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 t="n">
        <v>46216</v>
      </c>
      <c r="H30" s="27" t="n">
        <f aca="true">IF($G30="","",TODAY()-$G30)</f>
        <v>23</v>
      </c>
      <c r="I30" s="25" t="s">
        <v>60</v>
      </c>
    </row>
    <row r="31" customFormat="false" ht="15" hidden="false" customHeight="false" outlineLevel="0" collapsed="false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 t="n">
        <v>46217</v>
      </c>
      <c r="H31" s="24" t="n">
        <f aca="true">IF($G31="","",TODAY()-$G31)</f>
        <v>22</v>
      </c>
      <c r="I31" s="22" t="s">
        <v>67</v>
      </c>
    </row>
    <row r="32" customFormat="false" ht="15" hidden="false" customHeight="false" outlineLevel="0" collapsed="false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 t="n">
        <v>46217</v>
      </c>
      <c r="H32" s="24" t="n">
        <f aca="true">IF($G32="","",TODAY()-$G32)</f>
        <v>22</v>
      </c>
      <c r="I32" s="22" t="s">
        <v>67</v>
      </c>
    </row>
    <row r="33" customFormat="false" ht="15" hidden="false" customHeight="false" outlineLevel="0" collapsed="false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 t="n">
        <v>46217</v>
      </c>
      <c r="H33" s="24" t="n">
        <f aca="true">IF($G33="","",TODAY()-$G33)</f>
        <v>22</v>
      </c>
      <c r="I33" s="22" t="s">
        <v>67</v>
      </c>
    </row>
    <row r="34" customFormat="false" ht="15" hidden="false" customHeight="false" outlineLevel="0" collapsed="false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 t="n">
        <v>46217</v>
      </c>
      <c r="H34" s="24" t="n">
        <f aca="true">IF($G34="","",TODAY()-$G34)</f>
        <v>22</v>
      </c>
      <c r="I34" s="22" t="s">
        <v>67</v>
      </c>
    </row>
    <row r="35" customFormat="false" ht="15" hidden="false" customHeight="false" outlineLevel="0" collapsed="false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 t="n">
        <v>46217</v>
      </c>
      <c r="H35" s="24" t="n">
        <f aca="true">IF($G35="","",TODAY()-$G35)</f>
        <v>22</v>
      </c>
      <c r="I35" s="22" t="s">
        <v>67</v>
      </c>
    </row>
    <row r="36" customFormat="false" ht="15" hidden="false" customHeight="false" outlineLevel="0" collapsed="false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 t="n">
        <v>46217</v>
      </c>
      <c r="H36" s="24" t="n">
        <f aca="true">IF($G36="","",TODAY()-$G36)</f>
        <v>22</v>
      </c>
      <c r="I36" s="22" t="s">
        <v>67</v>
      </c>
    </row>
    <row r="37" customFormat="false" ht="15" hidden="false" customHeight="false" outlineLevel="0" collapsed="false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 t="n">
        <v>46217</v>
      </c>
      <c r="H37" s="24" t="n">
        <f aca="true">IF($G37="","",TODAY()-$G37)</f>
        <v>22</v>
      </c>
      <c r="I37" s="22" t="s">
        <v>67</v>
      </c>
    </row>
    <row r="38" customFormat="false" ht="15" hidden="false" customHeight="false" outlineLevel="0" collapsed="false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 t="n">
        <v>46217</v>
      </c>
      <c r="H38" s="24" t="n">
        <f aca="true">IF($G38="","",TODAY()-$G38)</f>
        <v>22</v>
      </c>
      <c r="I38" s="22" t="s">
        <v>67</v>
      </c>
    </row>
    <row r="39" customFormat="false" ht="15" hidden="false" customHeight="false" outlineLevel="0" collapsed="false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 t="n">
        <v>46217</v>
      </c>
      <c r="H39" s="24" t="n">
        <f aca="true">IF($G39="","",TODAY()-$G39)</f>
        <v>22</v>
      </c>
      <c r="I39" s="22" t="s">
        <v>67</v>
      </c>
    </row>
    <row r="40" customFormat="false" ht="15" hidden="false" customHeight="false" outlineLevel="0" collapsed="false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 t="n">
        <v>46217</v>
      </c>
      <c r="H40" s="24" t="n">
        <f aca="true">IF($G40="","",TODAY()-$G40)</f>
        <v>22</v>
      </c>
      <c r="I40" s="22" t="s">
        <v>67</v>
      </c>
    </row>
    <row r="41" customFormat="false" ht="15" hidden="false" customHeight="false" outlineLevel="0" collapsed="false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 t="n">
        <v>46217</v>
      </c>
      <c r="H41" s="24" t="n">
        <f aca="true">IF($G41="","",TODAY()-$G41)</f>
        <v>22</v>
      </c>
      <c r="I41" s="22" t="s">
        <v>67</v>
      </c>
    </row>
    <row r="42" customFormat="false" ht="15" hidden="false" customHeight="false" outlineLevel="0" collapsed="false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 t="n">
        <v>46217</v>
      </c>
      <c r="H42" s="24" t="n">
        <f aca="true">IF($G42="","",TODAY()-$G42)</f>
        <v>22</v>
      </c>
      <c r="I42" s="22" t="s">
        <v>67</v>
      </c>
    </row>
    <row r="43" customFormat="false" ht="15" hidden="false" customHeight="false" outlineLevel="0" collapsed="false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 t="n">
        <v>46217</v>
      </c>
      <c r="H43" s="24" t="n">
        <f aca="true">IF($G43="","",TODAY()-$G43)</f>
        <v>22</v>
      </c>
      <c r="I43" s="22" t="s">
        <v>67</v>
      </c>
    </row>
    <row r="44" customFormat="false" ht="15" hidden="false" customHeight="false" outlineLevel="0" collapsed="false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 t="n">
        <v>46217</v>
      </c>
      <c r="H44" s="24" t="n">
        <f aca="true">IF($G44="","",TODAY()-$G44)</f>
        <v>22</v>
      </c>
      <c r="I44" s="22" t="s">
        <v>67</v>
      </c>
    </row>
    <row r="45" customFormat="false" ht="15" hidden="false" customHeight="false" outlineLevel="0" collapsed="false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 t="n">
        <v>46225</v>
      </c>
      <c r="H45" s="27" t="n">
        <f aca="true">IF($G45="","",TODAY()-$G45)</f>
        <v>14</v>
      </c>
      <c r="I45" s="25" t="s">
        <v>91</v>
      </c>
    </row>
    <row r="46" customFormat="false" ht="15" hidden="false" customHeight="false" outlineLevel="0" collapsed="false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 t="n">
        <v>46225</v>
      </c>
      <c r="H46" s="27" t="n">
        <f aca="true">IF($G46="","",TODAY()-$G46)</f>
        <v>14</v>
      </c>
      <c r="I46" s="25" t="s">
        <v>91</v>
      </c>
    </row>
    <row r="47" customFormat="false" ht="15" hidden="false" customHeight="false" outlineLevel="0" collapsed="false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 t="n">
        <v>46225</v>
      </c>
      <c r="H47" s="27" t="n">
        <f aca="true">IF($G47="","",TODAY()-$G47)</f>
        <v>14</v>
      </c>
      <c r="I47" s="25" t="s">
        <v>91</v>
      </c>
    </row>
    <row r="48" customFormat="false" ht="15" hidden="false" customHeight="false" outlineLevel="0" collapsed="false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 t="n">
        <v>46225</v>
      </c>
      <c r="H48" s="27" t="n">
        <f aca="true">IF($G48="","",TODAY()-$G48)</f>
        <v>14</v>
      </c>
      <c r="I48" s="25" t="s">
        <v>91</v>
      </c>
    </row>
    <row r="49" customFormat="false" ht="15" hidden="false" customHeight="false" outlineLevel="0" collapsed="false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 t="n">
        <v>46225</v>
      </c>
      <c r="H49" s="27" t="n">
        <f aca="true">IF($G49="","",TODAY()-$G49)</f>
        <v>14</v>
      </c>
      <c r="I49" s="25" t="s">
        <v>91</v>
      </c>
    </row>
    <row r="50" customFormat="false" ht="15" hidden="false" customHeight="false" outlineLevel="0" collapsed="false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 t="n">
        <v>46227</v>
      </c>
      <c r="H50" s="24" t="n">
        <f aca="true">IF($G50="","",TODAY()-$G50)</f>
        <v>12</v>
      </c>
      <c r="I50" s="22"/>
    </row>
    <row r="51" customFormat="false" ht="15" hidden="false" customHeight="false" outlineLevel="0" collapsed="false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 t="n">
        <v>46227</v>
      </c>
      <c r="H51" s="24" t="n">
        <f aca="true">IF($G51="","",TODAY()-$G51)</f>
        <v>12</v>
      </c>
      <c r="I51" s="22"/>
    </row>
    <row r="52" customFormat="false" ht="15" hidden="false" customHeight="false" outlineLevel="0" collapsed="false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 t="n">
        <v>46227</v>
      </c>
      <c r="H52" s="24" t="n">
        <f aca="true">IF($G52="","",TODAY()-$G52)</f>
        <v>12</v>
      </c>
      <c r="I52" s="22"/>
    </row>
    <row r="53" customFormat="false" ht="15" hidden="false" customHeight="false" outlineLevel="0" collapsed="false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 t="n">
        <v>46227</v>
      </c>
      <c r="H53" s="24" t="n">
        <f aca="true">IF($G53="","",TODAY()-$G53)</f>
        <v>12</v>
      </c>
      <c r="I53" s="22"/>
    </row>
    <row r="54" customFormat="false" ht="15" hidden="false" customHeight="false" outlineLevel="0" collapsed="false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 t="n">
        <v>46227</v>
      </c>
      <c r="H54" s="24" t="n">
        <f aca="true">IF($G54="","",TODAY()-$G54)</f>
        <v>12</v>
      </c>
      <c r="I54" s="22"/>
    </row>
    <row r="55" customFormat="false" ht="15" hidden="false" customHeight="false" outlineLevel="0" collapsed="false">
      <c r="A55" s="22" t="s">
        <v>103</v>
      </c>
      <c r="B55" s="22" t="s">
        <v>104</v>
      </c>
      <c r="C55" s="22" t="s">
        <v>105</v>
      </c>
      <c r="D55" s="22" t="s">
        <v>106</v>
      </c>
      <c r="E55" s="22" t="s">
        <v>90</v>
      </c>
      <c r="F55" s="22" t="s">
        <v>107</v>
      </c>
      <c r="G55" s="23" t="n">
        <v>46234</v>
      </c>
      <c r="H55" s="24" t="n">
        <f aca="true">IF($G55="","",TODAY()-$G55)</f>
        <v>5</v>
      </c>
      <c r="I55" s="22"/>
    </row>
    <row r="56" customFormat="false" ht="15" hidden="false" customHeight="false" outlineLevel="0" collapsed="false">
      <c r="A56" s="22" t="s">
        <v>103</v>
      </c>
      <c r="B56" s="22" t="s">
        <v>104</v>
      </c>
      <c r="C56" s="22" t="s">
        <v>108</v>
      </c>
      <c r="D56" s="22" t="s">
        <v>106</v>
      </c>
      <c r="E56" s="22" t="s">
        <v>90</v>
      </c>
      <c r="F56" s="22" t="s">
        <v>107</v>
      </c>
      <c r="G56" s="23" t="n">
        <v>46234</v>
      </c>
      <c r="H56" s="24" t="n">
        <f aca="true">IF($G56="","",TODAY()-$G56)</f>
        <v>5</v>
      </c>
      <c r="I56" s="22"/>
    </row>
    <row r="57" customFormat="false" ht="15" hidden="false" customHeight="false" outlineLevel="0" collapsed="false">
      <c r="A57" s="22" t="s">
        <v>103</v>
      </c>
      <c r="B57" s="22" t="s">
        <v>104</v>
      </c>
      <c r="C57" s="22" t="s">
        <v>109</v>
      </c>
      <c r="D57" s="22" t="s">
        <v>106</v>
      </c>
      <c r="E57" s="22" t="s">
        <v>90</v>
      </c>
      <c r="F57" s="22" t="s">
        <v>107</v>
      </c>
      <c r="G57" s="23" t="n">
        <v>46234</v>
      </c>
      <c r="H57" s="24" t="n">
        <f aca="true">IF($G57="","",TODAY()-$G57)</f>
        <v>5</v>
      </c>
      <c r="I57" s="22"/>
    </row>
    <row r="58" customFormat="false" ht="15" hidden="false" customHeight="false" outlineLevel="0" collapsed="false">
      <c r="A58" s="22" t="s">
        <v>103</v>
      </c>
      <c r="B58" s="22" t="s">
        <v>104</v>
      </c>
      <c r="C58" s="22" t="s">
        <v>110</v>
      </c>
      <c r="D58" s="22" t="s">
        <v>106</v>
      </c>
      <c r="E58" s="22" t="s">
        <v>90</v>
      </c>
      <c r="F58" s="22" t="s">
        <v>107</v>
      </c>
      <c r="G58" s="23" t="n">
        <v>46234</v>
      </c>
      <c r="H58" s="24" t="n">
        <f aca="true">IF($G58="","",TODAY()-$G58)</f>
        <v>5</v>
      </c>
      <c r="I58" s="22"/>
    </row>
    <row r="59" customFormat="false" ht="15" hidden="false" customHeight="false" outlineLevel="0" collapsed="false">
      <c r="A59" s="22" t="s">
        <v>103</v>
      </c>
      <c r="B59" s="22" t="s">
        <v>104</v>
      </c>
      <c r="C59" s="22" t="s">
        <v>111</v>
      </c>
      <c r="D59" s="22" t="s">
        <v>106</v>
      </c>
      <c r="E59" s="22" t="s">
        <v>90</v>
      </c>
      <c r="F59" s="22" t="s">
        <v>107</v>
      </c>
      <c r="G59" s="23" t="n">
        <v>46234</v>
      </c>
      <c r="H59" s="24" t="n">
        <f aca="true">IF($G59="","",TODAY()-$G59)</f>
        <v>5</v>
      </c>
      <c r="I59" s="22"/>
    </row>
    <row r="60" customFormat="false" ht="15" hidden="false" customHeight="false" outlineLevel="0" collapsed="false">
      <c r="A60" s="22" t="s">
        <v>103</v>
      </c>
      <c r="B60" s="22" t="s">
        <v>104</v>
      </c>
      <c r="C60" s="22" t="s">
        <v>112</v>
      </c>
      <c r="D60" s="22" t="s">
        <v>106</v>
      </c>
      <c r="E60" s="22" t="s">
        <v>90</v>
      </c>
      <c r="F60" s="22" t="s">
        <v>107</v>
      </c>
      <c r="G60" s="23" t="n">
        <v>46234</v>
      </c>
      <c r="H60" s="24" t="n">
        <f aca="true">IF($G60="","",TODAY()-$G60)</f>
        <v>5</v>
      </c>
      <c r="I60" s="22"/>
    </row>
    <row r="61" customFormat="false" ht="15" hidden="false" customHeight="false" outlineLevel="0" collapsed="false">
      <c r="A61" s="22" t="s">
        <v>103</v>
      </c>
      <c r="B61" s="22" t="s">
        <v>104</v>
      </c>
      <c r="C61" s="22" t="s">
        <v>113</v>
      </c>
      <c r="D61" s="22" t="s">
        <v>106</v>
      </c>
      <c r="E61" s="22" t="s">
        <v>90</v>
      </c>
      <c r="F61" s="22" t="s">
        <v>107</v>
      </c>
      <c r="G61" s="23" t="n">
        <v>46234</v>
      </c>
      <c r="H61" s="24" t="n">
        <f aca="true">IF($G61="","",TODAY()-$G61)</f>
        <v>5</v>
      </c>
      <c r="I61" s="22"/>
    </row>
    <row r="62" customFormat="false" ht="15" hidden="false" customHeight="false" outlineLevel="0" collapsed="false">
      <c r="A62" s="22" t="s">
        <v>103</v>
      </c>
      <c r="B62" s="22" t="s">
        <v>104</v>
      </c>
      <c r="C62" s="22" t="s">
        <v>114</v>
      </c>
      <c r="D62" s="22" t="s">
        <v>106</v>
      </c>
      <c r="E62" s="22" t="s">
        <v>90</v>
      </c>
      <c r="F62" s="22" t="s">
        <v>107</v>
      </c>
      <c r="G62" s="23" t="n">
        <v>46234</v>
      </c>
      <c r="H62" s="24" t="n">
        <f aca="true">IF($G62="","",TODAY()-$G62)</f>
        <v>5</v>
      </c>
      <c r="I62" s="22"/>
    </row>
    <row r="63" customFormat="false" ht="15" hidden="false" customHeight="false" outlineLevel="0" collapsed="false">
      <c r="A63" s="22" t="s">
        <v>103</v>
      </c>
      <c r="B63" s="22" t="s">
        <v>104</v>
      </c>
      <c r="C63" s="22" t="s">
        <v>115</v>
      </c>
      <c r="D63" s="22" t="s">
        <v>106</v>
      </c>
      <c r="E63" s="22" t="s">
        <v>90</v>
      </c>
      <c r="F63" s="22" t="s">
        <v>107</v>
      </c>
      <c r="G63" s="23" t="n">
        <v>46234</v>
      </c>
      <c r="H63" s="24" t="n">
        <f aca="true">IF($G63="","",TODAY()-$G63)</f>
        <v>5</v>
      </c>
      <c r="I63" s="22"/>
    </row>
    <row r="64" customFormat="false" ht="15" hidden="false" customHeight="false" outlineLevel="0" collapsed="false">
      <c r="A64" s="22" t="s">
        <v>103</v>
      </c>
      <c r="B64" s="22" t="s">
        <v>104</v>
      </c>
      <c r="C64" s="22" t="s">
        <v>116</v>
      </c>
      <c r="D64" s="22" t="s">
        <v>106</v>
      </c>
      <c r="E64" s="22" t="s">
        <v>90</v>
      </c>
      <c r="F64" s="22" t="s">
        <v>107</v>
      </c>
      <c r="G64" s="23" t="n">
        <v>46234</v>
      </c>
      <c r="H64" s="24" t="n">
        <f aca="true">IF($G64="","",TODAY()-$G64)</f>
        <v>5</v>
      </c>
      <c r="I64" s="22"/>
    </row>
    <row r="65" customFormat="false" ht="15" hidden="false" customHeight="false" outlineLevel="0" collapsed="false">
      <c r="A65" s="22" t="s">
        <v>103</v>
      </c>
      <c r="B65" s="22" t="s">
        <v>104</v>
      </c>
      <c r="C65" s="22" t="s">
        <v>117</v>
      </c>
      <c r="D65" s="22" t="s">
        <v>106</v>
      </c>
      <c r="E65" s="22" t="s">
        <v>90</v>
      </c>
      <c r="F65" s="22" t="s">
        <v>107</v>
      </c>
      <c r="G65" s="23" t="n">
        <v>46234</v>
      </c>
      <c r="H65" s="24" t="n">
        <f aca="true">IF($G65="","",TODAY()-$G65)</f>
        <v>5</v>
      </c>
      <c r="I65" s="22"/>
    </row>
  </sheetData>
  <autoFilter ref="A8:I3000"/>
  <mergeCells count="2">
    <mergeCell ref="A1:H1"/>
    <mergeCell ref="A3:I3"/>
  </mergeCells>
  <conditionalFormatting sqref="H9:H3000">
    <cfRule type="cellIs" priority="2" operator="greaterThan" aboveAverage="0" equalAverage="0" bottom="0" percent="0" rank="0" text="" dxfId="9">
      <formula>21</formula>
    </cfRule>
    <cfRule type="cellIs" priority="3" operator="between" aboveAverage="0" equalAverage="0" bottom="0" percent="0" rank="0" text="" dxfId="10">
      <formula>11</formula>
      <formula>21</formula>
    </cfRule>
  </conditionalFormatting>
  <conditionalFormatting sqref="C9:C3000">
    <cfRule type="duplicateValues" priority="4" aboveAverage="0" equalAverage="0" bottom="0" percent="0" rank="0" text="" dxfId="9"/>
  </conditionalFormatting>
  <dataValidations count="6">
    <dataValidation allowBlank="true" errorStyle="stop" operator="between" showDropDown="false" showErrorMessage="false" showInputMessage="true" sqref="A5" type="list">
      <formula1>Listy!$A$2:$A$6</formula1>
      <formula2>0</formula2>
    </dataValidation>
    <dataValidation allowBlank="true" errorStyle="stop" operator="between" showDropDown="false" showErrorMessage="false" showInputMessage="true" sqref="D5" type="list">
      <formula1>Listy!$B$2:$B$6</formula1>
      <formula2>0</formula2>
    </dataValidation>
    <dataValidation allowBlank="true" errorStyle="stop" operator="between" showDropDown="false" showErrorMessage="false" showInputMessage="true" sqref="E5" type="list">
      <formula1>Listy!$D$2:$D$4</formula1>
      <formula2>0</formula2>
    </dataValidation>
    <dataValidation allowBlank="true" errorStyle="stop" operator="between" showDropDown="false" showErrorMessage="false" showInputMessage="true" sqref="F5" type="list">
      <formula1>Listy!$C$2:$C$7</formula1>
      <formula2>0</formula2>
    </dataValidation>
    <dataValidation allowBlank="true" errorStyle="stop" operator="between" showDropDown="false" showErrorMessage="false" showInputMessage="true" sqref="F9:F1065" type="list">
      <formula1>Listy!$C$2:$C$7</formula1>
      <formula2>0</formula2>
    </dataValidation>
    <dataValidation allowBlank="true" errorStyle="stop" operator="between" prompt="Wybierz datę z listy (ostatnie 31 dni) albo wpisz RRRR-MM-DD. Puste pole = dziś." promptTitle="Data złożenia" showDropDown="false" showErrorMessage="false" showInputMessage="true" sqref="G5" type="list">
      <formula1>Listy!$E$2:$E$32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-1162080</xdr:colOff>
                    <xdr:row>3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DodajWniosek">
                <anchor moveWithCells="true" sizeWithCells="false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-590760</xdr:colOff>
                    <xdr:row>4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false" autoFill="0" autoPict="0" macro="Module1.ZarejestrujZaznaczone">
                <anchor moveWithCells="true" sizeWithCells="false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104760</xdr:colOff>
                    <xdr:row>7</xdr:row>
                    <xdr:rowOff>133200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9A825"/>
    <pageSetUpPr fitToPage="false"/>
  </sheetPr>
  <dimension ref="A1:H3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72"/>
    <col collapsed="false" customWidth="true" hidden="false" outlineLevel="0" max="2" min="2" style="0" width="20.71"/>
    <col collapsed="false" customWidth="true" hidden="false" outlineLevel="0" max="3" min="3" style="0" width="23.71"/>
    <col collapsed="false" customWidth="true" hidden="false" outlineLevel="0" max="5" min="4" style="0" width="17.71"/>
    <col collapsed="false" customWidth="true" hidden="false" outlineLevel="0" max="6" min="6" style="0" width="15.72"/>
    <col collapsed="false" customWidth="true" hidden="false" outlineLevel="0" max="7" min="7" style="0" width="14.72"/>
    <col collapsed="false" customWidth="true" hidden="false" outlineLevel="0" max="8" min="8" style="0" width="32.72"/>
    <col collapsed="false" customWidth="true" hidden="false" outlineLevel="0" max="9" min="9" style="0" width="2.71"/>
    <col collapsed="false" customWidth="true" hidden="false" outlineLevel="0" max="10" min="10" style="0" width="26.71"/>
  </cols>
  <sheetData>
    <row r="1" customFormat="false" ht="39.75" hidden="false" customHeight="true" outlineLevel="0" collapsed="false">
      <c r="A1" s="1" t="s">
        <v>118</v>
      </c>
      <c r="B1" s="1"/>
      <c r="C1" s="1"/>
      <c r="D1" s="1"/>
      <c r="E1" s="1"/>
      <c r="F1" s="1"/>
      <c r="G1" s="1"/>
      <c r="H1" s="2" t="s">
        <v>1</v>
      </c>
    </row>
    <row r="3" customFormat="false" ht="15" hidden="false" customHeight="false" outlineLevel="0" collapsed="false">
      <c r="A3" s="16" t="s">
        <v>119</v>
      </c>
      <c r="B3" s="16"/>
      <c r="C3" s="16"/>
      <c r="D3" s="16"/>
      <c r="E3" s="16"/>
      <c r="F3" s="16"/>
      <c r="G3" s="16"/>
      <c r="H3" s="16"/>
    </row>
    <row r="4" customFormat="false" ht="15" hidden="false" customHeight="true" outlineLevel="0" collapsed="false">
      <c r="A4" s="7" t="s">
        <v>120</v>
      </c>
      <c r="B4" s="7"/>
      <c r="C4" s="7"/>
      <c r="D4" s="7"/>
      <c r="E4" s="7"/>
      <c r="F4" s="7"/>
      <c r="G4" s="7"/>
      <c r="H4" s="7"/>
    </row>
    <row r="5" customFormat="false" ht="15" hidden="false" customHeight="false" outlineLevel="0" collapsed="false">
      <c r="A5" s="7"/>
      <c r="B5" s="7"/>
      <c r="C5" s="7"/>
      <c r="D5" s="7"/>
      <c r="E5" s="7"/>
      <c r="F5" s="7"/>
      <c r="G5" s="7"/>
      <c r="H5" s="7"/>
    </row>
    <row r="6" customFormat="false" ht="15" hidden="false" customHeight="false" outlineLevel="0" collapsed="false">
      <c r="A6" s="7"/>
      <c r="B6" s="7"/>
      <c r="C6" s="7"/>
      <c r="D6" s="7"/>
      <c r="E6" s="7"/>
      <c r="F6" s="7"/>
      <c r="G6" s="7"/>
      <c r="H6" s="7"/>
    </row>
    <row r="8" customFormat="false" ht="27.75" hidden="false" customHeight="true" outlineLevel="0" collapsed="false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customFormat="false" ht="15" hidden="false" customHeight="false" outlineLevel="0" collapsed="false">
      <c r="A9" s="28"/>
      <c r="B9" s="28"/>
      <c r="C9" s="28"/>
      <c r="D9" s="28"/>
      <c r="E9" s="28"/>
      <c r="F9" s="28"/>
      <c r="G9" s="29"/>
      <c r="H9" s="28"/>
    </row>
    <row r="10" customFormat="false" ht="15" hidden="false" customHeight="false" outlineLevel="0" collapsed="false">
      <c r="A10" s="28"/>
      <c r="B10" s="28"/>
      <c r="C10" s="28"/>
      <c r="D10" s="28"/>
      <c r="E10" s="28"/>
      <c r="F10" s="28"/>
      <c r="G10" s="29"/>
      <c r="H10" s="28"/>
    </row>
    <row r="11" customFormat="false" ht="15" hidden="false" customHeight="false" outlineLevel="0" collapsed="false">
      <c r="A11" s="28"/>
      <c r="B11" s="28"/>
      <c r="C11" s="28"/>
      <c r="D11" s="28"/>
      <c r="E11" s="28"/>
      <c r="F11" s="28"/>
      <c r="G11" s="29"/>
      <c r="H11" s="28"/>
    </row>
    <row r="12" customFormat="false" ht="15" hidden="false" customHeight="false" outlineLevel="0" collapsed="false">
      <c r="A12" s="28"/>
      <c r="B12" s="28"/>
      <c r="C12" s="28"/>
      <c r="D12" s="28"/>
      <c r="E12" s="28"/>
      <c r="F12" s="28"/>
      <c r="G12" s="29"/>
      <c r="H12" s="28"/>
    </row>
    <row r="13" customFormat="false" ht="15" hidden="false" customHeight="false" outlineLevel="0" collapsed="false">
      <c r="A13" s="28"/>
      <c r="B13" s="28"/>
      <c r="C13" s="28"/>
      <c r="D13" s="28"/>
      <c r="E13" s="28"/>
      <c r="F13" s="28"/>
      <c r="G13" s="29"/>
      <c r="H13" s="28"/>
    </row>
    <row r="14" customFormat="false" ht="15" hidden="false" customHeight="false" outlineLevel="0" collapsed="false">
      <c r="A14" s="28"/>
      <c r="B14" s="28"/>
      <c r="C14" s="28"/>
      <c r="D14" s="28"/>
      <c r="E14" s="28"/>
      <c r="F14" s="28"/>
      <c r="G14" s="29"/>
      <c r="H14" s="28"/>
    </row>
    <row r="15" customFormat="false" ht="15" hidden="false" customHeight="false" outlineLevel="0" collapsed="false">
      <c r="A15" s="28"/>
      <c r="B15" s="28"/>
      <c r="C15" s="28"/>
      <c r="D15" s="28"/>
      <c r="E15" s="28"/>
      <c r="F15" s="28"/>
      <c r="G15" s="29"/>
      <c r="H15" s="28"/>
    </row>
    <row r="16" customFormat="false" ht="15" hidden="false" customHeight="false" outlineLevel="0" collapsed="false">
      <c r="A16" s="28"/>
      <c r="B16" s="28"/>
      <c r="C16" s="28"/>
      <c r="D16" s="28"/>
      <c r="E16" s="28"/>
      <c r="F16" s="28"/>
      <c r="G16" s="29"/>
      <c r="H16" s="28"/>
    </row>
    <row r="17" customFormat="false" ht="15" hidden="false" customHeight="false" outlineLevel="0" collapsed="false">
      <c r="A17" s="28"/>
      <c r="B17" s="28"/>
      <c r="C17" s="28"/>
      <c r="D17" s="28"/>
      <c r="E17" s="28"/>
      <c r="F17" s="28"/>
      <c r="G17" s="29"/>
      <c r="H17" s="28"/>
    </row>
    <row r="18" customFormat="false" ht="15" hidden="false" customHeight="false" outlineLevel="0" collapsed="false">
      <c r="A18" s="28"/>
      <c r="B18" s="28"/>
      <c r="C18" s="28"/>
      <c r="D18" s="28"/>
      <c r="E18" s="28"/>
      <c r="F18" s="28"/>
      <c r="G18" s="29"/>
      <c r="H18" s="28"/>
    </row>
    <row r="19" customFormat="false" ht="15" hidden="false" customHeight="false" outlineLevel="0" collapsed="false">
      <c r="A19" s="28"/>
      <c r="B19" s="28"/>
      <c r="C19" s="28"/>
      <c r="D19" s="28"/>
      <c r="E19" s="28"/>
      <c r="F19" s="28"/>
      <c r="G19" s="29"/>
      <c r="H19" s="28"/>
    </row>
    <row r="20" customFormat="false" ht="15" hidden="false" customHeight="false" outlineLevel="0" collapsed="false">
      <c r="A20" s="28"/>
      <c r="B20" s="28"/>
      <c r="C20" s="28"/>
      <c r="D20" s="28"/>
      <c r="E20" s="28"/>
      <c r="F20" s="28"/>
      <c r="G20" s="29"/>
      <c r="H20" s="28"/>
    </row>
    <row r="21" customFormat="false" ht="15" hidden="false" customHeight="false" outlineLevel="0" collapsed="false">
      <c r="A21" s="28"/>
      <c r="B21" s="28"/>
      <c r="C21" s="28"/>
      <c r="D21" s="28"/>
      <c r="E21" s="28"/>
      <c r="F21" s="28"/>
      <c r="G21" s="29"/>
      <c r="H21" s="28"/>
    </row>
    <row r="22" customFormat="false" ht="15" hidden="false" customHeight="false" outlineLevel="0" collapsed="false">
      <c r="A22" s="28"/>
      <c r="B22" s="28"/>
      <c r="C22" s="28"/>
      <c r="D22" s="28"/>
      <c r="E22" s="28"/>
      <c r="F22" s="28"/>
      <c r="G22" s="29"/>
      <c r="H22" s="28"/>
    </row>
    <row r="23" customFormat="false" ht="15" hidden="false" customHeight="false" outlineLevel="0" collapsed="false">
      <c r="A23" s="28"/>
      <c r="B23" s="28"/>
      <c r="C23" s="28"/>
      <c r="D23" s="28"/>
      <c r="E23" s="28"/>
      <c r="F23" s="28"/>
      <c r="G23" s="29"/>
      <c r="H23" s="28"/>
    </row>
    <row r="24" customFormat="false" ht="15" hidden="false" customHeight="false" outlineLevel="0" collapsed="false">
      <c r="A24" s="28"/>
      <c r="B24" s="28"/>
      <c r="C24" s="28"/>
      <c r="D24" s="28"/>
      <c r="E24" s="28"/>
      <c r="F24" s="28"/>
      <c r="G24" s="29"/>
      <c r="H24" s="28"/>
    </row>
    <row r="25" customFormat="false" ht="15" hidden="false" customHeight="false" outlineLevel="0" collapsed="false">
      <c r="A25" s="28"/>
      <c r="B25" s="28"/>
      <c r="C25" s="28"/>
      <c r="D25" s="28"/>
      <c r="E25" s="28"/>
      <c r="F25" s="28"/>
      <c r="G25" s="29"/>
      <c r="H25" s="28"/>
    </row>
    <row r="26" customFormat="false" ht="15" hidden="false" customHeight="false" outlineLevel="0" collapsed="false">
      <c r="A26" s="28"/>
      <c r="B26" s="28"/>
      <c r="C26" s="28"/>
      <c r="D26" s="28"/>
      <c r="E26" s="28"/>
      <c r="F26" s="28"/>
      <c r="G26" s="29"/>
      <c r="H26" s="28"/>
    </row>
    <row r="27" customFormat="false" ht="15" hidden="false" customHeight="false" outlineLevel="0" collapsed="false">
      <c r="A27" s="28"/>
      <c r="B27" s="28"/>
      <c r="C27" s="28"/>
      <c r="D27" s="28"/>
      <c r="E27" s="28"/>
      <c r="F27" s="28"/>
      <c r="G27" s="29"/>
      <c r="H27" s="28"/>
    </row>
    <row r="28" customFormat="false" ht="15" hidden="false" customHeight="false" outlineLevel="0" collapsed="false">
      <c r="A28" s="28"/>
      <c r="B28" s="28"/>
      <c r="C28" s="28"/>
      <c r="D28" s="28"/>
      <c r="E28" s="28"/>
      <c r="F28" s="28"/>
      <c r="G28" s="29"/>
      <c r="H28" s="28"/>
    </row>
    <row r="29" customFormat="false" ht="15" hidden="false" customHeight="false" outlineLevel="0" collapsed="false">
      <c r="A29" s="28"/>
      <c r="B29" s="28"/>
      <c r="C29" s="28"/>
      <c r="D29" s="28"/>
      <c r="E29" s="28"/>
      <c r="F29" s="28"/>
      <c r="G29" s="29"/>
      <c r="H29" s="28"/>
    </row>
    <row r="30" customFormat="false" ht="15" hidden="false" customHeight="false" outlineLevel="0" collapsed="false">
      <c r="A30" s="28"/>
      <c r="B30" s="28"/>
      <c r="C30" s="28"/>
      <c r="D30" s="28"/>
      <c r="E30" s="28"/>
      <c r="F30" s="28"/>
      <c r="G30" s="29"/>
      <c r="H30" s="28"/>
    </row>
    <row r="31" customFormat="false" ht="15" hidden="false" customHeight="false" outlineLevel="0" collapsed="false">
      <c r="A31" s="28"/>
      <c r="B31" s="28"/>
      <c r="C31" s="28"/>
      <c r="D31" s="28"/>
      <c r="E31" s="28"/>
      <c r="F31" s="28"/>
      <c r="G31" s="29"/>
      <c r="H31" s="28"/>
    </row>
    <row r="32" customFormat="false" ht="15" hidden="false" customHeight="false" outlineLevel="0" collapsed="false">
      <c r="A32" s="28"/>
      <c r="B32" s="28"/>
      <c r="C32" s="28"/>
      <c r="D32" s="28"/>
      <c r="E32" s="28"/>
      <c r="F32" s="28"/>
      <c r="G32" s="29"/>
      <c r="H32" s="28"/>
    </row>
    <row r="33" customFormat="false" ht="15" hidden="false" customHeight="false" outlineLevel="0" collapsed="false">
      <c r="A33" s="28"/>
      <c r="B33" s="28"/>
      <c r="C33" s="28"/>
      <c r="D33" s="28"/>
      <c r="E33" s="28"/>
      <c r="F33" s="28"/>
      <c r="G33" s="29"/>
      <c r="H33" s="28"/>
    </row>
    <row r="34" customFormat="false" ht="15" hidden="false" customHeight="false" outlineLevel="0" collapsed="false">
      <c r="A34" s="28"/>
      <c r="B34" s="28"/>
      <c r="C34" s="28"/>
      <c r="D34" s="28"/>
      <c r="E34" s="28"/>
      <c r="F34" s="28"/>
      <c r="G34" s="29"/>
      <c r="H34" s="28"/>
    </row>
    <row r="35" customFormat="false" ht="15" hidden="false" customHeight="false" outlineLevel="0" collapsed="false">
      <c r="A35" s="28"/>
      <c r="B35" s="28"/>
      <c r="C35" s="28"/>
      <c r="D35" s="28"/>
      <c r="E35" s="28"/>
      <c r="F35" s="28"/>
      <c r="G35" s="29"/>
      <c r="H35" s="28"/>
    </row>
    <row r="36" customFormat="false" ht="15" hidden="false" customHeight="false" outlineLevel="0" collapsed="false">
      <c r="A36" s="28"/>
      <c r="B36" s="28"/>
      <c r="C36" s="28"/>
      <c r="D36" s="28"/>
      <c r="E36" s="28"/>
      <c r="F36" s="28"/>
      <c r="G36" s="29"/>
      <c r="H36" s="28"/>
    </row>
    <row r="37" customFormat="false" ht="15" hidden="false" customHeight="false" outlineLevel="0" collapsed="false">
      <c r="A37" s="28"/>
      <c r="B37" s="28"/>
      <c r="C37" s="28"/>
      <c r="D37" s="28"/>
      <c r="E37" s="28"/>
      <c r="F37" s="28"/>
      <c r="G37" s="29"/>
      <c r="H37" s="28"/>
    </row>
    <row r="38" customFormat="false" ht="15" hidden="false" customHeight="false" outlineLevel="0" collapsed="false">
      <c r="A38" s="28"/>
      <c r="B38" s="28"/>
      <c r="C38" s="28"/>
      <c r="D38" s="28"/>
      <c r="E38" s="28"/>
      <c r="F38" s="28"/>
      <c r="G38" s="29"/>
      <c r="H38" s="28"/>
    </row>
    <row r="39" customFormat="false" ht="15" hidden="false" customHeight="false" outlineLevel="0" collapsed="false">
      <c r="A39" s="28"/>
      <c r="B39" s="28"/>
      <c r="C39" s="28"/>
      <c r="D39" s="28"/>
      <c r="E39" s="28"/>
      <c r="F39" s="28"/>
      <c r="G39" s="29"/>
      <c r="H39" s="28"/>
    </row>
    <row r="40" customFormat="false" ht="15" hidden="false" customHeight="false" outlineLevel="0" collapsed="false">
      <c r="A40" s="28"/>
      <c r="B40" s="28"/>
      <c r="C40" s="28"/>
      <c r="D40" s="28"/>
      <c r="E40" s="28"/>
      <c r="F40" s="28"/>
      <c r="G40" s="29"/>
      <c r="H40" s="28"/>
    </row>
    <row r="41" customFormat="false" ht="15" hidden="false" customHeight="false" outlineLevel="0" collapsed="false">
      <c r="A41" s="28"/>
      <c r="B41" s="28"/>
      <c r="C41" s="28"/>
      <c r="D41" s="28"/>
      <c r="E41" s="28"/>
      <c r="F41" s="28"/>
      <c r="G41" s="29"/>
      <c r="H41" s="28"/>
    </row>
    <row r="42" customFormat="false" ht="15" hidden="false" customHeight="false" outlineLevel="0" collapsed="false">
      <c r="A42" s="28"/>
      <c r="B42" s="28"/>
      <c r="C42" s="28"/>
      <c r="D42" s="28"/>
      <c r="E42" s="28"/>
      <c r="F42" s="28"/>
      <c r="G42" s="29"/>
      <c r="H42" s="28"/>
    </row>
    <row r="43" customFormat="false" ht="15" hidden="false" customHeight="false" outlineLevel="0" collapsed="false">
      <c r="A43" s="28"/>
      <c r="B43" s="28"/>
      <c r="C43" s="28"/>
      <c r="D43" s="28"/>
      <c r="E43" s="28"/>
      <c r="F43" s="28"/>
      <c r="G43" s="29"/>
      <c r="H43" s="28"/>
    </row>
    <row r="44" customFormat="false" ht="15" hidden="false" customHeight="false" outlineLevel="0" collapsed="false">
      <c r="A44" s="28"/>
      <c r="B44" s="28"/>
      <c r="C44" s="28"/>
      <c r="D44" s="28"/>
      <c r="E44" s="28"/>
      <c r="F44" s="28"/>
      <c r="G44" s="29"/>
      <c r="H44" s="28"/>
    </row>
    <row r="45" customFormat="false" ht="15" hidden="false" customHeight="false" outlineLevel="0" collapsed="false">
      <c r="A45" s="28"/>
      <c r="B45" s="28"/>
      <c r="C45" s="28"/>
      <c r="D45" s="28"/>
      <c r="E45" s="28"/>
      <c r="F45" s="28"/>
      <c r="G45" s="29"/>
      <c r="H45" s="28"/>
    </row>
    <row r="46" customFormat="false" ht="15" hidden="false" customHeight="false" outlineLevel="0" collapsed="false">
      <c r="A46" s="28"/>
      <c r="B46" s="28"/>
      <c r="C46" s="28"/>
      <c r="D46" s="28"/>
      <c r="E46" s="28"/>
      <c r="F46" s="28"/>
      <c r="G46" s="29"/>
      <c r="H46" s="28"/>
    </row>
    <row r="47" customFormat="false" ht="15" hidden="false" customHeight="false" outlineLevel="0" collapsed="false">
      <c r="A47" s="28"/>
      <c r="B47" s="28"/>
      <c r="C47" s="28"/>
      <c r="D47" s="28"/>
      <c r="E47" s="28"/>
      <c r="F47" s="28"/>
      <c r="G47" s="29"/>
      <c r="H47" s="28"/>
    </row>
    <row r="48" customFormat="false" ht="15" hidden="false" customHeight="false" outlineLevel="0" collapsed="false">
      <c r="A48" s="28"/>
      <c r="B48" s="28"/>
      <c r="C48" s="28"/>
      <c r="D48" s="28"/>
      <c r="E48" s="28"/>
      <c r="F48" s="28"/>
      <c r="G48" s="29"/>
      <c r="H48" s="28"/>
    </row>
    <row r="49" customFormat="false" ht="15" hidden="false" customHeight="false" outlineLevel="0" collapsed="false">
      <c r="A49" s="28"/>
      <c r="B49" s="28"/>
      <c r="C49" s="28"/>
      <c r="D49" s="28"/>
      <c r="E49" s="28"/>
      <c r="F49" s="28"/>
      <c r="G49" s="29"/>
      <c r="H49" s="28"/>
    </row>
    <row r="50" customFormat="false" ht="15" hidden="false" customHeight="false" outlineLevel="0" collapsed="false">
      <c r="A50" s="28"/>
      <c r="B50" s="28"/>
      <c r="C50" s="28"/>
      <c r="D50" s="28"/>
      <c r="E50" s="28"/>
      <c r="F50" s="28"/>
      <c r="G50" s="29"/>
      <c r="H50" s="28"/>
    </row>
    <row r="51" customFormat="false" ht="15" hidden="false" customHeight="false" outlineLevel="0" collapsed="false">
      <c r="A51" s="28"/>
      <c r="B51" s="28"/>
      <c r="C51" s="28"/>
      <c r="D51" s="28"/>
      <c r="E51" s="28"/>
      <c r="F51" s="28"/>
      <c r="G51" s="29"/>
      <c r="H51" s="28"/>
    </row>
    <row r="52" customFormat="false" ht="15" hidden="false" customHeight="false" outlineLevel="0" collapsed="false">
      <c r="A52" s="28"/>
      <c r="B52" s="28"/>
      <c r="C52" s="28"/>
      <c r="D52" s="28"/>
      <c r="E52" s="28"/>
      <c r="F52" s="28"/>
      <c r="G52" s="29"/>
      <c r="H52" s="28"/>
    </row>
    <row r="53" customFormat="false" ht="15" hidden="false" customHeight="false" outlineLevel="0" collapsed="false">
      <c r="A53" s="28"/>
      <c r="B53" s="28"/>
      <c r="C53" s="28"/>
      <c r="D53" s="28"/>
      <c r="E53" s="28"/>
      <c r="F53" s="28"/>
      <c r="G53" s="29"/>
      <c r="H53" s="28"/>
    </row>
    <row r="54" customFormat="false" ht="15" hidden="false" customHeight="false" outlineLevel="0" collapsed="false">
      <c r="A54" s="28"/>
      <c r="B54" s="28"/>
      <c r="C54" s="28"/>
      <c r="D54" s="28"/>
      <c r="E54" s="28"/>
      <c r="F54" s="28"/>
      <c r="G54" s="29"/>
      <c r="H54" s="28"/>
    </row>
    <row r="55" customFormat="false" ht="15" hidden="false" customHeight="false" outlineLevel="0" collapsed="false">
      <c r="A55" s="28"/>
      <c r="B55" s="28"/>
      <c r="C55" s="28"/>
      <c r="D55" s="28"/>
      <c r="E55" s="28"/>
      <c r="F55" s="28"/>
      <c r="G55" s="29"/>
      <c r="H55" s="28"/>
    </row>
    <row r="56" customFormat="false" ht="15" hidden="false" customHeight="false" outlineLevel="0" collapsed="false">
      <c r="A56" s="28"/>
      <c r="B56" s="28"/>
      <c r="C56" s="28"/>
      <c r="D56" s="28"/>
      <c r="E56" s="28"/>
      <c r="F56" s="28"/>
      <c r="G56" s="29"/>
      <c r="H56" s="28"/>
    </row>
    <row r="57" customFormat="false" ht="15" hidden="false" customHeight="false" outlineLevel="0" collapsed="false">
      <c r="A57" s="28"/>
      <c r="B57" s="28"/>
      <c r="C57" s="28"/>
      <c r="D57" s="28"/>
      <c r="E57" s="28"/>
      <c r="F57" s="28"/>
      <c r="G57" s="29"/>
      <c r="H57" s="28"/>
    </row>
    <row r="58" customFormat="false" ht="15" hidden="false" customHeight="false" outlineLevel="0" collapsed="false">
      <c r="A58" s="28"/>
      <c r="B58" s="28"/>
      <c r="C58" s="28"/>
      <c r="D58" s="28"/>
      <c r="E58" s="28"/>
      <c r="F58" s="28"/>
      <c r="G58" s="29"/>
      <c r="H58" s="28"/>
    </row>
    <row r="59" customFormat="false" ht="15" hidden="false" customHeight="false" outlineLevel="0" collapsed="false">
      <c r="A59" s="28"/>
      <c r="B59" s="28"/>
      <c r="C59" s="28"/>
      <c r="D59" s="28"/>
      <c r="E59" s="28"/>
      <c r="F59" s="28"/>
      <c r="G59" s="29"/>
      <c r="H59" s="28"/>
    </row>
    <row r="60" customFormat="false" ht="15" hidden="false" customHeight="false" outlineLevel="0" collapsed="false">
      <c r="A60" s="28"/>
      <c r="B60" s="28"/>
      <c r="C60" s="28"/>
      <c r="D60" s="28"/>
      <c r="E60" s="28"/>
      <c r="F60" s="28"/>
      <c r="G60" s="29"/>
      <c r="H60" s="28"/>
    </row>
    <row r="61" customFormat="false" ht="15" hidden="false" customHeight="false" outlineLevel="0" collapsed="false">
      <c r="A61" s="28"/>
      <c r="B61" s="28"/>
      <c r="C61" s="28"/>
      <c r="D61" s="28"/>
      <c r="E61" s="28"/>
      <c r="F61" s="28"/>
      <c r="G61" s="29"/>
      <c r="H61" s="28"/>
    </row>
    <row r="62" customFormat="false" ht="15" hidden="false" customHeight="false" outlineLevel="0" collapsed="false">
      <c r="A62" s="28"/>
      <c r="B62" s="28"/>
      <c r="C62" s="28"/>
      <c r="D62" s="28"/>
      <c r="E62" s="28"/>
      <c r="F62" s="28"/>
      <c r="G62" s="29"/>
      <c r="H62" s="28"/>
    </row>
    <row r="63" customFormat="false" ht="15" hidden="false" customHeight="false" outlineLevel="0" collapsed="false">
      <c r="A63" s="28"/>
      <c r="B63" s="28"/>
      <c r="C63" s="28"/>
      <c r="D63" s="28"/>
      <c r="E63" s="28"/>
      <c r="F63" s="28"/>
      <c r="G63" s="29"/>
      <c r="H63" s="28"/>
    </row>
    <row r="64" customFormat="false" ht="15" hidden="false" customHeight="false" outlineLevel="0" collapsed="false">
      <c r="A64" s="28"/>
      <c r="B64" s="28"/>
      <c r="C64" s="28"/>
      <c r="D64" s="28"/>
      <c r="E64" s="28"/>
      <c r="F64" s="28"/>
      <c r="G64" s="29"/>
      <c r="H64" s="28"/>
    </row>
    <row r="65" customFormat="false" ht="15" hidden="false" customHeight="false" outlineLevel="0" collapsed="false">
      <c r="A65" s="28"/>
      <c r="B65" s="28"/>
      <c r="C65" s="28"/>
      <c r="D65" s="28"/>
      <c r="E65" s="28"/>
      <c r="F65" s="28"/>
      <c r="G65" s="29"/>
      <c r="H65" s="28"/>
    </row>
    <row r="66" customFormat="false" ht="15" hidden="false" customHeight="false" outlineLevel="0" collapsed="false">
      <c r="A66" s="28"/>
      <c r="B66" s="28"/>
      <c r="C66" s="28"/>
      <c r="D66" s="28"/>
      <c r="E66" s="28"/>
      <c r="F66" s="28"/>
      <c r="G66" s="29"/>
      <c r="H66" s="28"/>
    </row>
    <row r="67" customFormat="false" ht="15" hidden="false" customHeight="false" outlineLevel="0" collapsed="false">
      <c r="A67" s="28"/>
      <c r="B67" s="28"/>
      <c r="C67" s="28"/>
      <c r="D67" s="28"/>
      <c r="E67" s="28"/>
      <c r="F67" s="28"/>
      <c r="G67" s="29"/>
      <c r="H67" s="28"/>
    </row>
    <row r="68" customFormat="false" ht="15" hidden="false" customHeight="false" outlineLevel="0" collapsed="false">
      <c r="A68" s="28"/>
      <c r="B68" s="28"/>
      <c r="C68" s="28"/>
      <c r="D68" s="28"/>
      <c r="E68" s="28"/>
      <c r="F68" s="28"/>
      <c r="G68" s="29"/>
      <c r="H68" s="28"/>
    </row>
    <row r="69" customFormat="false" ht="15" hidden="false" customHeight="false" outlineLevel="0" collapsed="false">
      <c r="A69" s="28"/>
      <c r="B69" s="28"/>
      <c r="C69" s="28"/>
      <c r="D69" s="28"/>
      <c r="E69" s="28"/>
      <c r="F69" s="28"/>
      <c r="G69" s="29"/>
      <c r="H69" s="28"/>
    </row>
    <row r="70" customFormat="false" ht="15" hidden="false" customHeight="false" outlineLevel="0" collapsed="false">
      <c r="A70" s="28"/>
      <c r="B70" s="28"/>
      <c r="C70" s="28"/>
      <c r="D70" s="28"/>
      <c r="E70" s="28"/>
      <c r="F70" s="28"/>
      <c r="G70" s="29"/>
      <c r="H70" s="28"/>
    </row>
    <row r="71" customFormat="false" ht="15" hidden="false" customHeight="false" outlineLevel="0" collapsed="false">
      <c r="A71" s="28"/>
      <c r="B71" s="28"/>
      <c r="C71" s="28"/>
      <c r="D71" s="28"/>
      <c r="E71" s="28"/>
      <c r="F71" s="28"/>
      <c r="G71" s="29"/>
      <c r="H71" s="28"/>
    </row>
    <row r="72" customFormat="false" ht="15" hidden="false" customHeight="false" outlineLevel="0" collapsed="false">
      <c r="A72" s="28"/>
      <c r="B72" s="28"/>
      <c r="C72" s="28"/>
      <c r="D72" s="28"/>
      <c r="E72" s="28"/>
      <c r="F72" s="28"/>
      <c r="G72" s="29"/>
      <c r="H72" s="28"/>
    </row>
    <row r="73" customFormat="false" ht="15" hidden="false" customHeight="false" outlineLevel="0" collapsed="false">
      <c r="A73" s="28"/>
      <c r="B73" s="28"/>
      <c r="C73" s="28"/>
      <c r="D73" s="28"/>
      <c r="E73" s="28"/>
      <c r="F73" s="28"/>
      <c r="G73" s="29"/>
      <c r="H73" s="28"/>
    </row>
    <row r="74" customFormat="false" ht="15" hidden="false" customHeight="false" outlineLevel="0" collapsed="false">
      <c r="A74" s="28"/>
      <c r="B74" s="28"/>
      <c r="C74" s="28"/>
      <c r="D74" s="28"/>
      <c r="E74" s="28"/>
      <c r="F74" s="28"/>
      <c r="G74" s="29"/>
      <c r="H74" s="28"/>
    </row>
    <row r="75" customFormat="false" ht="15" hidden="false" customHeight="false" outlineLevel="0" collapsed="false">
      <c r="A75" s="28"/>
      <c r="B75" s="28"/>
      <c r="C75" s="28"/>
      <c r="D75" s="28"/>
      <c r="E75" s="28"/>
      <c r="F75" s="28"/>
      <c r="G75" s="29"/>
      <c r="H75" s="28"/>
    </row>
    <row r="76" customFormat="false" ht="15" hidden="false" customHeight="false" outlineLevel="0" collapsed="false">
      <c r="A76" s="28"/>
      <c r="B76" s="28"/>
      <c r="C76" s="28"/>
      <c r="D76" s="28"/>
      <c r="E76" s="28"/>
      <c r="F76" s="28"/>
      <c r="G76" s="29"/>
      <c r="H76" s="28"/>
    </row>
    <row r="77" customFormat="false" ht="15" hidden="false" customHeight="false" outlineLevel="0" collapsed="false">
      <c r="A77" s="28"/>
      <c r="B77" s="28"/>
      <c r="C77" s="28"/>
      <c r="D77" s="28"/>
      <c r="E77" s="28"/>
      <c r="F77" s="28"/>
      <c r="G77" s="29"/>
      <c r="H77" s="28"/>
    </row>
    <row r="78" customFormat="false" ht="15" hidden="false" customHeight="false" outlineLevel="0" collapsed="false">
      <c r="A78" s="28"/>
      <c r="B78" s="28"/>
      <c r="C78" s="28"/>
      <c r="D78" s="28"/>
      <c r="E78" s="28"/>
      <c r="F78" s="28"/>
      <c r="G78" s="29"/>
      <c r="H78" s="28"/>
    </row>
    <row r="79" customFormat="false" ht="15" hidden="false" customHeight="false" outlineLevel="0" collapsed="false">
      <c r="A79" s="28"/>
      <c r="B79" s="28"/>
      <c r="C79" s="28"/>
      <c r="D79" s="28"/>
      <c r="E79" s="28"/>
      <c r="F79" s="28"/>
      <c r="G79" s="29"/>
      <c r="H79" s="28"/>
    </row>
    <row r="80" customFormat="false" ht="15" hidden="false" customHeight="false" outlineLevel="0" collapsed="false">
      <c r="A80" s="28"/>
      <c r="B80" s="28"/>
      <c r="C80" s="28"/>
      <c r="D80" s="28"/>
      <c r="E80" s="28"/>
      <c r="F80" s="28"/>
      <c r="G80" s="29"/>
      <c r="H80" s="28"/>
    </row>
    <row r="81" customFormat="false" ht="15" hidden="false" customHeight="false" outlineLevel="0" collapsed="false">
      <c r="A81" s="28"/>
      <c r="B81" s="28"/>
      <c r="C81" s="28"/>
      <c r="D81" s="28"/>
      <c r="E81" s="28"/>
      <c r="F81" s="28"/>
      <c r="G81" s="29"/>
      <c r="H81" s="28"/>
    </row>
    <row r="82" customFormat="false" ht="15" hidden="false" customHeight="false" outlineLevel="0" collapsed="false">
      <c r="A82" s="28"/>
      <c r="B82" s="28"/>
      <c r="C82" s="28"/>
      <c r="D82" s="28"/>
      <c r="E82" s="28"/>
      <c r="F82" s="28"/>
      <c r="G82" s="29"/>
      <c r="H82" s="28"/>
    </row>
    <row r="83" customFormat="false" ht="15" hidden="false" customHeight="false" outlineLevel="0" collapsed="false">
      <c r="A83" s="28"/>
      <c r="B83" s="28"/>
      <c r="C83" s="28"/>
      <c r="D83" s="28"/>
      <c r="E83" s="28"/>
      <c r="F83" s="28"/>
      <c r="G83" s="29"/>
      <c r="H83" s="28"/>
    </row>
    <row r="84" customFormat="false" ht="15" hidden="false" customHeight="false" outlineLevel="0" collapsed="false">
      <c r="A84" s="28"/>
      <c r="B84" s="28"/>
      <c r="C84" s="28"/>
      <c r="D84" s="28"/>
      <c r="E84" s="28"/>
      <c r="F84" s="28"/>
      <c r="G84" s="29"/>
      <c r="H84" s="28"/>
    </row>
    <row r="85" customFormat="false" ht="15" hidden="false" customHeight="false" outlineLevel="0" collapsed="false">
      <c r="A85" s="28"/>
      <c r="B85" s="28"/>
      <c r="C85" s="28"/>
      <c r="D85" s="28"/>
      <c r="E85" s="28"/>
      <c r="F85" s="28"/>
      <c r="G85" s="29"/>
      <c r="H85" s="28"/>
    </row>
    <row r="86" customFormat="false" ht="15" hidden="false" customHeight="false" outlineLevel="0" collapsed="false">
      <c r="A86" s="28"/>
      <c r="B86" s="28"/>
      <c r="C86" s="28"/>
      <c r="D86" s="28"/>
      <c r="E86" s="28"/>
      <c r="F86" s="28"/>
      <c r="G86" s="29"/>
      <c r="H86" s="28"/>
    </row>
    <row r="87" customFormat="false" ht="15" hidden="false" customHeight="false" outlineLevel="0" collapsed="false">
      <c r="A87" s="28"/>
      <c r="B87" s="28"/>
      <c r="C87" s="28"/>
      <c r="D87" s="28"/>
      <c r="E87" s="28"/>
      <c r="F87" s="28"/>
      <c r="G87" s="29"/>
      <c r="H87" s="28"/>
    </row>
    <row r="88" customFormat="false" ht="15" hidden="false" customHeight="false" outlineLevel="0" collapsed="false">
      <c r="A88" s="28"/>
      <c r="B88" s="28"/>
      <c r="C88" s="28"/>
      <c r="D88" s="28"/>
      <c r="E88" s="28"/>
      <c r="F88" s="28"/>
      <c r="G88" s="29"/>
      <c r="H88" s="28"/>
    </row>
    <row r="89" customFormat="false" ht="15" hidden="false" customHeight="false" outlineLevel="0" collapsed="false">
      <c r="A89" s="28"/>
      <c r="B89" s="28"/>
      <c r="C89" s="28"/>
      <c r="D89" s="28"/>
      <c r="E89" s="28"/>
      <c r="F89" s="28"/>
      <c r="G89" s="29"/>
      <c r="H89" s="28"/>
    </row>
    <row r="90" customFormat="false" ht="15" hidden="false" customHeight="false" outlineLevel="0" collapsed="false">
      <c r="A90" s="28"/>
      <c r="B90" s="28"/>
      <c r="C90" s="28"/>
      <c r="D90" s="28"/>
      <c r="E90" s="28"/>
      <c r="F90" s="28"/>
      <c r="G90" s="29"/>
      <c r="H90" s="28"/>
    </row>
    <row r="91" customFormat="false" ht="15" hidden="false" customHeight="false" outlineLevel="0" collapsed="false">
      <c r="A91" s="28"/>
      <c r="B91" s="28"/>
      <c r="C91" s="28"/>
      <c r="D91" s="28"/>
      <c r="E91" s="28"/>
      <c r="F91" s="28"/>
      <c r="G91" s="29"/>
      <c r="H91" s="28"/>
    </row>
    <row r="92" customFormat="false" ht="15" hidden="false" customHeight="false" outlineLevel="0" collapsed="false">
      <c r="A92" s="28"/>
      <c r="B92" s="28"/>
      <c r="C92" s="28"/>
      <c r="D92" s="28"/>
      <c r="E92" s="28"/>
      <c r="F92" s="28"/>
      <c r="G92" s="29"/>
      <c r="H92" s="28"/>
    </row>
    <row r="93" customFormat="false" ht="15" hidden="false" customHeight="false" outlineLevel="0" collapsed="false">
      <c r="A93" s="28"/>
      <c r="B93" s="28"/>
      <c r="C93" s="28"/>
      <c r="D93" s="28"/>
      <c r="E93" s="28"/>
      <c r="F93" s="28"/>
      <c r="G93" s="29"/>
      <c r="H93" s="28"/>
    </row>
    <row r="94" customFormat="false" ht="15" hidden="false" customHeight="false" outlineLevel="0" collapsed="false">
      <c r="A94" s="28"/>
      <c r="B94" s="28"/>
      <c r="C94" s="28"/>
      <c r="D94" s="28"/>
      <c r="E94" s="28"/>
      <c r="F94" s="28"/>
      <c r="G94" s="29"/>
      <c r="H94" s="28"/>
    </row>
    <row r="95" customFormat="false" ht="15" hidden="false" customHeight="false" outlineLevel="0" collapsed="false">
      <c r="A95" s="28"/>
      <c r="B95" s="28"/>
      <c r="C95" s="28"/>
      <c r="D95" s="28"/>
      <c r="E95" s="28"/>
      <c r="F95" s="28"/>
      <c r="G95" s="29"/>
      <c r="H95" s="28"/>
    </row>
    <row r="96" customFormat="false" ht="15" hidden="false" customHeight="false" outlineLevel="0" collapsed="false">
      <c r="A96" s="28"/>
      <c r="B96" s="28"/>
      <c r="C96" s="28"/>
      <c r="D96" s="28"/>
      <c r="E96" s="28"/>
      <c r="F96" s="28"/>
      <c r="G96" s="29"/>
      <c r="H96" s="28"/>
    </row>
    <row r="97" customFormat="false" ht="15" hidden="false" customHeight="false" outlineLevel="0" collapsed="false">
      <c r="A97" s="28"/>
      <c r="B97" s="28"/>
      <c r="C97" s="28"/>
      <c r="D97" s="28"/>
      <c r="E97" s="28"/>
      <c r="F97" s="28"/>
      <c r="G97" s="29"/>
      <c r="H97" s="28"/>
    </row>
    <row r="98" customFormat="false" ht="15" hidden="false" customHeight="false" outlineLevel="0" collapsed="false">
      <c r="A98" s="28"/>
      <c r="B98" s="28"/>
      <c r="C98" s="28"/>
      <c r="D98" s="28"/>
      <c r="E98" s="28"/>
      <c r="F98" s="28"/>
      <c r="G98" s="29"/>
      <c r="H98" s="28"/>
    </row>
    <row r="99" customFormat="false" ht="15" hidden="false" customHeight="false" outlineLevel="0" collapsed="false">
      <c r="A99" s="28"/>
      <c r="B99" s="28"/>
      <c r="C99" s="28"/>
      <c r="D99" s="28"/>
      <c r="E99" s="28"/>
      <c r="F99" s="28"/>
      <c r="G99" s="29"/>
      <c r="H99" s="28"/>
    </row>
    <row r="100" customFormat="false" ht="15" hidden="false" customHeight="false" outlineLevel="0" collapsed="false">
      <c r="A100" s="28"/>
      <c r="B100" s="28"/>
      <c r="C100" s="28"/>
      <c r="D100" s="28"/>
      <c r="E100" s="28"/>
      <c r="F100" s="28"/>
      <c r="G100" s="29"/>
      <c r="H100" s="28"/>
    </row>
    <row r="101" customFormat="false" ht="15" hidden="false" customHeight="false" outlineLevel="0" collapsed="false">
      <c r="A101" s="28"/>
      <c r="B101" s="28"/>
      <c r="C101" s="28"/>
      <c r="D101" s="28"/>
      <c r="E101" s="28"/>
      <c r="F101" s="28"/>
      <c r="G101" s="29"/>
      <c r="H101" s="28"/>
    </row>
    <row r="102" customFormat="false" ht="15" hidden="false" customHeight="false" outlineLevel="0" collapsed="false">
      <c r="A102" s="28"/>
      <c r="B102" s="28"/>
      <c r="C102" s="28"/>
      <c r="D102" s="28"/>
      <c r="E102" s="28"/>
      <c r="F102" s="28"/>
      <c r="G102" s="29"/>
      <c r="H102" s="28"/>
    </row>
    <row r="103" customFormat="false" ht="15" hidden="false" customHeight="false" outlineLevel="0" collapsed="false">
      <c r="A103" s="28"/>
      <c r="B103" s="28"/>
      <c r="C103" s="28"/>
      <c r="D103" s="28"/>
      <c r="E103" s="28"/>
      <c r="F103" s="28"/>
      <c r="G103" s="29"/>
      <c r="H103" s="28"/>
    </row>
    <row r="104" customFormat="false" ht="15" hidden="false" customHeight="false" outlineLevel="0" collapsed="false">
      <c r="A104" s="28"/>
      <c r="B104" s="28"/>
      <c r="C104" s="28"/>
      <c r="D104" s="28"/>
      <c r="E104" s="28"/>
      <c r="F104" s="28"/>
      <c r="G104" s="29"/>
      <c r="H104" s="28"/>
    </row>
    <row r="105" customFormat="false" ht="15" hidden="false" customHeight="false" outlineLevel="0" collapsed="false">
      <c r="A105" s="28"/>
      <c r="B105" s="28"/>
      <c r="C105" s="28"/>
      <c r="D105" s="28"/>
      <c r="E105" s="28"/>
      <c r="F105" s="28"/>
      <c r="G105" s="29"/>
      <c r="H105" s="28"/>
    </row>
    <row r="106" customFormat="false" ht="15" hidden="false" customHeight="false" outlineLevel="0" collapsed="false">
      <c r="A106" s="28"/>
      <c r="B106" s="28"/>
      <c r="C106" s="28"/>
      <c r="D106" s="28"/>
      <c r="E106" s="28"/>
      <c r="F106" s="28"/>
      <c r="G106" s="29"/>
      <c r="H106" s="28"/>
    </row>
    <row r="107" customFormat="false" ht="15" hidden="false" customHeight="false" outlineLevel="0" collapsed="false">
      <c r="A107" s="28"/>
      <c r="B107" s="28"/>
      <c r="C107" s="28"/>
      <c r="D107" s="28"/>
      <c r="E107" s="28"/>
      <c r="F107" s="28"/>
      <c r="G107" s="29"/>
      <c r="H107" s="28"/>
    </row>
    <row r="108" customFormat="false" ht="15" hidden="false" customHeight="false" outlineLevel="0" collapsed="false">
      <c r="A108" s="28"/>
      <c r="B108" s="28"/>
      <c r="C108" s="28"/>
      <c r="D108" s="28"/>
      <c r="E108" s="28"/>
      <c r="F108" s="28"/>
      <c r="G108" s="29"/>
      <c r="H108" s="28"/>
    </row>
    <row r="109" customFormat="false" ht="15" hidden="false" customHeight="false" outlineLevel="0" collapsed="false">
      <c r="A109" s="28"/>
      <c r="B109" s="28"/>
      <c r="C109" s="28"/>
      <c r="D109" s="28"/>
      <c r="E109" s="28"/>
      <c r="F109" s="28"/>
      <c r="G109" s="29"/>
      <c r="H109" s="28"/>
    </row>
    <row r="110" customFormat="false" ht="15" hidden="false" customHeight="false" outlineLevel="0" collapsed="false">
      <c r="A110" s="28"/>
      <c r="B110" s="28"/>
      <c r="C110" s="28"/>
      <c r="D110" s="28"/>
      <c r="E110" s="28"/>
      <c r="F110" s="28"/>
      <c r="G110" s="29"/>
      <c r="H110" s="28"/>
    </row>
    <row r="111" customFormat="false" ht="15" hidden="false" customHeight="false" outlineLevel="0" collapsed="false">
      <c r="A111" s="28"/>
      <c r="B111" s="28"/>
      <c r="C111" s="28"/>
      <c r="D111" s="28"/>
      <c r="E111" s="28"/>
      <c r="F111" s="28"/>
      <c r="G111" s="29"/>
      <c r="H111" s="28"/>
    </row>
    <row r="112" customFormat="false" ht="15" hidden="false" customHeight="false" outlineLevel="0" collapsed="false">
      <c r="A112" s="28"/>
      <c r="B112" s="28"/>
      <c r="C112" s="28"/>
      <c r="D112" s="28"/>
      <c r="E112" s="28"/>
      <c r="F112" s="28"/>
      <c r="G112" s="29"/>
      <c r="H112" s="28"/>
    </row>
    <row r="113" customFormat="false" ht="15" hidden="false" customHeight="false" outlineLevel="0" collapsed="false">
      <c r="A113" s="28"/>
      <c r="B113" s="28"/>
      <c r="C113" s="28"/>
      <c r="D113" s="28"/>
      <c r="E113" s="28"/>
      <c r="F113" s="28"/>
      <c r="G113" s="29"/>
      <c r="H113" s="28"/>
    </row>
    <row r="114" customFormat="false" ht="15" hidden="false" customHeight="false" outlineLevel="0" collapsed="false">
      <c r="A114" s="28"/>
      <c r="B114" s="28"/>
      <c r="C114" s="28"/>
      <c r="D114" s="28"/>
      <c r="E114" s="28"/>
      <c r="F114" s="28"/>
      <c r="G114" s="29"/>
      <c r="H114" s="28"/>
    </row>
    <row r="115" customFormat="false" ht="15" hidden="false" customHeight="false" outlineLevel="0" collapsed="false">
      <c r="A115" s="28"/>
      <c r="B115" s="28"/>
      <c r="C115" s="28"/>
      <c r="D115" s="28"/>
      <c r="E115" s="28"/>
      <c r="F115" s="28"/>
      <c r="G115" s="29"/>
      <c r="H115" s="28"/>
    </row>
    <row r="116" customFormat="false" ht="15" hidden="false" customHeight="false" outlineLevel="0" collapsed="false">
      <c r="A116" s="28"/>
      <c r="B116" s="28"/>
      <c r="C116" s="28"/>
      <c r="D116" s="28"/>
      <c r="E116" s="28"/>
      <c r="F116" s="28"/>
      <c r="G116" s="29"/>
      <c r="H116" s="28"/>
    </row>
    <row r="117" customFormat="false" ht="15" hidden="false" customHeight="false" outlineLevel="0" collapsed="false">
      <c r="A117" s="28"/>
      <c r="B117" s="28"/>
      <c r="C117" s="28"/>
      <c r="D117" s="28"/>
      <c r="E117" s="28"/>
      <c r="F117" s="28"/>
      <c r="G117" s="29"/>
      <c r="H117" s="28"/>
    </row>
    <row r="118" customFormat="false" ht="15" hidden="false" customHeight="false" outlineLevel="0" collapsed="false">
      <c r="A118" s="28"/>
      <c r="B118" s="28"/>
      <c r="C118" s="28"/>
      <c r="D118" s="28"/>
      <c r="E118" s="28"/>
      <c r="F118" s="28"/>
      <c r="G118" s="29"/>
      <c r="H118" s="28"/>
    </row>
    <row r="119" customFormat="false" ht="15" hidden="false" customHeight="false" outlineLevel="0" collapsed="false">
      <c r="A119" s="28"/>
      <c r="B119" s="28"/>
      <c r="C119" s="28"/>
      <c r="D119" s="28"/>
      <c r="E119" s="28"/>
      <c r="F119" s="28"/>
      <c r="G119" s="29"/>
      <c r="H119" s="28"/>
    </row>
    <row r="120" customFormat="false" ht="15" hidden="false" customHeight="false" outlineLevel="0" collapsed="false">
      <c r="A120" s="28"/>
      <c r="B120" s="28"/>
      <c r="C120" s="28"/>
      <c r="D120" s="28"/>
      <c r="E120" s="28"/>
      <c r="F120" s="28"/>
      <c r="G120" s="29"/>
      <c r="H120" s="28"/>
    </row>
    <row r="121" customFormat="false" ht="15" hidden="false" customHeight="false" outlineLevel="0" collapsed="false">
      <c r="A121" s="28"/>
      <c r="B121" s="28"/>
      <c r="C121" s="28"/>
      <c r="D121" s="28"/>
      <c r="E121" s="28"/>
      <c r="F121" s="28"/>
      <c r="G121" s="29"/>
      <c r="H121" s="28"/>
    </row>
    <row r="122" customFormat="false" ht="15" hidden="false" customHeight="false" outlineLevel="0" collapsed="false">
      <c r="A122" s="28"/>
      <c r="B122" s="28"/>
      <c r="C122" s="28"/>
      <c r="D122" s="28"/>
      <c r="E122" s="28"/>
      <c r="F122" s="28"/>
      <c r="G122" s="29"/>
      <c r="H122" s="28"/>
    </row>
    <row r="123" customFormat="false" ht="15" hidden="false" customHeight="false" outlineLevel="0" collapsed="false">
      <c r="A123" s="28"/>
      <c r="B123" s="28"/>
      <c r="C123" s="28"/>
      <c r="D123" s="28"/>
      <c r="E123" s="28"/>
      <c r="F123" s="28"/>
      <c r="G123" s="29"/>
      <c r="H123" s="28"/>
    </row>
    <row r="124" customFormat="false" ht="15" hidden="false" customHeight="false" outlineLevel="0" collapsed="false">
      <c r="A124" s="28"/>
      <c r="B124" s="28"/>
      <c r="C124" s="28"/>
      <c r="D124" s="28"/>
      <c r="E124" s="28"/>
      <c r="F124" s="28"/>
      <c r="G124" s="29"/>
      <c r="H124" s="28"/>
    </row>
    <row r="125" customFormat="false" ht="15" hidden="false" customHeight="false" outlineLevel="0" collapsed="false">
      <c r="A125" s="28"/>
      <c r="B125" s="28"/>
      <c r="C125" s="28"/>
      <c r="D125" s="28"/>
      <c r="E125" s="28"/>
      <c r="F125" s="28"/>
      <c r="G125" s="29"/>
      <c r="H125" s="28"/>
    </row>
    <row r="126" customFormat="false" ht="15" hidden="false" customHeight="false" outlineLevel="0" collapsed="false">
      <c r="A126" s="28"/>
      <c r="B126" s="28"/>
      <c r="C126" s="28"/>
      <c r="D126" s="28"/>
      <c r="E126" s="28"/>
      <c r="F126" s="28"/>
      <c r="G126" s="29"/>
      <c r="H126" s="28"/>
    </row>
    <row r="127" customFormat="false" ht="15" hidden="false" customHeight="false" outlineLevel="0" collapsed="false">
      <c r="A127" s="28"/>
      <c r="B127" s="28"/>
      <c r="C127" s="28"/>
      <c r="D127" s="28"/>
      <c r="E127" s="28"/>
      <c r="F127" s="28"/>
      <c r="G127" s="29"/>
      <c r="H127" s="28"/>
    </row>
    <row r="128" customFormat="false" ht="15" hidden="false" customHeight="false" outlineLevel="0" collapsed="false">
      <c r="A128" s="28"/>
      <c r="B128" s="28"/>
      <c r="C128" s="28"/>
      <c r="D128" s="28"/>
      <c r="E128" s="28"/>
      <c r="F128" s="28"/>
      <c r="G128" s="29"/>
      <c r="H128" s="28"/>
    </row>
    <row r="129" customFormat="false" ht="15" hidden="false" customHeight="false" outlineLevel="0" collapsed="false">
      <c r="A129" s="28"/>
      <c r="B129" s="28"/>
      <c r="C129" s="28"/>
      <c r="D129" s="28"/>
      <c r="E129" s="28"/>
      <c r="F129" s="28"/>
      <c r="G129" s="29"/>
      <c r="H129" s="28"/>
    </row>
    <row r="130" customFormat="false" ht="15" hidden="false" customHeight="false" outlineLevel="0" collapsed="false">
      <c r="A130" s="28"/>
      <c r="B130" s="28"/>
      <c r="C130" s="28"/>
      <c r="D130" s="28"/>
      <c r="E130" s="28"/>
      <c r="F130" s="28"/>
      <c r="G130" s="29"/>
      <c r="H130" s="28"/>
    </row>
    <row r="131" customFormat="false" ht="15" hidden="false" customHeight="false" outlineLevel="0" collapsed="false">
      <c r="A131" s="28"/>
      <c r="B131" s="28"/>
      <c r="C131" s="28"/>
      <c r="D131" s="28"/>
      <c r="E131" s="28"/>
      <c r="F131" s="28"/>
      <c r="G131" s="29"/>
      <c r="H131" s="28"/>
    </row>
    <row r="132" customFormat="false" ht="15" hidden="false" customHeight="false" outlineLevel="0" collapsed="false">
      <c r="A132" s="28"/>
      <c r="B132" s="28"/>
      <c r="C132" s="28"/>
      <c r="D132" s="28"/>
      <c r="E132" s="28"/>
      <c r="F132" s="28"/>
      <c r="G132" s="29"/>
      <c r="H132" s="28"/>
    </row>
    <row r="133" customFormat="false" ht="15" hidden="false" customHeight="false" outlineLevel="0" collapsed="false">
      <c r="A133" s="28"/>
      <c r="B133" s="28"/>
      <c r="C133" s="28"/>
      <c r="D133" s="28"/>
      <c r="E133" s="28"/>
      <c r="F133" s="28"/>
      <c r="G133" s="29"/>
      <c r="H133" s="28"/>
    </row>
    <row r="134" customFormat="false" ht="15" hidden="false" customHeight="false" outlineLevel="0" collapsed="false">
      <c r="A134" s="28"/>
      <c r="B134" s="28"/>
      <c r="C134" s="28"/>
      <c r="D134" s="28"/>
      <c r="E134" s="28"/>
      <c r="F134" s="28"/>
      <c r="G134" s="29"/>
      <c r="H134" s="28"/>
    </row>
    <row r="135" customFormat="false" ht="15" hidden="false" customHeight="false" outlineLevel="0" collapsed="false">
      <c r="A135" s="28"/>
      <c r="B135" s="28"/>
      <c r="C135" s="28"/>
      <c r="D135" s="28"/>
      <c r="E135" s="28"/>
      <c r="F135" s="28"/>
      <c r="G135" s="29"/>
      <c r="H135" s="28"/>
    </row>
    <row r="136" customFormat="false" ht="15" hidden="false" customHeight="false" outlineLevel="0" collapsed="false">
      <c r="A136" s="28"/>
      <c r="B136" s="28"/>
      <c r="C136" s="28"/>
      <c r="D136" s="28"/>
      <c r="E136" s="28"/>
      <c r="F136" s="28"/>
      <c r="G136" s="29"/>
      <c r="H136" s="28"/>
    </row>
    <row r="137" customFormat="false" ht="15" hidden="false" customHeight="false" outlineLevel="0" collapsed="false">
      <c r="A137" s="28"/>
      <c r="B137" s="28"/>
      <c r="C137" s="28"/>
      <c r="D137" s="28"/>
      <c r="E137" s="28"/>
      <c r="F137" s="28"/>
      <c r="G137" s="29"/>
      <c r="H137" s="28"/>
    </row>
    <row r="138" customFormat="false" ht="15" hidden="false" customHeight="false" outlineLevel="0" collapsed="false">
      <c r="A138" s="28"/>
      <c r="B138" s="28"/>
      <c r="C138" s="28"/>
      <c r="D138" s="28"/>
      <c r="E138" s="28"/>
      <c r="F138" s="28"/>
      <c r="G138" s="29"/>
      <c r="H138" s="28"/>
    </row>
    <row r="139" customFormat="false" ht="15" hidden="false" customHeight="false" outlineLevel="0" collapsed="false">
      <c r="A139" s="28"/>
      <c r="B139" s="28"/>
      <c r="C139" s="28"/>
      <c r="D139" s="28"/>
      <c r="E139" s="28"/>
      <c r="F139" s="28"/>
      <c r="G139" s="29"/>
      <c r="H139" s="28"/>
    </row>
    <row r="140" customFormat="false" ht="15" hidden="false" customHeight="false" outlineLevel="0" collapsed="false">
      <c r="A140" s="28"/>
      <c r="B140" s="28"/>
      <c r="C140" s="28"/>
      <c r="D140" s="28"/>
      <c r="E140" s="28"/>
      <c r="F140" s="28"/>
      <c r="G140" s="29"/>
      <c r="H140" s="28"/>
    </row>
    <row r="141" customFormat="false" ht="15" hidden="false" customHeight="false" outlineLevel="0" collapsed="false">
      <c r="A141" s="28"/>
      <c r="B141" s="28"/>
      <c r="C141" s="28"/>
      <c r="D141" s="28"/>
      <c r="E141" s="28"/>
      <c r="F141" s="28"/>
      <c r="G141" s="29"/>
      <c r="H141" s="28"/>
    </row>
    <row r="142" customFormat="false" ht="15" hidden="false" customHeight="false" outlineLevel="0" collapsed="false">
      <c r="A142" s="28"/>
      <c r="B142" s="28"/>
      <c r="C142" s="28"/>
      <c r="D142" s="28"/>
      <c r="E142" s="28"/>
      <c r="F142" s="28"/>
      <c r="G142" s="29"/>
      <c r="H142" s="28"/>
    </row>
    <row r="143" customFormat="false" ht="15" hidden="false" customHeight="false" outlineLevel="0" collapsed="false">
      <c r="A143" s="28"/>
      <c r="B143" s="28"/>
      <c r="C143" s="28"/>
      <c r="D143" s="28"/>
      <c r="E143" s="28"/>
      <c r="F143" s="28"/>
      <c r="G143" s="29"/>
      <c r="H143" s="28"/>
    </row>
    <row r="144" customFormat="false" ht="15" hidden="false" customHeight="false" outlineLevel="0" collapsed="false">
      <c r="A144" s="28"/>
      <c r="B144" s="28"/>
      <c r="C144" s="28"/>
      <c r="D144" s="28"/>
      <c r="E144" s="28"/>
      <c r="F144" s="28"/>
      <c r="G144" s="29"/>
      <c r="H144" s="28"/>
    </row>
    <row r="145" customFormat="false" ht="15" hidden="false" customHeight="false" outlineLevel="0" collapsed="false">
      <c r="A145" s="28"/>
      <c r="B145" s="28"/>
      <c r="C145" s="28"/>
      <c r="D145" s="28"/>
      <c r="E145" s="28"/>
      <c r="F145" s="28"/>
      <c r="G145" s="29"/>
      <c r="H145" s="28"/>
    </row>
    <row r="146" customFormat="false" ht="15" hidden="false" customHeight="false" outlineLevel="0" collapsed="false">
      <c r="A146" s="28"/>
      <c r="B146" s="28"/>
      <c r="C146" s="28"/>
      <c r="D146" s="28"/>
      <c r="E146" s="28"/>
      <c r="F146" s="28"/>
      <c r="G146" s="29"/>
      <c r="H146" s="28"/>
    </row>
    <row r="147" customFormat="false" ht="15" hidden="false" customHeight="false" outlineLevel="0" collapsed="false">
      <c r="A147" s="28"/>
      <c r="B147" s="28"/>
      <c r="C147" s="28"/>
      <c r="D147" s="28"/>
      <c r="E147" s="28"/>
      <c r="F147" s="28"/>
      <c r="G147" s="29"/>
      <c r="H147" s="28"/>
    </row>
    <row r="148" customFormat="false" ht="15" hidden="false" customHeight="false" outlineLevel="0" collapsed="false">
      <c r="A148" s="28"/>
      <c r="B148" s="28"/>
      <c r="C148" s="28"/>
      <c r="D148" s="28"/>
      <c r="E148" s="28"/>
      <c r="F148" s="28"/>
      <c r="G148" s="29"/>
      <c r="H148" s="28"/>
    </row>
    <row r="149" customFormat="false" ht="15" hidden="false" customHeight="false" outlineLevel="0" collapsed="false">
      <c r="A149" s="28"/>
      <c r="B149" s="28"/>
      <c r="C149" s="28"/>
      <c r="D149" s="28"/>
      <c r="E149" s="28"/>
      <c r="F149" s="28"/>
      <c r="G149" s="29"/>
      <c r="H149" s="28"/>
    </row>
    <row r="150" customFormat="false" ht="15" hidden="false" customHeight="false" outlineLevel="0" collapsed="false">
      <c r="A150" s="28"/>
      <c r="B150" s="28"/>
      <c r="C150" s="28"/>
      <c r="D150" s="28"/>
      <c r="E150" s="28"/>
      <c r="F150" s="28"/>
      <c r="G150" s="29"/>
      <c r="H150" s="28"/>
    </row>
    <row r="151" customFormat="false" ht="15" hidden="false" customHeight="false" outlineLevel="0" collapsed="false">
      <c r="A151" s="28"/>
      <c r="B151" s="28"/>
      <c r="C151" s="28"/>
      <c r="D151" s="28"/>
      <c r="E151" s="28"/>
      <c r="F151" s="28"/>
      <c r="G151" s="29"/>
      <c r="H151" s="28"/>
    </row>
    <row r="152" customFormat="false" ht="15" hidden="false" customHeight="false" outlineLevel="0" collapsed="false">
      <c r="A152" s="28"/>
      <c r="B152" s="28"/>
      <c r="C152" s="28"/>
      <c r="D152" s="28"/>
      <c r="E152" s="28"/>
      <c r="F152" s="28"/>
      <c r="G152" s="29"/>
      <c r="H152" s="28"/>
    </row>
    <row r="153" customFormat="false" ht="15" hidden="false" customHeight="false" outlineLevel="0" collapsed="false">
      <c r="A153" s="28"/>
      <c r="B153" s="28"/>
      <c r="C153" s="28"/>
      <c r="D153" s="28"/>
      <c r="E153" s="28"/>
      <c r="F153" s="28"/>
      <c r="G153" s="29"/>
      <c r="H153" s="28"/>
    </row>
    <row r="154" customFormat="false" ht="15" hidden="false" customHeight="false" outlineLevel="0" collapsed="false">
      <c r="A154" s="28"/>
      <c r="B154" s="28"/>
      <c r="C154" s="28"/>
      <c r="D154" s="28"/>
      <c r="E154" s="28"/>
      <c r="F154" s="28"/>
      <c r="G154" s="29"/>
      <c r="H154" s="28"/>
    </row>
    <row r="155" customFormat="false" ht="15" hidden="false" customHeight="false" outlineLevel="0" collapsed="false">
      <c r="A155" s="28"/>
      <c r="B155" s="28"/>
      <c r="C155" s="28"/>
      <c r="D155" s="28"/>
      <c r="E155" s="28"/>
      <c r="F155" s="28"/>
      <c r="G155" s="29"/>
      <c r="H155" s="28"/>
    </row>
    <row r="156" customFormat="false" ht="15" hidden="false" customHeight="false" outlineLevel="0" collapsed="false">
      <c r="A156" s="28"/>
      <c r="B156" s="28"/>
      <c r="C156" s="28"/>
      <c r="D156" s="28"/>
      <c r="E156" s="28"/>
      <c r="F156" s="28"/>
      <c r="G156" s="29"/>
      <c r="H156" s="28"/>
    </row>
    <row r="157" customFormat="false" ht="15" hidden="false" customHeight="false" outlineLevel="0" collapsed="false">
      <c r="A157" s="28"/>
      <c r="B157" s="28"/>
      <c r="C157" s="28"/>
      <c r="D157" s="28"/>
      <c r="E157" s="28"/>
      <c r="F157" s="28"/>
      <c r="G157" s="29"/>
      <c r="H157" s="28"/>
    </row>
    <row r="158" customFormat="false" ht="15" hidden="false" customHeight="false" outlineLevel="0" collapsed="false">
      <c r="A158" s="28"/>
      <c r="B158" s="28"/>
      <c r="C158" s="28"/>
      <c r="D158" s="28"/>
      <c r="E158" s="28"/>
      <c r="F158" s="28"/>
      <c r="G158" s="29"/>
      <c r="H158" s="28"/>
    </row>
    <row r="159" customFormat="false" ht="15" hidden="false" customHeight="false" outlineLevel="0" collapsed="false">
      <c r="A159" s="28"/>
      <c r="B159" s="28"/>
      <c r="C159" s="28"/>
      <c r="D159" s="28"/>
      <c r="E159" s="28"/>
      <c r="F159" s="28"/>
      <c r="G159" s="29"/>
      <c r="H159" s="28"/>
    </row>
    <row r="160" customFormat="false" ht="15" hidden="false" customHeight="false" outlineLevel="0" collapsed="false">
      <c r="A160" s="28"/>
      <c r="B160" s="28"/>
      <c r="C160" s="28"/>
      <c r="D160" s="28"/>
      <c r="E160" s="28"/>
      <c r="F160" s="28"/>
      <c r="G160" s="29"/>
      <c r="H160" s="28"/>
    </row>
    <row r="161" customFormat="false" ht="15" hidden="false" customHeight="false" outlineLevel="0" collapsed="false">
      <c r="A161" s="28"/>
      <c r="B161" s="28"/>
      <c r="C161" s="28"/>
      <c r="D161" s="28"/>
      <c r="E161" s="28"/>
      <c r="F161" s="28"/>
      <c r="G161" s="29"/>
      <c r="H161" s="28"/>
    </row>
    <row r="162" customFormat="false" ht="15" hidden="false" customHeight="false" outlineLevel="0" collapsed="false">
      <c r="A162" s="28"/>
      <c r="B162" s="28"/>
      <c r="C162" s="28"/>
      <c r="D162" s="28"/>
      <c r="E162" s="28"/>
      <c r="F162" s="28"/>
      <c r="G162" s="29"/>
      <c r="H162" s="28"/>
    </row>
    <row r="163" customFormat="false" ht="15" hidden="false" customHeight="false" outlineLevel="0" collapsed="false">
      <c r="A163" s="28"/>
      <c r="B163" s="28"/>
      <c r="C163" s="28"/>
      <c r="D163" s="28"/>
      <c r="E163" s="28"/>
      <c r="F163" s="28"/>
      <c r="G163" s="29"/>
      <c r="H163" s="28"/>
    </row>
    <row r="164" customFormat="false" ht="15" hidden="false" customHeight="false" outlineLevel="0" collapsed="false">
      <c r="A164" s="28"/>
      <c r="B164" s="28"/>
      <c r="C164" s="28"/>
      <c r="D164" s="28"/>
      <c r="E164" s="28"/>
      <c r="F164" s="28"/>
      <c r="G164" s="29"/>
      <c r="H164" s="28"/>
    </row>
    <row r="165" customFormat="false" ht="15" hidden="false" customHeight="false" outlineLevel="0" collapsed="false">
      <c r="A165" s="28"/>
      <c r="B165" s="28"/>
      <c r="C165" s="28"/>
      <c r="D165" s="28"/>
      <c r="E165" s="28"/>
      <c r="F165" s="28"/>
      <c r="G165" s="29"/>
      <c r="H165" s="28"/>
    </row>
    <row r="166" customFormat="false" ht="15" hidden="false" customHeight="false" outlineLevel="0" collapsed="false">
      <c r="A166" s="28"/>
      <c r="B166" s="28"/>
      <c r="C166" s="28"/>
      <c r="D166" s="28"/>
      <c r="E166" s="28"/>
      <c r="F166" s="28"/>
      <c r="G166" s="29"/>
      <c r="H166" s="28"/>
    </row>
    <row r="167" customFormat="false" ht="15" hidden="false" customHeight="false" outlineLevel="0" collapsed="false">
      <c r="A167" s="28"/>
      <c r="B167" s="28"/>
      <c r="C167" s="28"/>
      <c r="D167" s="28"/>
      <c r="E167" s="28"/>
      <c r="F167" s="28"/>
      <c r="G167" s="29"/>
      <c r="H167" s="28"/>
    </row>
    <row r="168" customFormat="false" ht="15" hidden="false" customHeight="false" outlineLevel="0" collapsed="false">
      <c r="A168" s="28"/>
      <c r="B168" s="28"/>
      <c r="C168" s="28"/>
      <c r="D168" s="28"/>
      <c r="E168" s="28"/>
      <c r="F168" s="28"/>
      <c r="G168" s="29"/>
      <c r="H168" s="28"/>
    </row>
    <row r="169" customFormat="false" ht="15" hidden="false" customHeight="false" outlineLevel="0" collapsed="false">
      <c r="A169" s="28"/>
      <c r="B169" s="28"/>
      <c r="C169" s="28"/>
      <c r="D169" s="28"/>
      <c r="E169" s="28"/>
      <c r="F169" s="28"/>
      <c r="G169" s="29"/>
      <c r="H169" s="28"/>
    </row>
    <row r="170" customFormat="false" ht="15" hidden="false" customHeight="false" outlineLevel="0" collapsed="false">
      <c r="A170" s="28"/>
      <c r="B170" s="28"/>
      <c r="C170" s="28"/>
      <c r="D170" s="28"/>
      <c r="E170" s="28"/>
      <c r="F170" s="28"/>
      <c r="G170" s="29"/>
      <c r="H170" s="28"/>
    </row>
    <row r="171" customFormat="false" ht="15" hidden="false" customHeight="false" outlineLevel="0" collapsed="false">
      <c r="A171" s="28"/>
      <c r="B171" s="28"/>
      <c r="C171" s="28"/>
      <c r="D171" s="28"/>
      <c r="E171" s="28"/>
      <c r="F171" s="28"/>
      <c r="G171" s="29"/>
      <c r="H171" s="28"/>
    </row>
    <row r="172" customFormat="false" ht="15" hidden="false" customHeight="false" outlineLevel="0" collapsed="false">
      <c r="A172" s="28"/>
      <c r="B172" s="28"/>
      <c r="C172" s="28"/>
      <c r="D172" s="28"/>
      <c r="E172" s="28"/>
      <c r="F172" s="28"/>
      <c r="G172" s="29"/>
      <c r="H172" s="28"/>
    </row>
    <row r="173" customFormat="false" ht="15" hidden="false" customHeight="false" outlineLevel="0" collapsed="false">
      <c r="A173" s="28"/>
      <c r="B173" s="28"/>
      <c r="C173" s="28"/>
      <c r="D173" s="28"/>
      <c r="E173" s="28"/>
      <c r="F173" s="28"/>
      <c r="G173" s="29"/>
      <c r="H173" s="28"/>
    </row>
    <row r="174" customFormat="false" ht="15" hidden="false" customHeight="false" outlineLevel="0" collapsed="false">
      <c r="A174" s="28"/>
      <c r="B174" s="28"/>
      <c r="C174" s="28"/>
      <c r="D174" s="28"/>
      <c r="E174" s="28"/>
      <c r="F174" s="28"/>
      <c r="G174" s="29"/>
      <c r="H174" s="28"/>
    </row>
    <row r="175" customFormat="false" ht="15" hidden="false" customHeight="false" outlineLevel="0" collapsed="false">
      <c r="A175" s="28"/>
      <c r="B175" s="28"/>
      <c r="C175" s="28"/>
      <c r="D175" s="28"/>
      <c r="E175" s="28"/>
      <c r="F175" s="28"/>
      <c r="G175" s="29"/>
      <c r="H175" s="28"/>
    </row>
    <row r="176" customFormat="false" ht="15" hidden="false" customHeight="false" outlineLevel="0" collapsed="false">
      <c r="A176" s="28"/>
      <c r="B176" s="28"/>
      <c r="C176" s="28"/>
      <c r="D176" s="28"/>
      <c r="E176" s="28"/>
      <c r="F176" s="28"/>
      <c r="G176" s="29"/>
      <c r="H176" s="28"/>
    </row>
    <row r="177" customFormat="false" ht="15" hidden="false" customHeight="false" outlineLevel="0" collapsed="false">
      <c r="A177" s="28"/>
      <c r="B177" s="28"/>
      <c r="C177" s="28"/>
      <c r="D177" s="28"/>
      <c r="E177" s="28"/>
      <c r="F177" s="28"/>
      <c r="G177" s="29"/>
      <c r="H177" s="28"/>
    </row>
    <row r="178" customFormat="false" ht="15" hidden="false" customHeight="false" outlineLevel="0" collapsed="false">
      <c r="A178" s="28"/>
      <c r="B178" s="28"/>
      <c r="C178" s="28"/>
      <c r="D178" s="28"/>
      <c r="E178" s="28"/>
      <c r="F178" s="28"/>
      <c r="G178" s="29"/>
      <c r="H178" s="28"/>
    </row>
    <row r="179" customFormat="false" ht="15" hidden="false" customHeight="false" outlineLevel="0" collapsed="false">
      <c r="A179" s="28"/>
      <c r="B179" s="28"/>
      <c r="C179" s="28"/>
      <c r="D179" s="28"/>
      <c r="E179" s="28"/>
      <c r="F179" s="28"/>
      <c r="G179" s="29"/>
      <c r="H179" s="28"/>
    </row>
    <row r="180" customFormat="false" ht="15" hidden="false" customHeight="false" outlineLevel="0" collapsed="false">
      <c r="A180" s="28"/>
      <c r="B180" s="28"/>
      <c r="C180" s="28"/>
      <c r="D180" s="28"/>
      <c r="E180" s="28"/>
      <c r="F180" s="28"/>
      <c r="G180" s="29"/>
      <c r="H180" s="28"/>
    </row>
    <row r="181" customFormat="false" ht="15" hidden="false" customHeight="false" outlineLevel="0" collapsed="false">
      <c r="A181" s="28"/>
      <c r="B181" s="28"/>
      <c r="C181" s="28"/>
      <c r="D181" s="28"/>
      <c r="E181" s="28"/>
      <c r="F181" s="28"/>
      <c r="G181" s="29"/>
      <c r="H181" s="28"/>
    </row>
    <row r="182" customFormat="false" ht="15" hidden="false" customHeight="false" outlineLevel="0" collapsed="false">
      <c r="A182" s="28"/>
      <c r="B182" s="28"/>
      <c r="C182" s="28"/>
      <c r="D182" s="28"/>
      <c r="E182" s="28"/>
      <c r="F182" s="28"/>
      <c r="G182" s="29"/>
      <c r="H182" s="28"/>
    </row>
    <row r="183" customFormat="false" ht="15" hidden="false" customHeight="false" outlineLevel="0" collapsed="false">
      <c r="A183" s="28"/>
      <c r="B183" s="28"/>
      <c r="C183" s="28"/>
      <c r="D183" s="28"/>
      <c r="E183" s="28"/>
      <c r="F183" s="28"/>
      <c r="G183" s="29"/>
      <c r="H183" s="28"/>
    </row>
    <row r="184" customFormat="false" ht="15" hidden="false" customHeight="false" outlineLevel="0" collapsed="false">
      <c r="A184" s="28"/>
      <c r="B184" s="28"/>
      <c r="C184" s="28"/>
      <c r="D184" s="28"/>
      <c r="E184" s="28"/>
      <c r="F184" s="28"/>
      <c r="G184" s="29"/>
      <c r="H184" s="28"/>
    </row>
    <row r="185" customFormat="false" ht="15" hidden="false" customHeight="false" outlineLevel="0" collapsed="false">
      <c r="A185" s="28"/>
      <c r="B185" s="28"/>
      <c r="C185" s="28"/>
      <c r="D185" s="28"/>
      <c r="E185" s="28"/>
      <c r="F185" s="28"/>
      <c r="G185" s="29"/>
      <c r="H185" s="28"/>
    </row>
    <row r="186" customFormat="false" ht="15" hidden="false" customHeight="false" outlineLevel="0" collapsed="false">
      <c r="A186" s="28"/>
      <c r="B186" s="28"/>
      <c r="C186" s="28"/>
      <c r="D186" s="28"/>
      <c r="E186" s="28"/>
      <c r="F186" s="28"/>
      <c r="G186" s="29"/>
      <c r="H186" s="28"/>
    </row>
    <row r="187" customFormat="false" ht="15" hidden="false" customHeight="false" outlineLevel="0" collapsed="false">
      <c r="A187" s="28"/>
      <c r="B187" s="28"/>
      <c r="C187" s="28"/>
      <c r="D187" s="28"/>
      <c r="E187" s="28"/>
      <c r="F187" s="28"/>
      <c r="G187" s="29"/>
      <c r="H187" s="28"/>
    </row>
    <row r="188" customFormat="false" ht="15" hidden="false" customHeight="false" outlineLevel="0" collapsed="false">
      <c r="A188" s="28"/>
      <c r="B188" s="28"/>
      <c r="C188" s="28"/>
      <c r="D188" s="28"/>
      <c r="E188" s="28"/>
      <c r="F188" s="28"/>
      <c r="G188" s="29"/>
      <c r="H188" s="28"/>
    </row>
    <row r="189" customFormat="false" ht="15" hidden="false" customHeight="false" outlineLevel="0" collapsed="false">
      <c r="A189" s="28"/>
      <c r="B189" s="28"/>
      <c r="C189" s="28"/>
      <c r="D189" s="28"/>
      <c r="E189" s="28"/>
      <c r="F189" s="28"/>
      <c r="G189" s="29"/>
      <c r="H189" s="28"/>
    </row>
    <row r="190" customFormat="false" ht="15" hidden="false" customHeight="false" outlineLevel="0" collapsed="false">
      <c r="A190" s="28"/>
      <c r="B190" s="28"/>
      <c r="C190" s="28"/>
      <c r="D190" s="28"/>
      <c r="E190" s="28"/>
      <c r="F190" s="28"/>
      <c r="G190" s="29"/>
      <c r="H190" s="28"/>
    </row>
    <row r="191" customFormat="false" ht="15" hidden="false" customHeight="false" outlineLevel="0" collapsed="false">
      <c r="A191" s="28"/>
      <c r="B191" s="28"/>
      <c r="C191" s="28"/>
      <c r="D191" s="28"/>
      <c r="E191" s="28"/>
      <c r="F191" s="28"/>
      <c r="G191" s="29"/>
      <c r="H191" s="28"/>
    </row>
    <row r="192" customFormat="false" ht="15" hidden="false" customHeight="false" outlineLevel="0" collapsed="false">
      <c r="A192" s="28"/>
      <c r="B192" s="28"/>
      <c r="C192" s="28"/>
      <c r="D192" s="28"/>
      <c r="E192" s="28"/>
      <c r="F192" s="28"/>
      <c r="G192" s="29"/>
      <c r="H192" s="28"/>
    </row>
    <row r="193" customFormat="false" ht="15" hidden="false" customHeight="false" outlineLevel="0" collapsed="false">
      <c r="A193" s="28"/>
      <c r="B193" s="28"/>
      <c r="C193" s="28"/>
      <c r="D193" s="28"/>
      <c r="E193" s="28"/>
      <c r="F193" s="28"/>
      <c r="G193" s="29"/>
      <c r="H193" s="28"/>
    </row>
    <row r="194" customFormat="false" ht="15" hidden="false" customHeight="false" outlineLevel="0" collapsed="false">
      <c r="A194" s="28"/>
      <c r="B194" s="28"/>
      <c r="C194" s="28"/>
      <c r="D194" s="28"/>
      <c r="E194" s="28"/>
      <c r="F194" s="28"/>
      <c r="G194" s="29"/>
      <c r="H194" s="28"/>
    </row>
    <row r="195" customFormat="false" ht="15" hidden="false" customHeight="false" outlineLevel="0" collapsed="false">
      <c r="A195" s="28"/>
      <c r="B195" s="28"/>
      <c r="C195" s="28"/>
      <c r="D195" s="28"/>
      <c r="E195" s="28"/>
      <c r="F195" s="28"/>
      <c r="G195" s="29"/>
      <c r="H195" s="28"/>
    </row>
    <row r="196" customFormat="false" ht="15" hidden="false" customHeight="false" outlineLevel="0" collapsed="false">
      <c r="A196" s="28"/>
      <c r="B196" s="28"/>
      <c r="C196" s="28"/>
      <c r="D196" s="28"/>
      <c r="E196" s="28"/>
      <c r="F196" s="28"/>
      <c r="G196" s="29"/>
      <c r="H196" s="28"/>
    </row>
    <row r="197" customFormat="false" ht="15" hidden="false" customHeight="false" outlineLevel="0" collapsed="false">
      <c r="A197" s="28"/>
      <c r="B197" s="28"/>
      <c r="C197" s="28"/>
      <c r="D197" s="28"/>
      <c r="E197" s="28"/>
      <c r="F197" s="28"/>
      <c r="G197" s="29"/>
      <c r="H197" s="28"/>
    </row>
    <row r="198" customFormat="false" ht="15" hidden="false" customHeight="false" outlineLevel="0" collapsed="false">
      <c r="A198" s="28"/>
      <c r="B198" s="28"/>
      <c r="C198" s="28"/>
      <c r="D198" s="28"/>
      <c r="E198" s="28"/>
      <c r="F198" s="28"/>
      <c r="G198" s="29"/>
      <c r="H198" s="28"/>
    </row>
    <row r="199" customFormat="false" ht="15" hidden="false" customHeight="false" outlineLevel="0" collapsed="false">
      <c r="A199" s="28"/>
      <c r="B199" s="28"/>
      <c r="C199" s="28"/>
      <c r="D199" s="28"/>
      <c r="E199" s="28"/>
      <c r="F199" s="28"/>
      <c r="G199" s="29"/>
      <c r="H199" s="28"/>
    </row>
    <row r="200" customFormat="false" ht="15" hidden="false" customHeight="false" outlineLevel="0" collapsed="false">
      <c r="A200" s="28"/>
      <c r="B200" s="28"/>
      <c r="C200" s="28"/>
      <c r="D200" s="28"/>
      <c r="E200" s="28"/>
      <c r="F200" s="28"/>
      <c r="G200" s="29"/>
      <c r="H200" s="28"/>
    </row>
    <row r="201" customFormat="false" ht="15" hidden="false" customHeight="false" outlineLevel="0" collapsed="false">
      <c r="A201" s="28"/>
      <c r="B201" s="28"/>
      <c r="C201" s="28"/>
      <c r="D201" s="28"/>
      <c r="E201" s="28"/>
      <c r="F201" s="28"/>
      <c r="G201" s="29"/>
      <c r="H201" s="28"/>
    </row>
    <row r="202" customFormat="false" ht="15" hidden="false" customHeight="false" outlineLevel="0" collapsed="false">
      <c r="A202" s="28"/>
      <c r="B202" s="28"/>
      <c r="C202" s="28"/>
      <c r="D202" s="28"/>
      <c r="E202" s="28"/>
      <c r="F202" s="28"/>
      <c r="G202" s="29"/>
      <c r="H202" s="28"/>
    </row>
    <row r="203" customFormat="false" ht="15" hidden="false" customHeight="false" outlineLevel="0" collapsed="false">
      <c r="A203" s="28"/>
      <c r="B203" s="28"/>
      <c r="C203" s="28"/>
      <c r="D203" s="28"/>
      <c r="E203" s="28"/>
      <c r="F203" s="28"/>
      <c r="G203" s="29"/>
      <c r="H203" s="28"/>
    </row>
    <row r="204" customFormat="false" ht="15" hidden="false" customHeight="false" outlineLevel="0" collapsed="false">
      <c r="A204" s="28"/>
      <c r="B204" s="28"/>
      <c r="C204" s="28"/>
      <c r="D204" s="28"/>
      <c r="E204" s="28"/>
      <c r="F204" s="28"/>
      <c r="G204" s="29"/>
      <c r="H204" s="28"/>
    </row>
    <row r="205" customFormat="false" ht="15" hidden="false" customHeight="false" outlineLevel="0" collapsed="false">
      <c r="A205" s="28"/>
      <c r="B205" s="28"/>
      <c r="C205" s="28"/>
      <c r="D205" s="28"/>
      <c r="E205" s="28"/>
      <c r="F205" s="28"/>
      <c r="G205" s="29"/>
      <c r="H205" s="28"/>
    </row>
    <row r="206" customFormat="false" ht="15" hidden="false" customHeight="false" outlineLevel="0" collapsed="false">
      <c r="A206" s="28"/>
      <c r="B206" s="28"/>
      <c r="C206" s="28"/>
      <c r="D206" s="28"/>
      <c r="E206" s="28"/>
      <c r="F206" s="28"/>
      <c r="G206" s="29"/>
      <c r="H206" s="28"/>
    </row>
    <row r="207" customFormat="false" ht="15" hidden="false" customHeight="false" outlineLevel="0" collapsed="false">
      <c r="A207" s="28"/>
      <c r="B207" s="28"/>
      <c r="C207" s="28"/>
      <c r="D207" s="28"/>
      <c r="E207" s="28"/>
      <c r="F207" s="28"/>
      <c r="G207" s="29"/>
      <c r="H207" s="28"/>
    </row>
    <row r="208" customFormat="false" ht="15" hidden="false" customHeight="false" outlineLevel="0" collapsed="false">
      <c r="A208" s="28"/>
      <c r="B208" s="28"/>
      <c r="C208" s="28"/>
      <c r="D208" s="28"/>
      <c r="E208" s="28"/>
      <c r="F208" s="28"/>
      <c r="G208" s="29"/>
      <c r="H208" s="28"/>
    </row>
    <row r="209" customFormat="false" ht="15" hidden="false" customHeight="false" outlineLevel="0" collapsed="false">
      <c r="A209" s="28"/>
      <c r="B209" s="28"/>
      <c r="C209" s="28"/>
      <c r="D209" s="28"/>
      <c r="E209" s="28"/>
      <c r="F209" s="28"/>
      <c r="G209" s="29"/>
      <c r="H209" s="28"/>
    </row>
    <row r="210" customFormat="false" ht="15" hidden="false" customHeight="false" outlineLevel="0" collapsed="false">
      <c r="A210" s="28"/>
      <c r="B210" s="28"/>
      <c r="C210" s="28"/>
      <c r="D210" s="28"/>
      <c r="E210" s="28"/>
      <c r="F210" s="28"/>
      <c r="G210" s="29"/>
      <c r="H210" s="28"/>
    </row>
    <row r="211" customFormat="false" ht="15" hidden="false" customHeight="false" outlineLevel="0" collapsed="false">
      <c r="A211" s="28"/>
      <c r="B211" s="28"/>
      <c r="C211" s="28"/>
      <c r="D211" s="28"/>
      <c r="E211" s="28"/>
      <c r="F211" s="28"/>
      <c r="G211" s="29"/>
      <c r="H211" s="28"/>
    </row>
    <row r="212" customFormat="false" ht="15" hidden="false" customHeight="false" outlineLevel="0" collapsed="false">
      <c r="A212" s="28"/>
      <c r="B212" s="28"/>
      <c r="C212" s="28"/>
      <c r="D212" s="28"/>
      <c r="E212" s="28"/>
      <c r="F212" s="28"/>
      <c r="G212" s="29"/>
      <c r="H212" s="28"/>
    </row>
    <row r="213" customFormat="false" ht="15" hidden="false" customHeight="false" outlineLevel="0" collapsed="false">
      <c r="A213" s="28"/>
      <c r="B213" s="28"/>
      <c r="C213" s="28"/>
      <c r="D213" s="28"/>
      <c r="E213" s="28"/>
      <c r="F213" s="28"/>
      <c r="G213" s="29"/>
      <c r="H213" s="28"/>
    </row>
    <row r="214" customFormat="false" ht="15" hidden="false" customHeight="false" outlineLevel="0" collapsed="false">
      <c r="A214" s="28"/>
      <c r="B214" s="28"/>
      <c r="C214" s="28"/>
      <c r="D214" s="28"/>
      <c r="E214" s="28"/>
      <c r="F214" s="28"/>
      <c r="G214" s="29"/>
      <c r="H214" s="28"/>
    </row>
    <row r="215" customFormat="false" ht="15" hidden="false" customHeight="false" outlineLevel="0" collapsed="false">
      <c r="A215" s="28"/>
      <c r="B215" s="28"/>
      <c r="C215" s="28"/>
      <c r="D215" s="28"/>
      <c r="E215" s="28"/>
      <c r="F215" s="28"/>
      <c r="G215" s="29"/>
      <c r="H215" s="28"/>
    </row>
    <row r="216" customFormat="false" ht="15" hidden="false" customHeight="false" outlineLevel="0" collapsed="false">
      <c r="A216" s="28"/>
      <c r="B216" s="28"/>
      <c r="C216" s="28"/>
      <c r="D216" s="28"/>
      <c r="E216" s="28"/>
      <c r="F216" s="28"/>
      <c r="G216" s="29"/>
      <c r="H216" s="28"/>
    </row>
    <row r="217" customFormat="false" ht="15" hidden="false" customHeight="false" outlineLevel="0" collapsed="false">
      <c r="A217" s="28"/>
      <c r="B217" s="28"/>
      <c r="C217" s="28"/>
      <c r="D217" s="28"/>
      <c r="E217" s="28"/>
      <c r="F217" s="28"/>
      <c r="G217" s="29"/>
      <c r="H217" s="28"/>
    </row>
    <row r="218" customFormat="false" ht="15" hidden="false" customHeight="false" outlineLevel="0" collapsed="false">
      <c r="A218" s="28"/>
      <c r="B218" s="28"/>
      <c r="C218" s="28"/>
      <c r="D218" s="28"/>
      <c r="E218" s="28"/>
      <c r="F218" s="28"/>
      <c r="G218" s="29"/>
      <c r="H218" s="28"/>
    </row>
    <row r="219" customFormat="false" ht="15" hidden="false" customHeight="false" outlineLevel="0" collapsed="false">
      <c r="A219" s="28"/>
      <c r="B219" s="28"/>
      <c r="C219" s="28"/>
      <c r="D219" s="28"/>
      <c r="E219" s="28"/>
      <c r="F219" s="28"/>
      <c r="G219" s="29"/>
      <c r="H219" s="28"/>
    </row>
    <row r="220" customFormat="false" ht="15" hidden="false" customHeight="false" outlineLevel="0" collapsed="false">
      <c r="A220" s="28"/>
      <c r="B220" s="28"/>
      <c r="C220" s="28"/>
      <c r="D220" s="28"/>
      <c r="E220" s="28"/>
      <c r="F220" s="28"/>
      <c r="G220" s="29"/>
      <c r="H220" s="28"/>
    </row>
    <row r="221" customFormat="false" ht="15" hidden="false" customHeight="false" outlineLevel="0" collapsed="false">
      <c r="A221" s="28"/>
      <c r="B221" s="28"/>
      <c r="C221" s="28"/>
      <c r="D221" s="28"/>
      <c r="E221" s="28"/>
      <c r="F221" s="28"/>
      <c r="G221" s="29"/>
      <c r="H221" s="28"/>
    </row>
    <row r="222" customFormat="false" ht="15" hidden="false" customHeight="false" outlineLevel="0" collapsed="false">
      <c r="A222" s="28"/>
      <c r="B222" s="28"/>
      <c r="C222" s="28"/>
      <c r="D222" s="28"/>
      <c r="E222" s="28"/>
      <c r="F222" s="28"/>
      <c r="G222" s="29"/>
      <c r="H222" s="28"/>
    </row>
    <row r="223" customFormat="false" ht="15" hidden="false" customHeight="false" outlineLevel="0" collapsed="false">
      <c r="A223" s="28"/>
      <c r="B223" s="28"/>
      <c r="C223" s="28"/>
      <c r="D223" s="28"/>
      <c r="E223" s="28"/>
      <c r="F223" s="28"/>
      <c r="G223" s="29"/>
      <c r="H223" s="28"/>
    </row>
    <row r="224" customFormat="false" ht="15" hidden="false" customHeight="false" outlineLevel="0" collapsed="false">
      <c r="A224" s="28"/>
      <c r="B224" s="28"/>
      <c r="C224" s="28"/>
      <c r="D224" s="28"/>
      <c r="E224" s="28"/>
      <c r="F224" s="28"/>
      <c r="G224" s="29"/>
      <c r="H224" s="28"/>
    </row>
    <row r="225" customFormat="false" ht="15" hidden="false" customHeight="false" outlineLevel="0" collapsed="false">
      <c r="A225" s="28"/>
      <c r="B225" s="28"/>
      <c r="C225" s="28"/>
      <c r="D225" s="28"/>
      <c r="E225" s="28"/>
      <c r="F225" s="28"/>
      <c r="G225" s="29"/>
      <c r="H225" s="28"/>
    </row>
    <row r="226" customFormat="false" ht="15" hidden="false" customHeight="false" outlineLevel="0" collapsed="false">
      <c r="A226" s="28"/>
      <c r="B226" s="28"/>
      <c r="C226" s="28"/>
      <c r="D226" s="28"/>
      <c r="E226" s="28"/>
      <c r="F226" s="28"/>
      <c r="G226" s="29"/>
      <c r="H226" s="28"/>
    </row>
    <row r="227" customFormat="false" ht="15" hidden="false" customHeight="false" outlineLevel="0" collapsed="false">
      <c r="A227" s="28"/>
      <c r="B227" s="28"/>
      <c r="C227" s="28"/>
      <c r="D227" s="28"/>
      <c r="E227" s="28"/>
      <c r="F227" s="28"/>
      <c r="G227" s="29"/>
      <c r="H227" s="28"/>
    </row>
    <row r="228" customFormat="false" ht="15" hidden="false" customHeight="false" outlineLevel="0" collapsed="false">
      <c r="A228" s="28"/>
      <c r="B228" s="28"/>
      <c r="C228" s="28"/>
      <c r="D228" s="28"/>
      <c r="E228" s="28"/>
      <c r="F228" s="28"/>
      <c r="G228" s="29"/>
      <c r="H228" s="28"/>
    </row>
    <row r="229" customFormat="false" ht="15" hidden="false" customHeight="false" outlineLevel="0" collapsed="false">
      <c r="A229" s="28"/>
      <c r="B229" s="28"/>
      <c r="C229" s="28"/>
      <c r="D229" s="28"/>
      <c r="E229" s="28"/>
      <c r="F229" s="28"/>
      <c r="G229" s="29"/>
      <c r="H229" s="28"/>
    </row>
    <row r="230" customFormat="false" ht="15" hidden="false" customHeight="false" outlineLevel="0" collapsed="false">
      <c r="A230" s="28"/>
      <c r="B230" s="28"/>
      <c r="C230" s="28"/>
      <c r="D230" s="28"/>
      <c r="E230" s="28"/>
      <c r="F230" s="28"/>
      <c r="G230" s="29"/>
      <c r="H230" s="28"/>
    </row>
    <row r="231" customFormat="false" ht="15" hidden="false" customHeight="false" outlineLevel="0" collapsed="false">
      <c r="A231" s="28"/>
      <c r="B231" s="28"/>
      <c r="C231" s="28"/>
      <c r="D231" s="28"/>
      <c r="E231" s="28"/>
      <c r="F231" s="28"/>
      <c r="G231" s="29"/>
      <c r="H231" s="28"/>
    </row>
    <row r="232" customFormat="false" ht="15" hidden="false" customHeight="false" outlineLevel="0" collapsed="false">
      <c r="A232" s="28"/>
      <c r="B232" s="28"/>
      <c r="C232" s="28"/>
      <c r="D232" s="28"/>
      <c r="E232" s="28"/>
      <c r="F232" s="28"/>
      <c r="G232" s="29"/>
      <c r="H232" s="28"/>
    </row>
    <row r="233" customFormat="false" ht="15" hidden="false" customHeight="false" outlineLevel="0" collapsed="false">
      <c r="A233" s="28"/>
      <c r="B233" s="28"/>
      <c r="C233" s="28"/>
      <c r="D233" s="28"/>
      <c r="E233" s="28"/>
      <c r="F233" s="28"/>
      <c r="G233" s="29"/>
      <c r="H233" s="28"/>
    </row>
    <row r="234" customFormat="false" ht="15" hidden="false" customHeight="false" outlineLevel="0" collapsed="false">
      <c r="A234" s="28"/>
      <c r="B234" s="28"/>
      <c r="C234" s="28"/>
      <c r="D234" s="28"/>
      <c r="E234" s="28"/>
      <c r="F234" s="28"/>
      <c r="G234" s="29"/>
      <c r="H234" s="28"/>
    </row>
    <row r="235" customFormat="false" ht="15" hidden="false" customHeight="false" outlineLevel="0" collapsed="false">
      <c r="A235" s="28"/>
      <c r="B235" s="28"/>
      <c r="C235" s="28"/>
      <c r="D235" s="28"/>
      <c r="E235" s="28"/>
      <c r="F235" s="28"/>
      <c r="G235" s="29"/>
      <c r="H235" s="28"/>
    </row>
    <row r="236" customFormat="false" ht="15" hidden="false" customHeight="false" outlineLevel="0" collapsed="false">
      <c r="A236" s="28"/>
      <c r="B236" s="28"/>
      <c r="C236" s="28"/>
      <c r="D236" s="28"/>
      <c r="E236" s="28"/>
      <c r="F236" s="28"/>
      <c r="G236" s="29"/>
      <c r="H236" s="28"/>
    </row>
    <row r="237" customFormat="false" ht="15" hidden="false" customHeight="false" outlineLevel="0" collapsed="false">
      <c r="A237" s="28"/>
      <c r="B237" s="28"/>
      <c r="C237" s="28"/>
      <c r="D237" s="28"/>
      <c r="E237" s="28"/>
      <c r="F237" s="28"/>
      <c r="G237" s="29"/>
      <c r="H237" s="28"/>
    </row>
    <row r="238" customFormat="false" ht="15" hidden="false" customHeight="false" outlineLevel="0" collapsed="false">
      <c r="A238" s="28"/>
      <c r="B238" s="28"/>
      <c r="C238" s="28"/>
      <c r="D238" s="28"/>
      <c r="E238" s="28"/>
      <c r="F238" s="28"/>
      <c r="G238" s="29"/>
      <c r="H238" s="28"/>
    </row>
    <row r="239" customFormat="false" ht="15" hidden="false" customHeight="false" outlineLevel="0" collapsed="false">
      <c r="A239" s="28"/>
      <c r="B239" s="28"/>
      <c r="C239" s="28"/>
      <c r="D239" s="28"/>
      <c r="E239" s="28"/>
      <c r="F239" s="28"/>
      <c r="G239" s="29"/>
      <c r="H239" s="28"/>
    </row>
    <row r="240" customFormat="false" ht="15" hidden="false" customHeight="false" outlineLevel="0" collapsed="false">
      <c r="A240" s="28"/>
      <c r="B240" s="28"/>
      <c r="C240" s="28"/>
      <c r="D240" s="28"/>
      <c r="E240" s="28"/>
      <c r="F240" s="28"/>
      <c r="G240" s="29"/>
      <c r="H240" s="28"/>
    </row>
    <row r="241" customFormat="false" ht="15" hidden="false" customHeight="false" outlineLevel="0" collapsed="false">
      <c r="A241" s="28"/>
      <c r="B241" s="28"/>
      <c r="C241" s="28"/>
      <c r="D241" s="28"/>
      <c r="E241" s="28"/>
      <c r="F241" s="28"/>
      <c r="G241" s="29"/>
      <c r="H241" s="28"/>
    </row>
    <row r="242" customFormat="false" ht="15" hidden="false" customHeight="false" outlineLevel="0" collapsed="false">
      <c r="A242" s="28"/>
      <c r="B242" s="28"/>
      <c r="C242" s="28"/>
      <c r="D242" s="28"/>
      <c r="E242" s="28"/>
      <c r="F242" s="28"/>
      <c r="G242" s="29"/>
      <c r="H242" s="28"/>
    </row>
    <row r="243" customFormat="false" ht="15" hidden="false" customHeight="false" outlineLevel="0" collapsed="false">
      <c r="A243" s="28"/>
      <c r="B243" s="28"/>
      <c r="C243" s="28"/>
      <c r="D243" s="28"/>
      <c r="E243" s="28"/>
      <c r="F243" s="28"/>
      <c r="G243" s="29"/>
      <c r="H243" s="28"/>
    </row>
    <row r="244" customFormat="false" ht="15" hidden="false" customHeight="false" outlineLevel="0" collapsed="false">
      <c r="A244" s="28"/>
      <c r="B244" s="28"/>
      <c r="C244" s="28"/>
      <c r="D244" s="28"/>
      <c r="E244" s="28"/>
      <c r="F244" s="28"/>
      <c r="G244" s="29"/>
      <c r="H244" s="28"/>
    </row>
    <row r="245" customFormat="false" ht="15" hidden="false" customHeight="false" outlineLevel="0" collapsed="false">
      <c r="A245" s="28"/>
      <c r="B245" s="28"/>
      <c r="C245" s="28"/>
      <c r="D245" s="28"/>
      <c r="E245" s="28"/>
      <c r="F245" s="28"/>
      <c r="G245" s="29"/>
      <c r="H245" s="28"/>
    </row>
    <row r="246" customFormat="false" ht="15" hidden="false" customHeight="false" outlineLevel="0" collapsed="false">
      <c r="A246" s="28"/>
      <c r="B246" s="28"/>
      <c r="C246" s="28"/>
      <c r="D246" s="28"/>
      <c r="E246" s="28"/>
      <c r="F246" s="28"/>
      <c r="G246" s="29"/>
      <c r="H246" s="28"/>
    </row>
    <row r="247" customFormat="false" ht="15" hidden="false" customHeight="false" outlineLevel="0" collapsed="false">
      <c r="A247" s="28"/>
      <c r="B247" s="28"/>
      <c r="C247" s="28"/>
      <c r="D247" s="28"/>
      <c r="E247" s="28"/>
      <c r="F247" s="28"/>
      <c r="G247" s="29"/>
      <c r="H247" s="28"/>
    </row>
    <row r="248" customFormat="false" ht="15" hidden="false" customHeight="false" outlineLevel="0" collapsed="false">
      <c r="A248" s="28"/>
      <c r="B248" s="28"/>
      <c r="C248" s="28"/>
      <c r="D248" s="28"/>
      <c r="E248" s="28"/>
      <c r="F248" s="28"/>
      <c r="G248" s="29"/>
      <c r="H248" s="28"/>
    </row>
    <row r="249" customFormat="false" ht="15" hidden="false" customHeight="false" outlineLevel="0" collapsed="false">
      <c r="A249" s="28"/>
      <c r="B249" s="28"/>
      <c r="C249" s="28"/>
      <c r="D249" s="28"/>
      <c r="E249" s="28"/>
      <c r="F249" s="28"/>
      <c r="G249" s="29"/>
      <c r="H249" s="28"/>
    </row>
    <row r="250" customFormat="false" ht="15" hidden="false" customHeight="false" outlineLevel="0" collapsed="false">
      <c r="A250" s="28"/>
      <c r="B250" s="28"/>
      <c r="C250" s="28"/>
      <c r="D250" s="28"/>
      <c r="E250" s="28"/>
      <c r="F250" s="28"/>
      <c r="G250" s="29"/>
      <c r="H250" s="28"/>
    </row>
    <row r="251" customFormat="false" ht="15" hidden="false" customHeight="false" outlineLevel="0" collapsed="false">
      <c r="A251" s="28"/>
      <c r="B251" s="28"/>
      <c r="C251" s="28"/>
      <c r="D251" s="28"/>
      <c r="E251" s="28"/>
      <c r="F251" s="28"/>
      <c r="G251" s="29"/>
      <c r="H251" s="28"/>
    </row>
    <row r="252" customFormat="false" ht="15" hidden="false" customHeight="false" outlineLevel="0" collapsed="false">
      <c r="A252" s="28"/>
      <c r="B252" s="28"/>
      <c r="C252" s="28"/>
      <c r="D252" s="28"/>
      <c r="E252" s="28"/>
      <c r="F252" s="28"/>
      <c r="G252" s="29"/>
      <c r="H252" s="28"/>
    </row>
    <row r="253" customFormat="false" ht="15" hidden="false" customHeight="false" outlineLevel="0" collapsed="false">
      <c r="A253" s="28"/>
      <c r="B253" s="28"/>
      <c r="C253" s="28"/>
      <c r="D253" s="28"/>
      <c r="E253" s="28"/>
      <c r="F253" s="28"/>
      <c r="G253" s="29"/>
      <c r="H253" s="28"/>
    </row>
    <row r="254" customFormat="false" ht="15" hidden="false" customHeight="false" outlineLevel="0" collapsed="false">
      <c r="A254" s="28"/>
      <c r="B254" s="28"/>
      <c r="C254" s="28"/>
      <c r="D254" s="28"/>
      <c r="E254" s="28"/>
      <c r="F254" s="28"/>
      <c r="G254" s="29"/>
      <c r="H254" s="28"/>
    </row>
    <row r="255" customFormat="false" ht="15" hidden="false" customHeight="false" outlineLevel="0" collapsed="false">
      <c r="A255" s="28"/>
      <c r="B255" s="28"/>
      <c r="C255" s="28"/>
      <c r="D255" s="28"/>
      <c r="E255" s="28"/>
      <c r="F255" s="28"/>
      <c r="G255" s="29"/>
      <c r="H255" s="28"/>
    </row>
    <row r="256" customFormat="false" ht="15" hidden="false" customHeight="false" outlineLevel="0" collapsed="false">
      <c r="A256" s="28"/>
      <c r="B256" s="28"/>
      <c r="C256" s="28"/>
      <c r="D256" s="28"/>
      <c r="E256" s="28"/>
      <c r="F256" s="28"/>
      <c r="G256" s="29"/>
      <c r="H256" s="28"/>
    </row>
    <row r="257" customFormat="false" ht="15" hidden="false" customHeight="false" outlineLevel="0" collapsed="false">
      <c r="A257" s="28"/>
      <c r="B257" s="28"/>
      <c r="C257" s="28"/>
      <c r="D257" s="28"/>
      <c r="E257" s="28"/>
      <c r="F257" s="28"/>
      <c r="G257" s="29"/>
      <c r="H257" s="28"/>
    </row>
    <row r="258" customFormat="false" ht="15" hidden="false" customHeight="false" outlineLevel="0" collapsed="false">
      <c r="A258" s="28"/>
      <c r="B258" s="28"/>
      <c r="C258" s="28"/>
      <c r="D258" s="28"/>
      <c r="E258" s="28"/>
      <c r="F258" s="28"/>
      <c r="G258" s="29"/>
      <c r="H258" s="28"/>
    </row>
    <row r="259" customFormat="false" ht="15" hidden="false" customHeight="false" outlineLevel="0" collapsed="false">
      <c r="A259" s="28"/>
      <c r="B259" s="28"/>
      <c r="C259" s="28"/>
      <c r="D259" s="28"/>
      <c r="E259" s="28"/>
      <c r="F259" s="28"/>
      <c r="G259" s="29"/>
      <c r="H259" s="28"/>
    </row>
    <row r="260" customFormat="false" ht="15" hidden="false" customHeight="false" outlineLevel="0" collapsed="false">
      <c r="A260" s="28"/>
      <c r="B260" s="28"/>
      <c r="C260" s="28"/>
      <c r="D260" s="28"/>
      <c r="E260" s="28"/>
      <c r="F260" s="28"/>
      <c r="G260" s="29"/>
      <c r="H260" s="28"/>
    </row>
    <row r="261" customFormat="false" ht="15" hidden="false" customHeight="false" outlineLevel="0" collapsed="false">
      <c r="A261" s="28"/>
      <c r="B261" s="28"/>
      <c r="C261" s="28"/>
      <c r="D261" s="28"/>
      <c r="E261" s="28"/>
      <c r="F261" s="28"/>
      <c r="G261" s="29"/>
      <c r="H261" s="28"/>
    </row>
    <row r="262" customFormat="false" ht="15" hidden="false" customHeight="false" outlineLevel="0" collapsed="false">
      <c r="A262" s="28"/>
      <c r="B262" s="28"/>
      <c r="C262" s="28"/>
      <c r="D262" s="28"/>
      <c r="E262" s="28"/>
      <c r="F262" s="28"/>
      <c r="G262" s="29"/>
      <c r="H262" s="28"/>
    </row>
    <row r="263" customFormat="false" ht="15" hidden="false" customHeight="false" outlineLevel="0" collapsed="false">
      <c r="A263" s="28"/>
      <c r="B263" s="28"/>
      <c r="C263" s="28"/>
      <c r="D263" s="28"/>
      <c r="E263" s="28"/>
      <c r="F263" s="28"/>
      <c r="G263" s="29"/>
      <c r="H263" s="28"/>
    </row>
    <row r="264" customFormat="false" ht="15" hidden="false" customHeight="false" outlineLevel="0" collapsed="false">
      <c r="A264" s="28"/>
      <c r="B264" s="28"/>
      <c r="C264" s="28"/>
      <c r="D264" s="28"/>
      <c r="E264" s="28"/>
      <c r="F264" s="28"/>
      <c r="G264" s="29"/>
      <c r="H264" s="28"/>
    </row>
    <row r="265" customFormat="false" ht="15" hidden="false" customHeight="false" outlineLevel="0" collapsed="false">
      <c r="A265" s="28"/>
      <c r="B265" s="28"/>
      <c r="C265" s="28"/>
      <c r="D265" s="28"/>
      <c r="E265" s="28"/>
      <c r="F265" s="28"/>
      <c r="G265" s="29"/>
      <c r="H265" s="28"/>
    </row>
    <row r="266" customFormat="false" ht="15" hidden="false" customHeight="false" outlineLevel="0" collapsed="false">
      <c r="A266" s="28"/>
      <c r="B266" s="28"/>
      <c r="C266" s="28"/>
      <c r="D266" s="28"/>
      <c r="E266" s="28"/>
      <c r="F266" s="28"/>
      <c r="G266" s="29"/>
      <c r="H266" s="28"/>
    </row>
    <row r="267" customFormat="false" ht="15" hidden="false" customHeight="false" outlineLevel="0" collapsed="false">
      <c r="A267" s="28"/>
      <c r="B267" s="28"/>
      <c r="C267" s="28"/>
      <c r="D267" s="28"/>
      <c r="E267" s="28"/>
      <c r="F267" s="28"/>
      <c r="G267" s="29"/>
      <c r="H267" s="28"/>
    </row>
    <row r="268" customFormat="false" ht="15" hidden="false" customHeight="false" outlineLevel="0" collapsed="false">
      <c r="A268" s="28"/>
      <c r="B268" s="28"/>
      <c r="C268" s="28"/>
      <c r="D268" s="28"/>
      <c r="E268" s="28"/>
      <c r="F268" s="28"/>
      <c r="G268" s="29"/>
      <c r="H268" s="28"/>
    </row>
    <row r="269" customFormat="false" ht="15" hidden="false" customHeight="false" outlineLevel="0" collapsed="false">
      <c r="A269" s="28"/>
      <c r="B269" s="28"/>
      <c r="C269" s="28"/>
      <c r="D269" s="28"/>
      <c r="E269" s="28"/>
      <c r="F269" s="28"/>
      <c r="G269" s="29"/>
      <c r="H269" s="28"/>
    </row>
    <row r="270" customFormat="false" ht="15" hidden="false" customHeight="false" outlineLevel="0" collapsed="false">
      <c r="A270" s="28"/>
      <c r="B270" s="28"/>
      <c r="C270" s="28"/>
      <c r="D270" s="28"/>
      <c r="E270" s="28"/>
      <c r="F270" s="28"/>
      <c r="G270" s="29"/>
      <c r="H270" s="28"/>
    </row>
    <row r="271" customFormat="false" ht="15" hidden="false" customHeight="false" outlineLevel="0" collapsed="false">
      <c r="A271" s="28"/>
      <c r="B271" s="28"/>
      <c r="C271" s="28"/>
      <c r="D271" s="28"/>
      <c r="E271" s="28"/>
      <c r="F271" s="28"/>
      <c r="G271" s="29"/>
      <c r="H271" s="28"/>
    </row>
    <row r="272" customFormat="false" ht="15" hidden="false" customHeight="false" outlineLevel="0" collapsed="false">
      <c r="A272" s="28"/>
      <c r="B272" s="28"/>
      <c r="C272" s="28"/>
      <c r="D272" s="28"/>
      <c r="E272" s="28"/>
      <c r="F272" s="28"/>
      <c r="G272" s="29"/>
      <c r="H272" s="28"/>
    </row>
    <row r="273" customFormat="false" ht="15" hidden="false" customHeight="false" outlineLevel="0" collapsed="false">
      <c r="A273" s="28"/>
      <c r="B273" s="28"/>
      <c r="C273" s="28"/>
      <c r="D273" s="28"/>
      <c r="E273" s="28"/>
      <c r="F273" s="28"/>
      <c r="G273" s="29"/>
      <c r="H273" s="28"/>
    </row>
    <row r="274" customFormat="false" ht="15" hidden="false" customHeight="false" outlineLevel="0" collapsed="false">
      <c r="A274" s="28"/>
      <c r="B274" s="28"/>
      <c r="C274" s="28"/>
      <c r="D274" s="28"/>
      <c r="E274" s="28"/>
      <c r="F274" s="28"/>
      <c r="G274" s="29"/>
      <c r="H274" s="28"/>
    </row>
    <row r="275" customFormat="false" ht="15" hidden="false" customHeight="false" outlineLevel="0" collapsed="false">
      <c r="A275" s="28"/>
      <c r="B275" s="28"/>
      <c r="C275" s="28"/>
      <c r="D275" s="28"/>
      <c r="E275" s="28"/>
      <c r="F275" s="28"/>
      <c r="G275" s="29"/>
      <c r="H275" s="28"/>
    </row>
    <row r="276" customFormat="false" ht="15" hidden="false" customHeight="false" outlineLevel="0" collapsed="false">
      <c r="A276" s="28"/>
      <c r="B276" s="28"/>
      <c r="C276" s="28"/>
      <c r="D276" s="28"/>
      <c r="E276" s="28"/>
      <c r="F276" s="28"/>
      <c r="G276" s="29"/>
      <c r="H276" s="28"/>
    </row>
    <row r="277" customFormat="false" ht="15" hidden="false" customHeight="false" outlineLevel="0" collapsed="false">
      <c r="A277" s="28"/>
      <c r="B277" s="28"/>
      <c r="C277" s="28"/>
      <c r="D277" s="28"/>
      <c r="E277" s="28"/>
      <c r="F277" s="28"/>
      <c r="G277" s="29"/>
      <c r="H277" s="28"/>
    </row>
    <row r="278" customFormat="false" ht="15" hidden="false" customHeight="false" outlineLevel="0" collapsed="false">
      <c r="A278" s="28"/>
      <c r="B278" s="28"/>
      <c r="C278" s="28"/>
      <c r="D278" s="28"/>
      <c r="E278" s="28"/>
      <c r="F278" s="28"/>
      <c r="G278" s="29"/>
      <c r="H278" s="28"/>
    </row>
    <row r="279" customFormat="false" ht="15" hidden="false" customHeight="false" outlineLevel="0" collapsed="false">
      <c r="A279" s="28"/>
      <c r="B279" s="28"/>
      <c r="C279" s="28"/>
      <c r="D279" s="28"/>
      <c r="E279" s="28"/>
      <c r="F279" s="28"/>
      <c r="G279" s="29"/>
      <c r="H279" s="28"/>
    </row>
    <row r="280" customFormat="false" ht="15" hidden="false" customHeight="false" outlineLevel="0" collapsed="false">
      <c r="A280" s="28"/>
      <c r="B280" s="28"/>
      <c r="C280" s="28"/>
      <c r="D280" s="28"/>
      <c r="E280" s="28"/>
      <c r="F280" s="28"/>
      <c r="G280" s="29"/>
      <c r="H280" s="28"/>
    </row>
    <row r="281" customFormat="false" ht="15" hidden="false" customHeight="false" outlineLevel="0" collapsed="false">
      <c r="A281" s="28"/>
      <c r="B281" s="28"/>
      <c r="C281" s="28"/>
      <c r="D281" s="28"/>
      <c r="E281" s="28"/>
      <c r="F281" s="28"/>
      <c r="G281" s="29"/>
      <c r="H281" s="28"/>
    </row>
    <row r="282" customFormat="false" ht="15" hidden="false" customHeight="false" outlineLevel="0" collapsed="false">
      <c r="A282" s="28"/>
      <c r="B282" s="28"/>
      <c r="C282" s="28"/>
      <c r="D282" s="28"/>
      <c r="E282" s="28"/>
      <c r="F282" s="28"/>
      <c r="G282" s="29"/>
      <c r="H282" s="28"/>
    </row>
    <row r="283" customFormat="false" ht="15" hidden="false" customHeight="false" outlineLevel="0" collapsed="false">
      <c r="A283" s="28"/>
      <c r="B283" s="28"/>
      <c r="C283" s="28"/>
      <c r="D283" s="28"/>
      <c r="E283" s="28"/>
      <c r="F283" s="28"/>
      <c r="G283" s="29"/>
      <c r="H283" s="28"/>
    </row>
    <row r="284" customFormat="false" ht="15" hidden="false" customHeight="false" outlineLevel="0" collapsed="false">
      <c r="A284" s="28"/>
      <c r="B284" s="28"/>
      <c r="C284" s="28"/>
      <c r="D284" s="28"/>
      <c r="E284" s="28"/>
      <c r="F284" s="28"/>
      <c r="G284" s="29"/>
      <c r="H284" s="28"/>
    </row>
    <row r="285" customFormat="false" ht="15" hidden="false" customHeight="false" outlineLevel="0" collapsed="false">
      <c r="A285" s="28"/>
      <c r="B285" s="28"/>
      <c r="C285" s="28"/>
      <c r="D285" s="28"/>
      <c r="E285" s="28"/>
      <c r="F285" s="28"/>
      <c r="G285" s="29"/>
      <c r="H285" s="28"/>
    </row>
    <row r="286" customFormat="false" ht="15" hidden="false" customHeight="false" outlineLevel="0" collapsed="false">
      <c r="A286" s="28"/>
      <c r="B286" s="28"/>
      <c r="C286" s="28"/>
      <c r="D286" s="28"/>
      <c r="E286" s="28"/>
      <c r="F286" s="28"/>
      <c r="G286" s="29"/>
      <c r="H286" s="28"/>
    </row>
    <row r="287" customFormat="false" ht="15" hidden="false" customHeight="false" outlineLevel="0" collapsed="false">
      <c r="A287" s="28"/>
      <c r="B287" s="28"/>
      <c r="C287" s="28"/>
      <c r="D287" s="28"/>
      <c r="E287" s="28"/>
      <c r="F287" s="28"/>
      <c r="G287" s="29"/>
      <c r="H287" s="28"/>
    </row>
    <row r="288" customFormat="false" ht="15" hidden="false" customHeight="false" outlineLevel="0" collapsed="false">
      <c r="A288" s="28"/>
      <c r="B288" s="28"/>
      <c r="C288" s="28"/>
      <c r="D288" s="28"/>
      <c r="E288" s="28"/>
      <c r="F288" s="28"/>
      <c r="G288" s="29"/>
      <c r="H288" s="28"/>
    </row>
    <row r="289" customFormat="false" ht="15" hidden="false" customHeight="false" outlineLevel="0" collapsed="false">
      <c r="A289" s="28"/>
      <c r="B289" s="28"/>
      <c r="C289" s="28"/>
      <c r="D289" s="28"/>
      <c r="E289" s="28"/>
      <c r="F289" s="28"/>
      <c r="G289" s="29"/>
      <c r="H289" s="28"/>
    </row>
    <row r="290" customFormat="false" ht="15" hidden="false" customHeight="false" outlineLevel="0" collapsed="false">
      <c r="A290" s="28"/>
      <c r="B290" s="28"/>
      <c r="C290" s="28"/>
      <c r="D290" s="28"/>
      <c r="E290" s="28"/>
      <c r="F290" s="28"/>
      <c r="G290" s="29"/>
      <c r="H290" s="28"/>
    </row>
    <row r="291" customFormat="false" ht="15" hidden="false" customHeight="false" outlineLevel="0" collapsed="false">
      <c r="A291" s="28"/>
      <c r="B291" s="28"/>
      <c r="C291" s="28"/>
      <c r="D291" s="28"/>
      <c r="E291" s="28"/>
      <c r="F291" s="28"/>
      <c r="G291" s="29"/>
      <c r="H291" s="28"/>
    </row>
    <row r="292" customFormat="false" ht="15" hidden="false" customHeight="false" outlineLevel="0" collapsed="false">
      <c r="A292" s="28"/>
      <c r="B292" s="28"/>
      <c r="C292" s="28"/>
      <c r="D292" s="28"/>
      <c r="E292" s="28"/>
      <c r="F292" s="28"/>
      <c r="G292" s="29"/>
      <c r="H292" s="28"/>
    </row>
    <row r="293" customFormat="false" ht="15" hidden="false" customHeight="false" outlineLevel="0" collapsed="false">
      <c r="A293" s="28"/>
      <c r="B293" s="28"/>
      <c r="C293" s="28"/>
      <c r="D293" s="28"/>
      <c r="E293" s="28"/>
      <c r="F293" s="28"/>
      <c r="G293" s="29"/>
      <c r="H293" s="28"/>
    </row>
    <row r="294" customFormat="false" ht="15" hidden="false" customHeight="false" outlineLevel="0" collapsed="false">
      <c r="A294" s="28"/>
      <c r="B294" s="28"/>
      <c r="C294" s="28"/>
      <c r="D294" s="28"/>
      <c r="E294" s="28"/>
      <c r="F294" s="28"/>
      <c r="G294" s="29"/>
      <c r="H294" s="28"/>
    </row>
    <row r="295" customFormat="false" ht="15" hidden="false" customHeight="false" outlineLevel="0" collapsed="false">
      <c r="A295" s="28"/>
      <c r="B295" s="28"/>
      <c r="C295" s="28"/>
      <c r="D295" s="28"/>
      <c r="E295" s="28"/>
      <c r="F295" s="28"/>
      <c r="G295" s="29"/>
      <c r="H295" s="28"/>
    </row>
    <row r="296" customFormat="false" ht="15" hidden="false" customHeight="false" outlineLevel="0" collapsed="false">
      <c r="A296" s="28"/>
      <c r="B296" s="28"/>
      <c r="C296" s="28"/>
      <c r="D296" s="28"/>
      <c r="E296" s="28"/>
      <c r="F296" s="28"/>
      <c r="G296" s="29"/>
      <c r="H296" s="28"/>
    </row>
    <row r="297" customFormat="false" ht="15" hidden="false" customHeight="false" outlineLevel="0" collapsed="false">
      <c r="A297" s="28"/>
      <c r="B297" s="28"/>
      <c r="C297" s="28"/>
      <c r="D297" s="28"/>
      <c r="E297" s="28"/>
      <c r="F297" s="28"/>
      <c r="G297" s="29"/>
      <c r="H297" s="28"/>
    </row>
    <row r="298" customFormat="false" ht="15" hidden="false" customHeight="false" outlineLevel="0" collapsed="false">
      <c r="A298" s="28"/>
      <c r="B298" s="28"/>
      <c r="C298" s="28"/>
      <c r="D298" s="28"/>
      <c r="E298" s="28"/>
      <c r="F298" s="28"/>
      <c r="G298" s="29"/>
      <c r="H298" s="28"/>
    </row>
    <row r="299" customFormat="false" ht="15" hidden="false" customHeight="false" outlineLevel="0" collapsed="false">
      <c r="A299" s="28"/>
      <c r="B299" s="28"/>
      <c r="C299" s="28"/>
      <c r="D299" s="28"/>
      <c r="E299" s="28"/>
      <c r="F299" s="28"/>
      <c r="G299" s="29"/>
      <c r="H299" s="28"/>
    </row>
    <row r="300" customFormat="false" ht="15" hidden="false" customHeight="false" outlineLevel="0" collapsed="false">
      <c r="A300" s="28"/>
      <c r="B300" s="28"/>
      <c r="C300" s="28"/>
      <c r="D300" s="28"/>
      <c r="E300" s="28"/>
      <c r="F300" s="28"/>
      <c r="G300" s="29"/>
      <c r="H300" s="28"/>
    </row>
    <row r="301" customFormat="false" ht="15" hidden="false" customHeight="false" outlineLevel="0" collapsed="false">
      <c r="A301" s="28"/>
      <c r="B301" s="28"/>
      <c r="C301" s="28"/>
      <c r="D301" s="28"/>
      <c r="E301" s="28"/>
      <c r="F301" s="28"/>
      <c r="G301" s="29"/>
      <c r="H301" s="28"/>
    </row>
    <row r="302" customFormat="false" ht="15" hidden="false" customHeight="false" outlineLevel="0" collapsed="false">
      <c r="A302" s="28"/>
      <c r="B302" s="28"/>
      <c r="C302" s="28"/>
      <c r="D302" s="28"/>
      <c r="E302" s="28"/>
      <c r="F302" s="28"/>
      <c r="G302" s="29"/>
      <c r="H302" s="28"/>
    </row>
    <row r="303" customFormat="false" ht="15" hidden="false" customHeight="false" outlineLevel="0" collapsed="false">
      <c r="A303" s="28"/>
      <c r="B303" s="28"/>
      <c r="C303" s="28"/>
      <c r="D303" s="28"/>
      <c r="E303" s="28"/>
      <c r="F303" s="28"/>
      <c r="G303" s="29"/>
      <c r="H303" s="28"/>
    </row>
    <row r="304" customFormat="false" ht="15" hidden="false" customHeight="false" outlineLevel="0" collapsed="false">
      <c r="A304" s="28"/>
      <c r="B304" s="28"/>
      <c r="C304" s="28"/>
      <c r="D304" s="28"/>
      <c r="E304" s="28"/>
      <c r="F304" s="28"/>
      <c r="G304" s="29"/>
      <c r="H304" s="28"/>
    </row>
    <row r="305" customFormat="false" ht="15" hidden="false" customHeight="false" outlineLevel="0" collapsed="false">
      <c r="A305" s="28"/>
      <c r="B305" s="28"/>
      <c r="C305" s="28"/>
      <c r="D305" s="28"/>
      <c r="E305" s="28"/>
      <c r="F305" s="28"/>
      <c r="G305" s="29"/>
      <c r="H305" s="28"/>
    </row>
    <row r="306" customFormat="false" ht="15" hidden="false" customHeight="false" outlineLevel="0" collapsed="false">
      <c r="A306" s="28"/>
      <c r="B306" s="28"/>
      <c r="C306" s="28"/>
      <c r="D306" s="28"/>
      <c r="E306" s="28"/>
      <c r="F306" s="28"/>
      <c r="G306" s="29"/>
      <c r="H306" s="28"/>
    </row>
    <row r="307" customFormat="false" ht="15" hidden="false" customHeight="false" outlineLevel="0" collapsed="false">
      <c r="A307" s="28"/>
      <c r="B307" s="28"/>
      <c r="C307" s="28"/>
      <c r="D307" s="28"/>
      <c r="E307" s="28"/>
      <c r="F307" s="28"/>
      <c r="G307" s="29"/>
      <c r="H307" s="28"/>
    </row>
    <row r="308" customFormat="false" ht="15" hidden="false" customHeight="false" outlineLevel="0" collapsed="false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allowBlank="true" errorStyle="stop" operator="between" showDropDown="false" showErrorMessage="false" showInputMessage="true" sqref="G9:G308" type="list">
      <formula1>Listy!$E$2:$E$32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-1517760</xdr:colOff>
                    <xdr:row>3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PrzeniesWnioski">
                <anchor moveWithCells="true" sizeWithCells="false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-660600</xdr:colOff>
                    <xdr:row>4</xdr:row>
                    <xdr:rowOff>38160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D32"/>
    <pageSetUpPr fitToPage="false"/>
  </sheetPr>
  <dimension ref="A1:L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3" width="14.72"/>
    <col collapsed="false" customWidth="true" hidden="false" outlineLevel="0" max="2" min="2" style="13" width="20.71"/>
    <col collapsed="false" customWidth="true" hidden="false" outlineLevel="0" max="3" min="3" style="13" width="23.71"/>
    <col collapsed="false" customWidth="true" hidden="false" outlineLevel="0" max="5" min="4" style="13" width="17.71"/>
    <col collapsed="false" customWidth="true" hidden="false" outlineLevel="0" max="6" min="6" style="13" width="15.72"/>
    <col collapsed="false" customWidth="true" hidden="false" outlineLevel="0" max="7" min="7" style="14" width="14.72"/>
    <col collapsed="false" customWidth="true" hidden="false" outlineLevel="0" max="8" min="8" style="14" width="15.72"/>
    <col collapsed="false" customWidth="true" hidden="false" outlineLevel="0" max="9" min="9" style="15" width="15.72"/>
    <col collapsed="false" customWidth="true" hidden="false" outlineLevel="0" max="10" min="10" style="13" width="32.72"/>
    <col collapsed="false" customWidth="true" hidden="false" outlineLevel="0" max="11" min="11" style="0" width="2.71"/>
    <col collapsed="false" customWidth="true" hidden="false" outlineLevel="0" max="12" min="12" style="0" width="24.71"/>
  </cols>
  <sheetData>
    <row r="1" customFormat="false" ht="39.75" hidden="false" customHeight="true" outlineLevel="0" collapsed="false">
      <c r="A1" s="1" t="s">
        <v>121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customFormat="false" ht="15" hidden="false" customHeight="false" outlineLevel="0" collapsed="false">
      <c r="A3" s="16" t="s">
        <v>122</v>
      </c>
      <c r="B3" s="16"/>
      <c r="C3" s="16"/>
      <c r="D3" s="16"/>
      <c r="E3" s="16"/>
      <c r="F3" s="16"/>
      <c r="G3" s="16"/>
      <c r="H3" s="16"/>
      <c r="I3" s="16"/>
      <c r="J3" s="16"/>
    </row>
    <row r="4" customFormat="false" ht="15" hidden="false" customHeight="false" outlineLevel="0" collapsed="false">
      <c r="A4" s="17" t="s">
        <v>15</v>
      </c>
      <c r="B4" s="17" t="s">
        <v>16</v>
      </c>
      <c r="C4" s="17" t="s">
        <v>17</v>
      </c>
      <c r="D4" s="17" t="s">
        <v>123</v>
      </c>
      <c r="E4" s="17" t="s">
        <v>18</v>
      </c>
      <c r="F4" s="17" t="s">
        <v>20</v>
      </c>
      <c r="G4" s="17" t="s">
        <v>21</v>
      </c>
      <c r="H4" s="17" t="s">
        <v>124</v>
      </c>
      <c r="I4" s="17" t="s">
        <v>125</v>
      </c>
      <c r="J4" s="17" t="s">
        <v>23</v>
      </c>
    </row>
    <row r="5" customFormat="false" ht="21.75" hidden="false" customHeight="true" outlineLevel="0" collapsed="false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customFormat="false" ht="27.75" hidden="false" customHeight="true" outlineLevel="0" collapsed="false">
      <c r="A8" s="21" t="s">
        <v>15</v>
      </c>
      <c r="B8" s="21" t="s">
        <v>16</v>
      </c>
      <c r="C8" s="21" t="s">
        <v>17</v>
      </c>
      <c r="D8" s="21" t="s">
        <v>123</v>
      </c>
      <c r="E8" s="21" t="s">
        <v>18</v>
      </c>
      <c r="F8" s="21" t="s">
        <v>20</v>
      </c>
      <c r="G8" s="21" t="s">
        <v>21</v>
      </c>
      <c r="H8" s="21" t="s">
        <v>124</v>
      </c>
      <c r="I8" s="21" t="s">
        <v>125</v>
      </c>
      <c r="J8" s="21" t="s">
        <v>23</v>
      </c>
    </row>
    <row r="9" customFormat="false" ht="15" hidden="false" customHeight="false" outlineLevel="0" collapsed="false">
      <c r="A9" s="30" t="s">
        <v>86</v>
      </c>
      <c r="B9" s="30" t="s">
        <v>97</v>
      </c>
      <c r="C9" s="30" t="s">
        <v>126</v>
      </c>
      <c r="D9" s="30"/>
      <c r="E9" s="30" t="s">
        <v>89</v>
      </c>
      <c r="F9" s="30" t="s">
        <v>56</v>
      </c>
      <c r="G9" s="31" t="n">
        <v>46227</v>
      </c>
      <c r="H9" s="31" t="n">
        <v>46238</v>
      </c>
      <c r="I9" s="32" t="n">
        <f aca="false">IF(OR($G9="",$H9=""),"",$H9-$G9)</f>
        <v>11</v>
      </c>
      <c r="J9" s="30"/>
    </row>
    <row r="10" customFormat="false" ht="53.7" hidden="false" customHeight="false" outlineLevel="0" collapsed="false">
      <c r="A10" s="30" t="s">
        <v>86</v>
      </c>
      <c r="B10" s="30" t="s">
        <v>97</v>
      </c>
      <c r="C10" s="30" t="s">
        <v>127</v>
      </c>
      <c r="D10" s="30"/>
      <c r="E10" s="30" t="s">
        <v>89</v>
      </c>
      <c r="F10" s="30" t="s">
        <v>56</v>
      </c>
      <c r="G10" s="31" t="n">
        <v>46227</v>
      </c>
      <c r="H10" s="31" t="n">
        <v>46238</v>
      </c>
      <c r="I10" s="32" t="n">
        <f aca="false">IF(OR($G10="",$H10=""),"",$H10-$G10)</f>
        <v>11</v>
      </c>
      <c r="J10" s="30"/>
      <c r="L10" s="12" t="s">
        <v>128</v>
      </c>
    </row>
    <row r="11" customFormat="false" ht="15" hidden="false" customHeight="false" outlineLevel="0" collapsed="false">
      <c r="A11" s="30" t="s">
        <v>86</v>
      </c>
      <c r="B11" s="30" t="s">
        <v>129</v>
      </c>
      <c r="C11" s="30" t="s">
        <v>130</v>
      </c>
      <c r="D11" s="30"/>
      <c r="E11" s="30" t="s">
        <v>89</v>
      </c>
      <c r="F11" s="30" t="s">
        <v>56</v>
      </c>
      <c r="G11" s="31" t="n">
        <v>46227</v>
      </c>
      <c r="H11" s="31" t="n">
        <v>46238</v>
      </c>
      <c r="I11" s="32" t="n">
        <f aca="false">IF(OR($G11="",$H11=""),"",$H11-$G11)</f>
        <v>11</v>
      </c>
      <c r="J11" s="30"/>
    </row>
    <row r="12" customFormat="false" ht="15" hidden="false" customHeight="false" outlineLevel="0" collapsed="false">
      <c r="A12" s="30" t="s">
        <v>86</v>
      </c>
      <c r="B12" s="30" t="s">
        <v>97</v>
      </c>
      <c r="C12" s="30" t="s">
        <v>131</v>
      </c>
      <c r="D12" s="30"/>
      <c r="E12" s="30" t="s">
        <v>89</v>
      </c>
      <c r="F12" s="30" t="s">
        <v>56</v>
      </c>
      <c r="G12" s="31" t="n">
        <v>46227</v>
      </c>
      <c r="H12" s="31" t="n">
        <v>46238</v>
      </c>
      <c r="I12" s="32" t="n">
        <f aca="false">IF(OR($G12="",$H12=""),"",$H12-$G12)</f>
        <v>11</v>
      </c>
      <c r="J12" s="30"/>
    </row>
    <row r="13" customFormat="false" ht="15" hidden="false" customHeight="false" outlineLevel="0" collapsed="false">
      <c r="A13" s="30" t="s">
        <v>86</v>
      </c>
      <c r="B13" s="30" t="s">
        <v>129</v>
      </c>
      <c r="C13" s="30" t="s">
        <v>132</v>
      </c>
      <c r="D13" s="30"/>
      <c r="E13" s="30" t="s">
        <v>89</v>
      </c>
      <c r="F13" s="30" t="s">
        <v>56</v>
      </c>
      <c r="G13" s="31" t="n">
        <v>46227</v>
      </c>
      <c r="H13" s="31" t="n">
        <v>46238</v>
      </c>
      <c r="I13" s="32" t="n">
        <f aca="false">IF(OR($G13="",$H13=""),"",$H13-$G13)</f>
        <v>11</v>
      </c>
      <c r="J13" s="30"/>
    </row>
    <row r="14" customFormat="false" ht="15" hidden="false" customHeight="false" outlineLevel="0" collapsed="false">
      <c r="A14" s="30" t="s">
        <v>86</v>
      </c>
      <c r="B14" s="30" t="s">
        <v>97</v>
      </c>
      <c r="C14" s="30" t="s">
        <v>133</v>
      </c>
      <c r="D14" s="30"/>
      <c r="E14" s="30" t="s">
        <v>89</v>
      </c>
      <c r="F14" s="30" t="s">
        <v>56</v>
      </c>
      <c r="G14" s="31" t="n">
        <v>46227</v>
      </c>
      <c r="H14" s="31" t="n">
        <v>46238</v>
      </c>
      <c r="I14" s="32" t="n">
        <f aca="false">IF(OR($G14="",$H14=""),"",$H14-$G14)</f>
        <v>11</v>
      </c>
      <c r="J14" s="30"/>
    </row>
    <row r="15" customFormat="false" ht="15" hidden="false" customHeight="false" outlineLevel="0" collapsed="false">
      <c r="A15" s="30" t="s">
        <v>86</v>
      </c>
      <c r="B15" s="30" t="s">
        <v>97</v>
      </c>
      <c r="C15" s="30" t="s">
        <v>134</v>
      </c>
      <c r="D15" s="30"/>
      <c r="E15" s="30" t="s">
        <v>89</v>
      </c>
      <c r="F15" s="30" t="s">
        <v>56</v>
      </c>
      <c r="G15" s="31" t="n">
        <v>46227</v>
      </c>
      <c r="H15" s="31" t="n">
        <v>46238</v>
      </c>
      <c r="I15" s="32" t="n">
        <f aca="false">IF(OR($G15="",$H15=""),"",$H15-$G15)</f>
        <v>11</v>
      </c>
      <c r="J15" s="30"/>
    </row>
    <row r="16" customFormat="false" ht="15" hidden="false" customHeight="false" outlineLevel="0" collapsed="false">
      <c r="A16" s="30" t="s">
        <v>86</v>
      </c>
      <c r="B16" s="30" t="s">
        <v>97</v>
      </c>
      <c r="C16" s="30" t="s">
        <v>135</v>
      </c>
      <c r="D16" s="30"/>
      <c r="E16" s="30" t="s">
        <v>89</v>
      </c>
      <c r="F16" s="30" t="s">
        <v>56</v>
      </c>
      <c r="G16" s="31" t="n">
        <v>46227</v>
      </c>
      <c r="H16" s="31" t="n">
        <v>46238</v>
      </c>
      <c r="I16" s="32" t="n">
        <f aca="false">IF(OR($G16="",$H16=""),"",$H16-$G16)</f>
        <v>11</v>
      </c>
      <c r="J16" s="30"/>
    </row>
    <row r="17" customFormat="false" ht="32.8" hidden="false" customHeight="false" outlineLevel="0" collapsed="false">
      <c r="A17" s="30" t="s">
        <v>86</v>
      </c>
      <c r="B17" s="30" t="s">
        <v>129</v>
      </c>
      <c r="C17" s="30" t="s">
        <v>136</v>
      </c>
      <c r="D17" s="30"/>
      <c r="E17" s="30" t="s">
        <v>89</v>
      </c>
      <c r="F17" s="30" t="s">
        <v>56</v>
      </c>
      <c r="G17" s="31" t="n">
        <v>46227</v>
      </c>
      <c r="H17" s="31" t="n">
        <v>46238</v>
      </c>
      <c r="I17" s="32" t="n">
        <f aca="false">IF(OR($G17="",$H17=""),"",$H17-$G17)</f>
        <v>11</v>
      </c>
      <c r="J17" s="30"/>
      <c r="L17" s="12" t="s">
        <v>137</v>
      </c>
    </row>
    <row r="18" customFormat="false" ht="15" hidden="false" customHeight="false" outlineLevel="0" collapsed="false">
      <c r="A18" s="30" t="s">
        <v>86</v>
      </c>
      <c r="B18" s="30" t="s">
        <v>129</v>
      </c>
      <c r="C18" s="30" t="s">
        <v>138</v>
      </c>
      <c r="D18" s="30"/>
      <c r="E18" s="30" t="s">
        <v>89</v>
      </c>
      <c r="F18" s="30" t="s">
        <v>56</v>
      </c>
      <c r="G18" s="31" t="n">
        <v>46227</v>
      </c>
      <c r="H18" s="31" t="n">
        <v>46238</v>
      </c>
      <c r="I18" s="32" t="n">
        <f aca="false">IF(OR($G18="",$H18=""),"",$H18-$G18)</f>
        <v>11</v>
      </c>
      <c r="J18" s="30"/>
    </row>
  </sheetData>
  <autoFilter ref="A8:J3000"/>
  <mergeCells count="2">
    <mergeCell ref="A1:I1"/>
    <mergeCell ref="A3:J3"/>
  </mergeCells>
  <conditionalFormatting sqref="C9:C3000">
    <cfRule type="duplicateValues" priority="2" aboveAverage="0" equalAverage="0" bottom="0" percent="0" rank="0" text="" dxfId="9"/>
  </conditionalFormatting>
  <dataValidations count="5">
    <dataValidation allowBlank="true" errorStyle="stop" operator="between" showDropDown="false" showErrorMessage="false" showInputMessage="true" sqref="A5" type="list">
      <formula1>Listy!$A$2:$A$6</formula1>
      <formula2>0</formula2>
    </dataValidation>
    <dataValidation allowBlank="true" errorStyle="stop" operator="between" showDropDown="false" showErrorMessage="false" showInputMessage="true" sqref="E5" type="list">
      <formula1>Listy!$B$2:$B$6</formula1>
      <formula2>0</formula2>
    </dataValidation>
    <dataValidation allowBlank="true" errorStyle="stop" operator="between" showDropDown="false" showErrorMessage="false" showInputMessage="true" sqref="F5" type="list">
      <formula1>Listy!$C$2:$C$7</formula1>
      <formula2>0</formula2>
    </dataValidation>
    <dataValidation allowBlank="true" errorStyle="stop" operator="between" prompt="Wybierz z listy (31 dni wstecz) albo wpisz RRRR-MM-DD." promptTitle="Data" showDropDown="false" showErrorMessage="false" showInputMessage="true" sqref="G5" type="list">
      <formula1>Listy!$E$2:$E$32</formula1>
      <formula2>0</formula2>
    </dataValidation>
    <dataValidation allowBlank="true" errorStyle="stop" operator="between" prompt="Wybierz z listy (31 dni wstecz) albo wpisz RRRR-MM-DD." promptTitle="Data" showDropDown="false" showErrorMessage="false" showInputMessage="true" sqref="H5" type="list">
      <formula1>Listy!$E$2:$E$32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1">
              <controlPr defaultSize="0" print="false" autoFill="0" autoPict="0" macro="Module1.IdzPulpit">
                <anchor moveWithCells="true" sizeWithCells="false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-1339920</xdr:colOff>
                    <xdr:row>3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2">
              <controlPr defaultSize="0" print="false" autoFill="0" autoPict="0" macro="Module1.DodajZarejestrowany">
                <anchor moveWithCells="true" sizeWithCells="false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-625680</xdr:colOff>
                    <xdr:row>4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6" name="Button 3">
              <controlPr defaultSize="0" print="false" autoFill="0" autoPict="0" macro="Module1.ArchiwizujStareMiesiace">
                <anchor moveWithCells="true" sizeWithCells="false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-625680</xdr:colOff>
                    <xdr:row>7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7" name="Button 4">
              <controlPr defaultSize="0" print="false" autoFill="0" autoPict="0" macro="Module1.PrzywrocZaznaczone">
                <anchor moveWithCells="true" sizeWithCells="false">
                  <from>
                    <xdr:col>11</xdr:col>
                    <xdr:colOff>0</xdr:colOff>
                    <xdr:row>10</xdr:row>
                    <xdr:rowOff>79920</xdr:rowOff>
                  </from>
                  <to>
                    <xdr:col>12</xdr:col>
                    <xdr:colOff>-625680</xdr:colOff>
                    <xdr:row>12</xdr:row>
                    <xdr:rowOff>22680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616161"/>
    <pageSetUpPr fitToPage="false"/>
  </sheetPr>
  <dimension ref="A1:O3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.71"/>
    <col collapsed="false" customWidth="true" hidden="false" outlineLevel="0" max="2" min="2" style="0" width="34.72"/>
    <col collapsed="false" customWidth="true" hidden="false" outlineLevel="0" max="3" min="3" style="0" width="12.72"/>
    <col collapsed="false" customWidth="true" hidden="false" outlineLevel="0" max="4" min="4" style="0" width="14.72"/>
    <col collapsed="false" customWidth="true" hidden="false" outlineLevel="0" max="5" min="5" style="0" width="20.71"/>
    <col collapsed="false" customWidth="true" hidden="false" outlineLevel="0" max="7" min="6" style="0" width="13.72"/>
    <col collapsed="false" customWidth="true" hidden="false" outlineLevel="0" max="8" min="8" style="0" width="3.71"/>
    <col collapsed="false" customWidth="true" hidden="false" outlineLevel="0" max="9" min="9" style="0" width="20.71"/>
    <col collapsed="false" customWidth="true" hidden="false" outlineLevel="0" max="11" min="10" style="0" width="13.72"/>
    <col collapsed="false" customWidth="true" hidden="false" outlineLevel="0" max="12" min="12" style="0" width="3.71"/>
    <col collapsed="false" customWidth="true" hidden="false" outlineLevel="0" max="13" min="13" style="0" width="20.71"/>
    <col collapsed="false" customWidth="true" hidden="false" outlineLevel="0" max="15" min="14" style="0" width="13.72"/>
  </cols>
  <sheetData>
    <row r="1" customFormat="false" ht="39.75" hidden="false" customHeight="true" outlineLevel="0" collapsed="false">
      <c r="A1" s="1" t="s">
        <v>139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customFormat="false" ht="22.35" hidden="false" customHeight="true" outlineLevel="0" collapsed="false">
      <c r="J2" s="33" t="s">
        <v>140</v>
      </c>
      <c r="K2" s="33"/>
      <c r="L2" s="33"/>
    </row>
    <row r="3" customFormat="false" ht="21.75" hidden="false" customHeight="true" outlineLevel="0" collapsed="false">
      <c r="B3" s="34" t="s">
        <v>141</v>
      </c>
      <c r="C3" s="34"/>
      <c r="E3" s="34" t="s">
        <v>142</v>
      </c>
      <c r="F3" s="34"/>
      <c r="G3" s="34"/>
      <c r="I3" s="34" t="s">
        <v>143</v>
      </c>
      <c r="J3" s="34"/>
      <c r="K3" s="34"/>
      <c r="M3" s="34" t="s">
        <v>144</v>
      </c>
      <c r="N3" s="34"/>
      <c r="O3" s="34"/>
    </row>
    <row r="4" customFormat="false" ht="15" hidden="false" customHeight="false" outlineLevel="0" collapsed="false">
      <c r="B4" s="35" t="s">
        <v>145</v>
      </c>
      <c r="C4" s="36" t="n">
        <f aca="false">SUMPRODUCT(--(('W rejestracji'!$A$9:$A$3000&amp;'W rejestracji'!$C$9:$C$3000)&lt;&gt;""))</f>
        <v>57</v>
      </c>
      <c r="E4" s="21" t="s">
        <v>146</v>
      </c>
      <c r="F4" s="21" t="s">
        <v>147</v>
      </c>
      <c r="G4" s="21" t="s">
        <v>148</v>
      </c>
      <c r="I4" s="21" t="s">
        <v>146</v>
      </c>
      <c r="J4" s="21" t="s">
        <v>147</v>
      </c>
      <c r="K4" s="21" t="s">
        <v>148</v>
      </c>
      <c r="M4" s="21" t="s">
        <v>146</v>
      </c>
      <c r="N4" s="21" t="s">
        <v>147</v>
      </c>
      <c r="O4" s="21" t="s">
        <v>148</v>
      </c>
    </row>
    <row r="5" customFormat="false" ht="15" hidden="false" customHeight="false" outlineLevel="0" collapsed="false">
      <c r="B5" s="35" t="s">
        <v>149</v>
      </c>
      <c r="C5" s="36" t="n">
        <f aca="false"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847</v>
      </c>
      <c r="E5" s="35" t="s">
        <v>150</v>
      </c>
      <c r="F5" s="37" t="n">
        <f aca="false">COUNTIF('W rejestracji'!$F$9:$F$3000,E5)</f>
        <v>0</v>
      </c>
      <c r="G5" s="37" t="n">
        <f aca="false">COUNTIF(Zarejestrowane!$F$9:$F$3000,E5)+COUNTIF('Archiwum 2026-06'!$F$2:$F$5000,E5)+COUNTIF('Archiwum 2026-07'!$F$2:$F$5000,E5)</f>
        <v>29</v>
      </c>
      <c r="I5" s="35" t="s">
        <v>51</v>
      </c>
      <c r="J5" s="37" t="n">
        <f aca="false">COUNTIF('W rejestracji'!$A$9:$A$3000,I5)</f>
        <v>2</v>
      </c>
      <c r="K5" s="37" t="n">
        <f aca="false">COUNTIF(Zarejestrowane!$A$9:$A$3000,I5)+COUNTIF('Archiwum 2026-06'!$A$2:$A$5000,I5)+COUNTIF('Archiwum 2026-07'!$A$2:$A$5000,I5)</f>
        <v>223</v>
      </c>
      <c r="M5" s="35" t="s">
        <v>106</v>
      </c>
      <c r="N5" s="37" t="n">
        <f aca="false">COUNTIF('W rejestracji'!$D$9:$D$3000,M5)</f>
        <v>11</v>
      </c>
      <c r="O5" s="37" t="n">
        <f aca="false">COUNTIF(Zarejestrowane!$E$9:$E$3000,M5)+COUNTIF('Archiwum 2026-06'!$E$2:$E$5000,M5)+COUNTIF('Archiwum 2026-07'!$E$2:$E$5000,M5)</f>
        <v>18</v>
      </c>
    </row>
    <row r="6" customFormat="false" ht="15" hidden="false" customHeight="false" outlineLevel="0" collapsed="false">
      <c r="B6" s="35" t="s">
        <v>151</v>
      </c>
      <c r="C6" s="36" t="n">
        <f aca="false"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5.4</v>
      </c>
      <c r="E6" s="35" t="s">
        <v>152</v>
      </c>
      <c r="F6" s="37" t="n">
        <f aca="false">COUNTIF('W rejestracji'!$F$9:$F$3000,E6)</f>
        <v>0</v>
      </c>
      <c r="G6" s="37" t="n">
        <f aca="false">COUNTIF(Zarejestrowane!$F$9:$F$3000,E6)+COUNTIF('Archiwum 2026-06'!$F$2:$F$5000,E6)+COUNTIF('Archiwum 2026-07'!$F$2:$F$5000,E6)</f>
        <v>25</v>
      </c>
      <c r="I6" s="35" t="s">
        <v>103</v>
      </c>
      <c r="J6" s="37" t="n">
        <f aca="false">COUNTIF('W rejestracji'!$A$9:$A$3000,I6)</f>
        <v>11</v>
      </c>
      <c r="K6" s="37" t="n">
        <f aca="false">COUNTIF(Zarejestrowane!$A$9:$A$3000,I6)+COUNTIF('Archiwum 2026-06'!$A$2:$A$5000,I6)+COUNTIF('Archiwum 2026-07'!$A$2:$A$5000,I6)</f>
        <v>18</v>
      </c>
      <c r="M6" s="35" t="s">
        <v>54</v>
      </c>
      <c r="N6" s="37" t="n">
        <f aca="false">COUNTIF('W rejestracji'!$D$9:$D$3000,M6)</f>
        <v>2</v>
      </c>
      <c r="O6" s="37" t="n">
        <f aca="false">COUNTIF(Zarejestrowane!$E$9:$E$3000,M6)+COUNTIF('Archiwum 2026-06'!$E$2:$E$5000,M6)+COUNTIF('Archiwum 2026-07'!$E$2:$E$5000,M6)</f>
        <v>6</v>
      </c>
    </row>
    <row r="7" customFormat="false" ht="15" hidden="false" customHeight="false" outlineLevel="0" collapsed="false">
      <c r="B7" s="35" t="s">
        <v>153</v>
      </c>
      <c r="C7" s="36" t="n">
        <f aca="false">IF((COUNT(Zarejestrowane!$I$9:$I$3000)+COUNT('Archiwum 2026-06'!$I$2:$I$5000)+COUNT('Archiwum 2026-07'!$I$2:$I$5000))=0,"—",MAX(Zarejestrowane!$I$9:$I$3000,'Archiwum 2026-06'!$I$2:$I$5000,'Archiwum 2026-07'!$I$2:$I$5000))</f>
        <v>53</v>
      </c>
      <c r="E7" s="35" t="s">
        <v>107</v>
      </c>
      <c r="F7" s="37" t="n">
        <f aca="false">COUNTIF('W rejestracji'!$F$9:$F$3000,E7)</f>
        <v>11</v>
      </c>
      <c r="G7" s="37" t="n">
        <f aca="false">COUNTIF(Zarejestrowane!$F$9:$F$3000,E7)+COUNTIF('Archiwum 2026-06'!$F$2:$F$5000,E7)+COUNTIF('Archiwum 2026-07'!$F$2:$F$5000,E7)</f>
        <v>125</v>
      </c>
      <c r="I7" s="35" t="s">
        <v>25</v>
      </c>
      <c r="J7" s="37" t="n">
        <f aca="false">COUNTIF('W rejestracji'!$A$9:$A$3000,I7)</f>
        <v>20</v>
      </c>
      <c r="K7" s="37" t="n">
        <f aca="false">COUNTIF(Zarejestrowane!$A$9:$A$3000,I7)+COUNTIF('Archiwum 2026-06'!$A$2:$A$5000,I7)+COUNTIF('Archiwum 2026-07'!$A$2:$A$5000,I7)</f>
        <v>127</v>
      </c>
      <c r="M7" s="35" t="s">
        <v>64</v>
      </c>
      <c r="N7" s="37" t="n">
        <f aca="false">COUNTIF('W rejestracji'!$D$9:$D$3000,M7)</f>
        <v>14</v>
      </c>
      <c r="O7" s="37" t="n">
        <f aca="false">COUNTIF(Zarejestrowane!$E$9:$E$3000,M7)+COUNTIF('Archiwum 2026-06'!$E$2:$E$5000,M7)+COUNTIF('Archiwum 2026-07'!$E$2:$E$5000,M7)</f>
        <v>53</v>
      </c>
    </row>
    <row r="8" customFormat="false" ht="15" hidden="false" customHeight="false" outlineLevel="0" collapsed="false">
      <c r="B8" s="35" t="s">
        <v>154</v>
      </c>
      <c r="C8" s="36" t="n">
        <f aca="false">IF((COUNT(Zarejestrowane!$I$9:$I$3000)+COUNT('Archiwum 2026-06'!$I$2:$I$5000)+COUNT('Archiwum 2026-07'!$I$2:$I$5000))=0,"—",MIN(Zarejestrowane!$I$9:$I$3000,'Archiwum 2026-06'!$I$2:$I$5000,'Archiwum 2026-07'!$I$2:$I$5000))</f>
        <v>-25</v>
      </c>
      <c r="E8" s="35" t="s">
        <v>56</v>
      </c>
      <c r="F8" s="37" t="n">
        <f aca="false">COUNTIF('W rejestracji'!$F$9:$F$3000,E8)</f>
        <v>12</v>
      </c>
      <c r="G8" s="37" t="n">
        <f aca="false">COUNTIF(Zarejestrowane!$F$9:$F$3000,E8)+COUNTIF('Archiwum 2026-06'!$F$2:$F$5000,E8)+COUNTIF('Archiwum 2026-07'!$F$2:$F$5000,E8)</f>
        <v>99</v>
      </c>
      <c r="I8" s="35" t="s">
        <v>86</v>
      </c>
      <c r="J8" s="37" t="n">
        <f aca="false">COUNTIF('W rejestracji'!$A$9:$A$3000,I8)</f>
        <v>10</v>
      </c>
      <c r="K8" s="37" t="n">
        <f aca="false">COUNTIF(Zarejestrowane!$A$9:$A$3000,I8)+COUNTIF('Archiwum 2026-06'!$A$2:$A$5000,I8)+COUNTIF('Archiwum 2026-07'!$A$2:$A$5000,I8)</f>
        <v>30</v>
      </c>
      <c r="M8" s="35" t="s">
        <v>28</v>
      </c>
      <c r="N8" s="37" t="n">
        <f aca="false">COUNTIF('W rejestracji'!$D$9:$D$3000,M8)</f>
        <v>20</v>
      </c>
      <c r="O8" s="37" t="n">
        <f aca="false">COUNTIF(Zarejestrowane!$E$9:$E$3000,M8)+COUNTIF('Archiwum 2026-06'!$E$2:$E$5000,M8)+COUNTIF('Archiwum 2026-07'!$E$2:$E$5000,M8)</f>
        <v>30</v>
      </c>
    </row>
    <row r="9" customFormat="false" ht="15" hidden="false" customHeight="false" outlineLevel="0" collapsed="false">
      <c r="B9" s="35" t="s">
        <v>155</v>
      </c>
      <c r="C9" s="36" t="n">
        <f aca="true"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10</v>
      </c>
      <c r="E9" s="35" t="s">
        <v>29</v>
      </c>
      <c r="F9" s="37" t="n">
        <f aca="false">COUNTIF('W rejestracji'!$F$9:$F$3000,E9)</f>
        <v>20</v>
      </c>
      <c r="G9" s="37" t="n">
        <f aca="false">COUNTIF(Zarejestrowane!$F$9:$F$3000,E9)+COUNTIF('Archiwum 2026-06'!$F$2:$F$5000,E9)+COUNTIF('Archiwum 2026-07'!$F$2:$F$5000,E9)</f>
        <v>510</v>
      </c>
      <c r="I9" s="35" t="s">
        <v>61</v>
      </c>
      <c r="J9" s="37" t="n">
        <f aca="false">COUNTIF('W rejestracji'!$A$9:$A$3000,I9)</f>
        <v>14</v>
      </c>
      <c r="K9" s="37" t="n">
        <f aca="false">COUNTIF(Zarejestrowane!$A$9:$A$3000,I9)+COUNTIF('Archiwum 2026-06'!$A$2:$A$5000,I9)+COUNTIF('Archiwum 2026-07'!$A$2:$A$5000,I9)</f>
        <v>117</v>
      </c>
      <c r="M9" s="35" t="s">
        <v>89</v>
      </c>
      <c r="N9" s="37" t="n">
        <f aca="false">COUNTIF('W rejestracji'!$D$9:$D$3000,M9)</f>
        <v>10</v>
      </c>
      <c r="O9" s="37" t="n">
        <f aca="false">COUNTIF(Zarejestrowane!$E$9:$E$3000,M9)+COUNTIF('Archiwum 2026-06'!$E$2:$E$5000,M9)+COUNTIF('Archiwum 2026-07'!$E$2:$E$5000,M9)</f>
        <v>61</v>
      </c>
    </row>
    <row r="10" customFormat="false" ht="15" hidden="false" customHeight="false" outlineLevel="0" collapsed="false">
      <c r="B10" s="35" t="s">
        <v>156</v>
      </c>
      <c r="C10" s="36" t="n">
        <f aca="false">IF(COUNT('W rejestracji'!$H$9:$H$3000)=0,"—",MAX('W rejestracji'!$H$9:$H$3000))</f>
        <v>30</v>
      </c>
      <c r="E10" s="35" t="s">
        <v>66</v>
      </c>
      <c r="F10" s="37" t="n">
        <f aca="false">COUNTIF('W rejestracji'!$F$9:$F$3000,E10)</f>
        <v>14</v>
      </c>
      <c r="G10" s="37" t="n">
        <f aca="false">COUNTIF(Zarejestrowane!$F$9:$F$3000,E10)+COUNTIF('Archiwum 2026-06'!$F$2:$F$5000,E10)+COUNTIF('Archiwum 2026-07'!$F$2:$F$5000,E10)</f>
        <v>59</v>
      </c>
      <c r="I10" s="35" t="s">
        <v>157</v>
      </c>
      <c r="J10" s="37" t="n">
        <f aca="false">$C$4-SUM(J5:J9)</f>
        <v>0</v>
      </c>
      <c r="K10" s="37" t="n">
        <f aca="false">$C$5-SUM(K5:K9)</f>
        <v>332</v>
      </c>
      <c r="M10" s="35" t="s">
        <v>157</v>
      </c>
      <c r="N10" s="37" t="n">
        <f aca="false">$C$4-SUM(N5:N9)</f>
        <v>0</v>
      </c>
      <c r="O10" s="37" t="n">
        <f aca="false">$C$5-SUM(O5:O9)</f>
        <v>679</v>
      </c>
    </row>
    <row r="11" customFormat="false" ht="15" hidden="false" customHeight="false" outlineLevel="0" collapsed="false">
      <c r="E11" s="35" t="s">
        <v>157</v>
      </c>
      <c r="F11" s="37" t="n">
        <f aca="false">$C$4-SUM(F5:F10)</f>
        <v>0</v>
      </c>
      <c r="G11" s="37" t="n">
        <f aca="false">$C$5-SUM(G5:G10)</f>
        <v>0</v>
      </c>
      <c r="I11" s="38" t="s">
        <v>158</v>
      </c>
      <c r="J11" s="39" t="n">
        <f aca="false">SUM(J5:J10)</f>
        <v>57</v>
      </c>
      <c r="K11" s="39" t="n">
        <f aca="false">SUM(K5:K10)</f>
        <v>847</v>
      </c>
      <c r="M11" s="38" t="s">
        <v>158</v>
      </c>
      <c r="N11" s="39" t="n">
        <f aca="false">SUM(N5:N10)</f>
        <v>57</v>
      </c>
      <c r="O11" s="39" t="n">
        <f aca="false">SUM(O5:O10)</f>
        <v>847</v>
      </c>
    </row>
    <row r="12" customFormat="false" ht="21.75" hidden="false" customHeight="true" outlineLevel="0" collapsed="false">
      <c r="B12" s="34" t="s">
        <v>159</v>
      </c>
      <c r="C12" s="34"/>
      <c r="D12" s="34"/>
      <c r="E12" s="38" t="s">
        <v>158</v>
      </c>
      <c r="F12" s="39" t="n">
        <f aca="false">SUM(F5:F11)</f>
        <v>57</v>
      </c>
      <c r="G12" s="39" t="n">
        <f aca="false">SUM(G5:G11)</f>
        <v>847</v>
      </c>
    </row>
    <row r="13" customFormat="false" ht="15" hidden="false" customHeight="false" outlineLevel="0" collapsed="false">
      <c r="B13" s="35" t="s">
        <v>160</v>
      </c>
      <c r="C13" s="18" t="s">
        <v>161</v>
      </c>
    </row>
    <row r="14" customFormat="false" ht="15" hidden="false" customHeight="false" outlineLevel="0" collapsed="false">
      <c r="B14" s="35" t="s">
        <v>20</v>
      </c>
      <c r="C14" s="18" t="s">
        <v>161</v>
      </c>
    </row>
    <row r="15" customFormat="false" ht="15" hidden="false" customHeight="false" outlineLevel="0" collapsed="false">
      <c r="B15" s="35" t="s">
        <v>15</v>
      </c>
      <c r="C15" s="18" t="s">
        <v>161</v>
      </c>
    </row>
    <row r="16" customFormat="false" ht="15" hidden="false" customHeight="true" outlineLevel="0" collapsed="false">
      <c r="B16" s="35" t="s">
        <v>18</v>
      </c>
      <c r="C16" s="18" t="s">
        <v>161</v>
      </c>
      <c r="D16" s="33" t="s">
        <v>162</v>
      </c>
      <c r="E16" s="33"/>
      <c r="F16" s="33"/>
    </row>
    <row r="17" customFormat="false" ht="15" hidden="false" customHeight="false" outlineLevel="0" collapsed="false">
      <c r="D17" s="33"/>
      <c r="E17" s="33"/>
      <c r="F17" s="33"/>
    </row>
    <row r="18" customFormat="false" ht="15" hidden="false" customHeight="false" outlineLevel="0" collapsed="false">
      <c r="B18" s="35" t="s">
        <v>163</v>
      </c>
      <c r="C18" s="36" t="n">
        <f aca="false"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57</v>
      </c>
      <c r="D18" s="33"/>
      <c r="E18" s="33"/>
      <c r="F18" s="33"/>
    </row>
    <row r="19" customFormat="false" ht="15" hidden="false" customHeight="false" outlineLevel="0" collapsed="false">
      <c r="B19" s="35" t="s">
        <v>164</v>
      </c>
      <c r="C19" s="36" t="n">
        <f aca="false"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847</v>
      </c>
      <c r="D19" s="33"/>
      <c r="E19" s="33"/>
      <c r="F19" s="33"/>
    </row>
    <row r="21" customFormat="false" ht="21.75" hidden="false" customHeight="true" outlineLevel="0" collapsed="false">
      <c r="B21" s="34" t="s">
        <v>165</v>
      </c>
      <c r="C21" s="34"/>
      <c r="D21" s="34"/>
      <c r="E21" s="34" t="s">
        <v>166</v>
      </c>
      <c r="F21" s="34"/>
    </row>
    <row r="22" customFormat="false" ht="15" hidden="false" customHeight="false" outlineLevel="0" collapsed="false">
      <c r="B22" s="21" t="s">
        <v>160</v>
      </c>
      <c r="C22" s="21" t="s">
        <v>167</v>
      </c>
      <c r="D22" s="21" t="s">
        <v>148</v>
      </c>
      <c r="E22" s="21" t="s">
        <v>146</v>
      </c>
      <c r="F22" s="21" t="s">
        <v>147</v>
      </c>
    </row>
    <row r="23" customFormat="false" ht="15" hidden="false" customHeight="false" outlineLevel="0" collapsed="false">
      <c r="B23" s="40" t="n">
        <f aca="false">DATE(2026,5,1)</f>
        <v>46143</v>
      </c>
      <c r="C23" s="37" t="n">
        <f aca="false">COUNTIFS('W rejestracji'!$G$9:$G$3000,"&gt;="&amp;$B$23,'W rejestracji'!$G$9:$G$3000,"&lt;"&amp;EDATE($B$23,1))+COUNTIFS(Zarejestrowane!$G$9:$G$3000,"&gt;="&amp;$B$23,Zarejestrowane!$G$9:$G$3000,"&lt;"&amp;EDATE($B$23,1))</f>
        <v>0</v>
      </c>
      <c r="D23" s="37" t="n">
        <f aca="false"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  <c r="E23" s="35" t="s">
        <v>55</v>
      </c>
      <c r="F23" s="37" t="n">
        <f aca="false">COUNTIF('W rejestracji'!$E$9:$E$3000,E23)</f>
        <v>2</v>
      </c>
    </row>
    <row r="24" customFormat="false" ht="15" hidden="false" customHeight="false" outlineLevel="0" collapsed="false">
      <c r="B24" s="40" t="n">
        <f aca="false">DATE(2026,6,1)</f>
        <v>46174</v>
      </c>
      <c r="C24" s="37" t="n">
        <f aca="false">COUNTIFS('W rejestracji'!$G$9:$G$3000,"&gt;="&amp;$B$24,'W rejestracji'!$G$9:$G$3000,"&lt;"&amp;EDATE($B$24,1))+COUNTIFS(Zarejestrowane!$G$9:$G$3000,"&gt;="&amp;$B$24,Zarejestrowane!$G$9:$G$3000,"&lt;"&amp;EDATE($B$24,1))</f>
        <v>0</v>
      </c>
      <c r="D24" s="37" t="n">
        <f aca="false"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376</v>
      </c>
      <c r="E24" s="35" t="s">
        <v>90</v>
      </c>
      <c r="F24" s="37" t="n">
        <f aca="false">COUNTIF('W rejestracji'!$E$9:$E$3000,E24)</f>
        <v>21</v>
      </c>
    </row>
    <row r="25" customFormat="false" ht="15" hidden="false" customHeight="false" outlineLevel="0" collapsed="false">
      <c r="B25" s="40" t="n">
        <f aca="false">DATE(2026,7,1)</f>
        <v>46204</v>
      </c>
      <c r="C25" s="37" t="n">
        <f aca="false">COUNTIFS('W rejestracji'!$G$9:$G$3000,"&gt;="&amp;$B$25,'W rejestracji'!$G$9:$G$3000,"&lt;"&amp;EDATE($B$25,1))+COUNTIFS(Zarejestrowane!$G$9:$G$3000,"&gt;="&amp;$B$25,Zarejestrowane!$G$9:$G$3000,"&lt;"&amp;EDATE($B$25,1))</f>
        <v>47</v>
      </c>
      <c r="D25" s="37" t="n">
        <f aca="false"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461</v>
      </c>
      <c r="E25" s="35" t="s">
        <v>65</v>
      </c>
      <c r="F25" s="37" t="n">
        <f aca="false">COUNTIF('W rejestracji'!$E$9:$E$3000,E25)</f>
        <v>14</v>
      </c>
    </row>
    <row r="26" customFormat="false" ht="15" hidden="false" customHeight="false" outlineLevel="0" collapsed="false">
      <c r="B26" s="40" t="n">
        <f aca="false">DATE(2026,8,1)</f>
        <v>46235</v>
      </c>
      <c r="C26" s="37" t="n">
        <f aca="false">COUNTIFS('W rejestracji'!$G$9:$G$3000,"&gt;="&amp;$B$26,'W rejestracji'!$G$9:$G$3000,"&lt;"&amp;EDATE($B$26,1))+COUNTIFS(Zarejestrowane!$G$9:$G$3000,"&gt;="&amp;$B$26,Zarejestrowane!$G$9:$G$3000,"&lt;"&amp;EDATE($B$26,1))</f>
        <v>0</v>
      </c>
      <c r="D26" s="37" t="n">
        <f aca="false"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10</v>
      </c>
      <c r="E26" s="35" t="s">
        <v>157</v>
      </c>
      <c r="F26" s="37" t="n">
        <f aca="false">$C$4-SUM(F5:F25)</f>
        <v>-94</v>
      </c>
    </row>
    <row r="27" customFormat="false" ht="15" hidden="false" customHeight="false" outlineLevel="0" collapsed="false">
      <c r="B27" s="40" t="n">
        <f aca="false">DATE(2026,9,1)</f>
        <v>46266</v>
      </c>
      <c r="C27" s="37" t="n">
        <f aca="false">COUNTIFS('W rejestracji'!$G$9:$G$3000,"&gt;="&amp;$B$27,'W rejestracji'!$G$9:$G$3000,"&lt;"&amp;EDATE($B$27,1))+COUNTIFS(Zarejestrowane!$G$9:$G$3000,"&gt;="&amp;$B$27,Zarejestrowane!$G$9:$G$3000,"&lt;"&amp;EDATE($B$27,1))</f>
        <v>0</v>
      </c>
      <c r="D27" s="37" t="n">
        <f aca="false"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  <c r="E27" s="38" t="s">
        <v>158</v>
      </c>
      <c r="F27" s="39" t="n">
        <f aca="false">SUM(F5:F26)</f>
        <v>57</v>
      </c>
    </row>
    <row r="28" customFormat="false" ht="15" hidden="false" customHeight="false" outlineLevel="0" collapsed="false">
      <c r="B28" s="40" t="n">
        <f aca="false">DATE(2026,10,1)</f>
        <v>46296</v>
      </c>
      <c r="C28" s="37" t="n">
        <f aca="false">COUNTIFS('W rejestracji'!$G$9:$G$3000,"&gt;="&amp;$B$28,'W rejestracji'!$G$9:$G$3000,"&lt;"&amp;EDATE($B$28,1))+COUNTIFS(Zarejestrowane!$G$9:$G$3000,"&gt;="&amp;$B$28,Zarejestrowane!$G$9:$G$3000,"&lt;"&amp;EDATE($B$28,1))</f>
        <v>0</v>
      </c>
      <c r="D28" s="37" t="n">
        <f aca="false"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customFormat="false" ht="15" hidden="false" customHeight="false" outlineLevel="0" collapsed="false">
      <c r="B29" s="40" t="n">
        <f aca="false">DATE(2026,11,1)</f>
        <v>46327</v>
      </c>
      <c r="C29" s="37" t="n">
        <f aca="false">COUNTIFS('W rejestracji'!$G$9:$G$3000,"&gt;="&amp;$B$29,'W rejestracji'!$G$9:$G$3000,"&lt;"&amp;EDATE($B$29,1))+COUNTIFS(Zarejestrowane!$G$9:$G$3000,"&gt;="&amp;$B$29,Zarejestrowane!$G$9:$G$3000,"&lt;"&amp;EDATE($B$29,1))</f>
        <v>0</v>
      </c>
      <c r="D29" s="37" t="n">
        <f aca="false"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customFormat="false" ht="15" hidden="false" customHeight="false" outlineLevel="0" collapsed="false">
      <c r="B30" s="40" t="n">
        <f aca="false">DATE(2026,12,1)</f>
        <v>46357</v>
      </c>
      <c r="C30" s="37" t="n">
        <f aca="false">COUNTIFS('W rejestracji'!$G$9:$G$3000,"&gt;="&amp;$B$30,'W rejestracji'!$G$9:$G$3000,"&lt;"&amp;EDATE($B$30,1))+COUNTIFS(Zarejestrowane!$G$9:$G$3000,"&gt;="&amp;$B$30,Zarejestrowane!$G$9:$G$3000,"&lt;"&amp;EDATE($B$30,1))</f>
        <v>0</v>
      </c>
      <c r="D30" s="37" t="n">
        <f aca="false"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10">
    <mergeCell ref="A1:N1"/>
    <mergeCell ref="J2:L2"/>
    <mergeCell ref="B3:C3"/>
    <mergeCell ref="E3:G3"/>
    <mergeCell ref="I3:K3"/>
    <mergeCell ref="M3:O3"/>
    <mergeCell ref="B12:D12"/>
    <mergeCell ref="D16:F19"/>
    <mergeCell ref="B21:D21"/>
    <mergeCell ref="E21:F21"/>
  </mergeCells>
  <dataValidations count="4">
    <dataValidation allowBlank="true" errorStyle="stop" operator="between" showDropDown="false" showErrorMessage="false" showInputMessage="true" sqref="C13" type="list">
      <formula1>Listy!$F$2:$F$10</formula1>
      <formula2>0</formula2>
    </dataValidation>
    <dataValidation allowBlank="true" errorStyle="stop" operator="between" showDropDown="false" showErrorMessage="false" showInputMessage="true" sqref="C14" type="list">
      <formula1>Listy!$G$2:$G$8</formula1>
      <formula2>0</formula2>
    </dataValidation>
    <dataValidation allowBlank="true" errorStyle="stop" operator="between" showDropDown="false" showErrorMessage="false" showInputMessage="true" sqref="C15" type="list">
      <formula1>Listy!$H$2:$H$7</formula1>
      <formula2>0</formula2>
    </dataValidation>
    <dataValidation allowBlank="true" errorStyle="stop" operator="between" showDropDown="false" showErrorMessage="false" showInputMessage="true" sqref="C16" type="list">
      <formula1>Listy!$I$2:$I$7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14</xdr:col>
                    <xdr:colOff>0</xdr:colOff>
                    <xdr:row>1</xdr:row>
                    <xdr:rowOff>190440</xdr:rowOff>
                  </from>
                  <to>
                    <xdr:col>15</xdr:col>
                    <xdr:colOff>-361800</xdr:colOff>
                    <xdr:row>2</xdr:row>
                    <xdr:rowOff>135000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GenerujRaport">
                <anchor moveWithCells="true" sizeWithCells="false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285840</xdr:colOff>
                    <xdr:row>2</xdr:row>
                    <xdr:rowOff>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71C1C"/>
    <pageSetUpPr fitToPage="false"/>
  </sheetPr>
  <dimension ref="A1:D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4.72"/>
    <col collapsed="false" customWidth="true" hidden="false" outlineLevel="0" max="2" min="2" style="0" width="22.71"/>
    <col collapsed="false" customWidth="true" hidden="false" outlineLevel="0" max="4" min="3" style="0" width="10.71"/>
  </cols>
  <sheetData>
    <row r="1" customFormat="false" ht="39.75" hidden="false" customHeight="true" outlineLevel="0" collapsed="false">
      <c r="A1" s="1" t="s">
        <v>168</v>
      </c>
      <c r="B1" s="1"/>
      <c r="C1" s="1"/>
      <c r="D1" s="2" t="s">
        <v>1</v>
      </c>
    </row>
    <row r="3" customFormat="false" ht="15" hidden="false" customHeight="false" outlineLevel="0" collapsed="false">
      <c r="A3" s="12" t="s">
        <v>169</v>
      </c>
    </row>
    <row r="4" customFormat="false" ht="15" hidden="false" customHeight="false" outlineLevel="0" collapsed="false">
      <c r="A4" s="21" t="s">
        <v>170</v>
      </c>
      <c r="B4" s="21" t="s">
        <v>17</v>
      </c>
    </row>
    <row r="5" customFormat="false" ht="15" hidden="false" customHeight="false" outlineLevel="0" collapsed="false">
      <c r="A5" s="13" t="s">
        <v>170</v>
      </c>
      <c r="B5" s="13" t="s">
        <v>17</v>
      </c>
    </row>
    <row r="6" customFormat="false" ht="15" hidden="false" customHeight="false" outlineLevel="0" collapsed="false">
      <c r="A6" s="13" t="s">
        <v>171</v>
      </c>
      <c r="B6" s="13" t="s">
        <v>172</v>
      </c>
    </row>
    <row r="7" customFormat="false" ht="15" hidden="false" customHeight="false" outlineLevel="0" collapsed="false">
      <c r="A7" s="13" t="s">
        <v>173</v>
      </c>
      <c r="B7" s="13" t="s">
        <v>174</v>
      </c>
    </row>
    <row r="8" customFormat="false" ht="15" hidden="false" customHeight="false" outlineLevel="0" collapsed="false">
      <c r="A8" s="13" t="s">
        <v>173</v>
      </c>
      <c r="B8" s="13" t="s">
        <v>175</v>
      </c>
    </row>
    <row r="9" customFormat="false" ht="15" hidden="false" customHeight="false" outlineLevel="0" collapsed="false">
      <c r="A9" s="13" t="s">
        <v>173</v>
      </c>
      <c r="B9" s="13" t="s">
        <v>132</v>
      </c>
    </row>
    <row r="10" customFormat="false" ht="15" hidden="false" customHeight="false" outlineLevel="0" collapsed="false">
      <c r="A10" s="13" t="s">
        <v>173</v>
      </c>
      <c r="B10" s="13" t="s">
        <v>176</v>
      </c>
    </row>
    <row r="11" customFormat="false" ht="15" hidden="false" customHeight="false" outlineLevel="0" collapsed="false">
      <c r="A11" s="13" t="s">
        <v>173</v>
      </c>
      <c r="B11" s="13" t="s">
        <v>177</v>
      </c>
    </row>
    <row r="12" customFormat="false" ht="15" hidden="false" customHeight="false" outlineLevel="0" collapsed="false">
      <c r="A12" s="13" t="s">
        <v>178</v>
      </c>
      <c r="B12" s="13" t="s">
        <v>100</v>
      </c>
    </row>
    <row r="13" customFormat="false" ht="15" hidden="false" customHeight="false" outlineLevel="0" collapsed="false">
      <c r="A13" s="13" t="s">
        <v>171</v>
      </c>
      <c r="B13" s="13" t="s">
        <v>179</v>
      </c>
    </row>
    <row r="14" customFormat="false" ht="15" hidden="false" customHeight="false" outlineLevel="0" collapsed="false">
      <c r="A14" s="13" t="s">
        <v>171</v>
      </c>
      <c r="B14" s="13" t="s">
        <v>180</v>
      </c>
    </row>
    <row r="15" customFormat="false" ht="15" hidden="false" customHeight="false" outlineLevel="0" collapsed="false">
      <c r="A15" s="13" t="s">
        <v>171</v>
      </c>
      <c r="B15" s="13" t="s">
        <v>181</v>
      </c>
    </row>
    <row r="16" customFormat="false" ht="15" hidden="false" customHeight="false" outlineLevel="0" collapsed="false">
      <c r="A16" s="13" t="s">
        <v>171</v>
      </c>
      <c r="B16" s="13" t="s">
        <v>182</v>
      </c>
    </row>
    <row r="17" customFormat="false" ht="15" hidden="false" customHeight="false" outlineLevel="0" collapsed="false">
      <c r="A17" s="13" t="s">
        <v>171</v>
      </c>
      <c r="B17" s="13" t="s">
        <v>183</v>
      </c>
    </row>
    <row r="18" customFormat="false" ht="15" hidden="false" customHeight="false" outlineLevel="0" collapsed="false">
      <c r="A18" s="13" t="s">
        <v>171</v>
      </c>
      <c r="B18" s="13" t="s">
        <v>184</v>
      </c>
    </row>
    <row r="19" customFormat="false" ht="15" hidden="false" customHeight="false" outlineLevel="0" collapsed="false">
      <c r="A19" s="13" t="s">
        <v>171</v>
      </c>
      <c r="B19" s="13" t="s">
        <v>185</v>
      </c>
    </row>
    <row r="20" customFormat="false" ht="15" hidden="false" customHeight="false" outlineLevel="0" collapsed="false">
      <c r="A20" s="13" t="s">
        <v>171</v>
      </c>
      <c r="B20" s="13" t="s">
        <v>186</v>
      </c>
    </row>
    <row r="21" customFormat="false" ht="15" hidden="false" customHeight="false" outlineLevel="0" collapsed="false">
      <c r="A21" s="13" t="s">
        <v>171</v>
      </c>
      <c r="B21" s="13" t="s">
        <v>187</v>
      </c>
    </row>
    <row r="22" customFormat="false" ht="15" hidden="false" customHeight="false" outlineLevel="0" collapsed="false">
      <c r="A22" s="13" t="s">
        <v>171</v>
      </c>
      <c r="B22" s="13" t="s">
        <v>188</v>
      </c>
    </row>
    <row r="23" customFormat="false" ht="15" hidden="false" customHeight="false" outlineLevel="0" collapsed="false">
      <c r="A23" s="13" t="s">
        <v>171</v>
      </c>
      <c r="B23" s="13" t="s">
        <v>189</v>
      </c>
    </row>
    <row r="24" customFormat="false" ht="15" hidden="false" customHeight="false" outlineLevel="0" collapsed="false">
      <c r="A24" s="13" t="s">
        <v>171</v>
      </c>
      <c r="B24" s="13" t="s">
        <v>190</v>
      </c>
    </row>
    <row r="25" customFormat="false" ht="15" hidden="false" customHeight="false" outlineLevel="0" collapsed="false">
      <c r="A25" s="13" t="s">
        <v>171</v>
      </c>
      <c r="B25" s="13" t="s">
        <v>191</v>
      </c>
    </row>
    <row r="26" customFormat="false" ht="15" hidden="false" customHeight="false" outlineLevel="0" collapsed="false">
      <c r="A26" s="13" t="s">
        <v>171</v>
      </c>
      <c r="B26" s="13" t="s">
        <v>192</v>
      </c>
    </row>
    <row r="27" customFormat="false" ht="15" hidden="false" customHeight="false" outlineLevel="0" collapsed="false">
      <c r="A27" s="13" t="s">
        <v>171</v>
      </c>
      <c r="B27" s="13" t="s">
        <v>193</v>
      </c>
    </row>
    <row r="28" customFormat="false" ht="15" hidden="false" customHeight="false" outlineLevel="0" collapsed="false">
      <c r="A28" s="13" t="s">
        <v>171</v>
      </c>
      <c r="B28" s="13" t="s">
        <v>136</v>
      </c>
    </row>
    <row r="29" customFormat="false" ht="15" hidden="false" customHeight="false" outlineLevel="0" collapsed="false">
      <c r="A29" s="13" t="s">
        <v>171</v>
      </c>
      <c r="B29" s="13" t="s">
        <v>138</v>
      </c>
    </row>
    <row r="30" customFormat="false" ht="15" hidden="false" customHeight="false" outlineLevel="0" collapsed="false">
      <c r="A30" s="13" t="s">
        <v>171</v>
      </c>
      <c r="B30" s="13" t="s">
        <v>194</v>
      </c>
    </row>
  </sheetData>
  <mergeCells count="1">
    <mergeCell ref="A1:C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6A1B9A"/>
    <pageSetUpPr fitToPage="false"/>
  </sheetPr>
  <dimension ref="A1:F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2.71"/>
    <col collapsed="false" customWidth="true" hidden="false" outlineLevel="0" max="2" min="2" style="0" width="26.71"/>
    <col collapsed="false" customWidth="true" hidden="false" outlineLevel="0" max="3" min="3" style="0" width="30.72"/>
    <col collapsed="false" customWidth="true" hidden="false" outlineLevel="0" max="5" min="4" style="0" width="18.71"/>
    <col collapsed="false" customWidth="true" hidden="false" outlineLevel="0" max="6" min="6" style="0" width="34.72"/>
  </cols>
  <sheetData>
    <row r="1" customFormat="false" ht="39.75" hidden="false" customHeight="true" outlineLevel="0" collapsed="false">
      <c r="A1" s="1" t="s">
        <v>195</v>
      </c>
      <c r="B1" s="1"/>
      <c r="C1" s="1"/>
      <c r="D1" s="1"/>
      <c r="E1" s="1"/>
      <c r="F1" s="2" t="s">
        <v>1</v>
      </c>
    </row>
    <row r="3" customFormat="false" ht="15" hidden="false" customHeight="false" outlineLevel="0" collapsed="false">
      <c r="A3" s="41" t="s">
        <v>196</v>
      </c>
      <c r="B3" s="41" t="s">
        <v>197</v>
      </c>
      <c r="C3" s="41" t="s">
        <v>198</v>
      </c>
      <c r="D3" s="41" t="s">
        <v>199</v>
      </c>
      <c r="E3" s="41" t="s">
        <v>199</v>
      </c>
      <c r="F3" s="42" t="s">
        <v>200</v>
      </c>
    </row>
    <row r="4" customFormat="false" ht="15" hidden="false" customHeight="false" outlineLevel="0" collapsed="false">
      <c r="A4" s="43" t="s">
        <v>150</v>
      </c>
      <c r="B4" s="43" t="s">
        <v>201</v>
      </c>
      <c r="C4" s="43" t="s">
        <v>202</v>
      </c>
      <c r="D4" s="43"/>
      <c r="E4" s="43"/>
      <c r="F4" s="42" t="s">
        <v>203</v>
      </c>
    </row>
    <row r="5" customFormat="false" ht="15" hidden="false" customHeight="false" outlineLevel="0" collapsed="false">
      <c r="A5" s="43" t="s">
        <v>66</v>
      </c>
      <c r="B5" s="43" t="s">
        <v>204</v>
      </c>
      <c r="C5" s="43" t="s">
        <v>205</v>
      </c>
      <c r="D5" s="43"/>
      <c r="E5" s="43"/>
      <c r="F5" s="42" t="s">
        <v>203</v>
      </c>
    </row>
    <row r="6" customFormat="false" ht="15" hidden="false" customHeight="false" outlineLevel="0" collapsed="false">
      <c r="A6" s="43" t="s">
        <v>56</v>
      </c>
      <c r="B6" s="43" t="s">
        <v>206</v>
      </c>
      <c r="C6" s="43" t="s">
        <v>207</v>
      </c>
      <c r="D6" s="44" t="s">
        <v>208</v>
      </c>
      <c r="E6" s="43"/>
      <c r="F6" s="42" t="s">
        <v>203</v>
      </c>
    </row>
    <row r="7" customFormat="false" ht="15" hidden="false" customHeight="false" outlineLevel="0" collapsed="false">
      <c r="A7" s="43" t="s">
        <v>29</v>
      </c>
      <c r="B7" s="43" t="s">
        <v>209</v>
      </c>
      <c r="C7" s="43" t="s">
        <v>210</v>
      </c>
      <c r="D7" s="43"/>
      <c r="E7" s="43"/>
      <c r="F7" s="42" t="s">
        <v>203</v>
      </c>
    </row>
    <row r="8" customFormat="false" ht="15" hidden="false" customHeight="false" outlineLevel="0" collapsed="false">
      <c r="A8" s="43" t="s">
        <v>107</v>
      </c>
      <c r="B8" s="43" t="s">
        <v>211</v>
      </c>
      <c r="C8" s="43" t="s">
        <v>212</v>
      </c>
      <c r="D8" s="44" t="s">
        <v>213</v>
      </c>
      <c r="E8" s="44" t="s">
        <v>214</v>
      </c>
      <c r="F8" s="42" t="s">
        <v>203</v>
      </c>
    </row>
    <row r="9" customFormat="false" ht="15" hidden="false" customHeight="false" outlineLevel="0" collapsed="false">
      <c r="A9" s="43" t="s">
        <v>215</v>
      </c>
      <c r="B9" s="43" t="s">
        <v>216</v>
      </c>
      <c r="C9" s="43" t="s">
        <v>217</v>
      </c>
      <c r="D9" s="43"/>
      <c r="E9" s="43"/>
      <c r="F9" s="42" t="s">
        <v>203</v>
      </c>
    </row>
    <row r="12" customFormat="false" ht="15" hidden="false" customHeight="false" outlineLevel="0" collapsed="false">
      <c r="A12" s="41" t="s">
        <v>218</v>
      </c>
      <c r="B12" s="41" t="s">
        <v>198</v>
      </c>
      <c r="C12" s="41" t="s">
        <v>219</v>
      </c>
      <c r="D12" s="41" t="s">
        <v>220</v>
      </c>
    </row>
    <row r="13" customFormat="false" ht="15" hidden="false" customHeight="false" outlineLevel="0" collapsed="false">
      <c r="A13" s="43" t="s">
        <v>221</v>
      </c>
      <c r="B13" s="43" t="s">
        <v>222</v>
      </c>
      <c r="C13" s="43" t="s">
        <v>223</v>
      </c>
      <c r="D13" s="43" t="s">
        <v>224</v>
      </c>
    </row>
    <row r="14" customFormat="false" ht="15" hidden="false" customHeight="false" outlineLevel="0" collapsed="false">
      <c r="A14" s="43" t="s">
        <v>225</v>
      </c>
      <c r="B14" s="43" t="s">
        <v>226</v>
      </c>
      <c r="C14" s="43" t="s">
        <v>227</v>
      </c>
      <c r="D14" s="43" t="s">
        <v>228</v>
      </c>
    </row>
    <row r="15" customFormat="false" ht="15" hidden="false" customHeight="false" outlineLevel="0" collapsed="false">
      <c r="A15" s="43" t="s">
        <v>229</v>
      </c>
      <c r="B15" s="43" t="s">
        <v>230</v>
      </c>
      <c r="C15" s="43" t="s">
        <v>231</v>
      </c>
      <c r="D15" s="43" t="s">
        <v>232</v>
      </c>
    </row>
    <row r="16" customFormat="false" ht="15" hidden="false" customHeight="false" outlineLevel="0" collapsed="false">
      <c r="A16" s="43" t="s">
        <v>233</v>
      </c>
      <c r="B16" s="43" t="s">
        <v>234</v>
      </c>
      <c r="C16" s="43" t="s">
        <v>235</v>
      </c>
      <c r="D16" s="43" t="s">
        <v>236</v>
      </c>
    </row>
    <row r="17" customFormat="false" ht="15" hidden="false" customHeight="false" outlineLevel="0" collapsed="false">
      <c r="A17" s="43" t="s">
        <v>237</v>
      </c>
      <c r="B17" s="43" t="s">
        <v>238</v>
      </c>
      <c r="C17" s="43" t="s">
        <v>239</v>
      </c>
      <c r="D17" s="43" t="s">
        <v>240</v>
      </c>
    </row>
    <row r="20" customFormat="false" ht="15" hidden="false" customHeight="false" outlineLevel="0" collapsed="false">
      <c r="A20" s="41" t="s">
        <v>241</v>
      </c>
      <c r="B20" s="41" t="s">
        <v>242</v>
      </c>
      <c r="C20" s="41" t="s">
        <v>198</v>
      </c>
      <c r="D20" s="41" t="s">
        <v>197</v>
      </c>
    </row>
    <row r="21" customFormat="false" ht="15" hidden="false" customHeight="false" outlineLevel="0" collapsed="false">
      <c r="A21" s="43" t="s">
        <v>243</v>
      </c>
      <c r="B21" s="43" t="s">
        <v>244</v>
      </c>
      <c r="C21" s="43" t="s">
        <v>202</v>
      </c>
      <c r="D21" s="43" t="s">
        <v>201</v>
      </c>
    </row>
    <row r="22" customFormat="false" ht="15" hidden="false" customHeight="false" outlineLevel="0" collapsed="false">
      <c r="A22" s="43" t="s">
        <v>245</v>
      </c>
      <c r="B22" s="43" t="s">
        <v>244</v>
      </c>
      <c r="C22" s="43" t="s">
        <v>205</v>
      </c>
      <c r="D22" s="43" t="s">
        <v>204</v>
      </c>
    </row>
    <row r="23" customFormat="false" ht="15" hidden="false" customHeight="false" outlineLevel="0" collapsed="false">
      <c r="A23" s="43" t="s">
        <v>246</v>
      </c>
      <c r="B23" s="43" t="s">
        <v>244</v>
      </c>
      <c r="C23" s="43" t="s">
        <v>207</v>
      </c>
      <c r="D23" s="43" t="s">
        <v>206</v>
      </c>
    </row>
    <row r="24" customFormat="false" ht="15" hidden="false" customHeight="false" outlineLevel="0" collapsed="false">
      <c r="A24" s="43" t="s">
        <v>247</v>
      </c>
      <c r="B24" s="43" t="s">
        <v>244</v>
      </c>
      <c r="C24" s="43" t="s">
        <v>210</v>
      </c>
      <c r="D24" s="43" t="s">
        <v>209</v>
      </c>
    </row>
    <row r="25" customFormat="false" ht="15" hidden="false" customHeight="false" outlineLevel="0" collapsed="false">
      <c r="A25" s="43" t="s">
        <v>248</v>
      </c>
      <c r="B25" s="43" t="s">
        <v>244</v>
      </c>
      <c r="C25" s="43" t="s">
        <v>249</v>
      </c>
      <c r="D25" s="43" t="s">
        <v>250</v>
      </c>
    </row>
    <row r="26" customFormat="false" ht="15" hidden="false" customHeight="false" outlineLevel="0" collapsed="false">
      <c r="A26" s="43" t="s">
        <v>251</v>
      </c>
      <c r="B26" s="43" t="s">
        <v>244</v>
      </c>
      <c r="C26" s="43" t="s">
        <v>252</v>
      </c>
      <c r="D26" s="43" t="s">
        <v>253</v>
      </c>
    </row>
    <row r="27" customFormat="false" ht="15" hidden="false" customHeight="false" outlineLevel="0" collapsed="false">
      <c r="A27" s="43" t="s">
        <v>254</v>
      </c>
      <c r="B27" s="43" t="s">
        <v>244</v>
      </c>
      <c r="C27" s="43" t="s">
        <v>217</v>
      </c>
      <c r="D27" s="43" t="s">
        <v>216</v>
      </c>
    </row>
    <row r="28" customFormat="false" ht="15" hidden="false" customHeight="false" outlineLevel="0" collapsed="false">
      <c r="A28" s="43" t="s">
        <v>255</v>
      </c>
      <c r="B28" s="43" t="s">
        <v>244</v>
      </c>
      <c r="C28" s="43" t="s">
        <v>256</v>
      </c>
      <c r="D28" s="43" t="s">
        <v>257</v>
      </c>
    </row>
    <row r="29" customFormat="false" ht="15" hidden="false" customHeight="false" outlineLevel="0" collapsed="false">
      <c r="A29" s="43" t="s">
        <v>258</v>
      </c>
      <c r="B29" s="43" t="s">
        <v>259</v>
      </c>
      <c r="C29" s="43" t="s">
        <v>260</v>
      </c>
      <c r="D29" s="43" t="s">
        <v>261</v>
      </c>
    </row>
    <row r="30" customFormat="false" ht="15" hidden="false" customHeight="false" outlineLevel="0" collapsed="false">
      <c r="A30" s="43" t="s">
        <v>262</v>
      </c>
      <c r="B30" s="43" t="s">
        <v>263</v>
      </c>
      <c r="C30" s="43" t="s">
        <v>264</v>
      </c>
      <c r="D30" s="43" t="s">
        <v>265</v>
      </c>
    </row>
    <row r="31" customFormat="false" ht="15" hidden="false" customHeight="false" outlineLevel="0" collapsed="false">
      <c r="A31" s="43" t="s">
        <v>266</v>
      </c>
      <c r="B31" s="43" t="s">
        <v>267</v>
      </c>
      <c r="C31" s="43" t="s">
        <v>268</v>
      </c>
      <c r="D31" s="43" t="s">
        <v>269</v>
      </c>
    </row>
  </sheetData>
  <mergeCells count="1">
    <mergeCell ref="A1:E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-2228760</xdr:colOff>
                    <xdr:row>3</xdr:row>
                    <xdr:rowOff>38160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695C"/>
    <pageSetUpPr fitToPage="false"/>
  </sheetPr>
  <dimension ref="A1:E9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6.72"/>
    <col collapsed="false" customWidth="true" hidden="false" outlineLevel="0" max="2" min="2" style="0" width="20.71"/>
    <col collapsed="false" customWidth="true" hidden="false" outlineLevel="0" max="3" min="3" style="0" width="42.71"/>
    <col collapsed="false" customWidth="true" hidden="false" outlineLevel="0" max="4" min="4" style="0" width="14.72"/>
    <col collapsed="false" customWidth="true" hidden="false" outlineLevel="0" max="5" min="5" style="0" width="42.71"/>
  </cols>
  <sheetData>
    <row r="1" customFormat="false" ht="39.75" hidden="false" customHeight="true" outlineLevel="0" collapsed="false">
      <c r="A1" s="1" t="s">
        <v>270</v>
      </c>
      <c r="B1" s="1"/>
      <c r="C1" s="1"/>
      <c r="D1" s="1"/>
      <c r="E1" s="2" t="s">
        <v>1</v>
      </c>
    </row>
    <row r="3" customFormat="false" ht="15" hidden="false" customHeight="false" outlineLevel="0" collapsed="false">
      <c r="A3" s="45" t="s">
        <v>271</v>
      </c>
    </row>
    <row r="4" customFormat="false" ht="15" hidden="false" customHeight="false" outlineLevel="0" collapsed="false">
      <c r="A4" s="8" t="s">
        <v>272</v>
      </c>
      <c r="B4" s="43" t="s">
        <v>273</v>
      </c>
      <c r="C4" s="43" t="s">
        <v>274</v>
      </c>
    </row>
    <row r="5" customFormat="false" ht="15" hidden="false" customHeight="false" outlineLevel="0" collapsed="false">
      <c r="A5" s="8" t="s">
        <v>275</v>
      </c>
      <c r="B5" s="43" t="s">
        <v>276</v>
      </c>
      <c r="C5" s="43" t="s">
        <v>277</v>
      </c>
      <c r="D5" s="43" t="s">
        <v>278</v>
      </c>
    </row>
    <row r="6" customFormat="false" ht="15" hidden="false" customHeight="false" outlineLevel="0" collapsed="false">
      <c r="B6" s="43" t="s">
        <v>279</v>
      </c>
      <c r="C6" s="43" t="s">
        <v>280</v>
      </c>
      <c r="D6" s="43" t="s">
        <v>281</v>
      </c>
    </row>
    <row r="7" customFormat="false" ht="15" hidden="false" customHeight="false" outlineLevel="0" collapsed="false">
      <c r="B7" s="43" t="s">
        <v>282</v>
      </c>
      <c r="C7" s="43" t="s">
        <v>283</v>
      </c>
      <c r="D7" s="43" t="s">
        <v>284</v>
      </c>
    </row>
    <row r="10" customFormat="false" ht="15" hidden="false" customHeight="false" outlineLevel="0" collapsed="false">
      <c r="A10" s="8" t="s">
        <v>285</v>
      </c>
      <c r="B10" s="43" t="s">
        <v>286</v>
      </c>
      <c r="C10" s="43"/>
      <c r="D10" s="43"/>
      <c r="E10" s="43"/>
    </row>
    <row r="12" customFormat="false" ht="15" hidden="false" customHeight="false" outlineLevel="0" collapsed="false">
      <c r="A12" s="45" t="s">
        <v>287</v>
      </c>
    </row>
    <row r="13" customFormat="false" ht="25.5" hidden="false" customHeight="true" outlineLevel="0" collapsed="false">
      <c r="A13" s="21" t="s">
        <v>288</v>
      </c>
      <c r="B13" s="21" t="s">
        <v>289</v>
      </c>
      <c r="C13" s="21" t="s">
        <v>290</v>
      </c>
      <c r="D13" s="21" t="s">
        <v>291</v>
      </c>
      <c r="E13" s="21" t="s">
        <v>292</v>
      </c>
    </row>
    <row r="14" customFormat="false" ht="15" hidden="false" customHeight="false" outlineLevel="0" collapsed="false">
      <c r="A14" s="46" t="s">
        <v>107</v>
      </c>
      <c r="B14" s="43" t="s">
        <v>293</v>
      </c>
      <c r="C14" s="43" t="s">
        <v>294</v>
      </c>
      <c r="D14" s="43" t="s">
        <v>295</v>
      </c>
      <c r="E14" s="43" t="s">
        <v>296</v>
      </c>
    </row>
    <row r="15" customFormat="false" ht="15" hidden="false" customHeight="false" outlineLevel="0" collapsed="false">
      <c r="A15" s="46" t="s">
        <v>56</v>
      </c>
      <c r="B15" s="43" t="s">
        <v>293</v>
      </c>
      <c r="C15" s="43" t="s">
        <v>297</v>
      </c>
      <c r="D15" s="43" t="s">
        <v>295</v>
      </c>
      <c r="E15" s="43" t="s">
        <v>296</v>
      </c>
    </row>
    <row r="16" customFormat="false" ht="15" hidden="false" customHeight="false" outlineLevel="0" collapsed="false">
      <c r="A16" s="46" t="s">
        <v>29</v>
      </c>
      <c r="B16" s="43" t="s">
        <v>293</v>
      </c>
      <c r="C16" s="43" t="s">
        <v>298</v>
      </c>
      <c r="D16" s="43" t="s">
        <v>295</v>
      </c>
      <c r="E16" s="43" t="s">
        <v>296</v>
      </c>
    </row>
    <row r="17" customFormat="false" ht="15" hidden="false" customHeight="false" outlineLevel="0" collapsed="false">
      <c r="A17" s="46" t="s">
        <v>150</v>
      </c>
      <c r="B17" s="43" t="s">
        <v>293</v>
      </c>
      <c r="C17" s="43" t="s">
        <v>299</v>
      </c>
      <c r="D17" s="43" t="s">
        <v>295</v>
      </c>
      <c r="E17" s="43" t="s">
        <v>296</v>
      </c>
    </row>
    <row r="18" customFormat="false" ht="15" hidden="false" customHeight="false" outlineLevel="0" collapsed="false">
      <c r="A18" s="46" t="s">
        <v>66</v>
      </c>
      <c r="B18" s="43" t="s">
        <v>293</v>
      </c>
      <c r="C18" s="43" t="s">
        <v>300</v>
      </c>
      <c r="D18" s="43" t="s">
        <v>295</v>
      </c>
      <c r="E18" s="43" t="s">
        <v>296</v>
      </c>
    </row>
    <row r="20" customFormat="false" ht="15" hidden="false" customHeight="true" outlineLevel="0" collapsed="false">
      <c r="A20" s="7" t="s">
        <v>301</v>
      </c>
      <c r="B20" s="7"/>
      <c r="C20" s="7"/>
      <c r="D20" s="7"/>
      <c r="E20" s="7"/>
    </row>
    <row r="21" customFormat="false" ht="15" hidden="false" customHeight="false" outlineLevel="0" collapsed="false">
      <c r="A21" s="7"/>
      <c r="B21" s="7"/>
      <c r="C21" s="7"/>
      <c r="D21" s="7"/>
      <c r="E21" s="7"/>
    </row>
    <row r="22" customFormat="false" ht="15" hidden="false" customHeight="false" outlineLevel="0" collapsed="false">
      <c r="A22" s="7"/>
      <c r="B22" s="7"/>
      <c r="C22" s="7"/>
      <c r="D22" s="7"/>
      <c r="E22" s="7"/>
    </row>
    <row r="24" customFormat="false" ht="21.75" hidden="false" customHeight="true" outlineLevel="0" collapsed="false">
      <c r="A24" s="34" t="s">
        <v>302</v>
      </c>
      <c r="B24" s="34"/>
      <c r="C24" s="34"/>
      <c r="D24" s="34"/>
      <c r="E24" s="34"/>
    </row>
    <row r="25" customFormat="false" ht="15" hidden="false" customHeight="true" outlineLevel="0" collapsed="false">
      <c r="A25" s="47" t="s">
        <v>303</v>
      </c>
      <c r="B25" s="47"/>
      <c r="C25" s="47"/>
      <c r="D25" s="47"/>
      <c r="E25" s="47"/>
    </row>
    <row r="26" customFormat="false" ht="15" hidden="false" customHeight="false" outlineLevel="0" collapsed="false">
      <c r="A26" s="47"/>
      <c r="B26" s="47"/>
      <c r="C26" s="47"/>
      <c r="D26" s="47"/>
      <c r="E26" s="47"/>
    </row>
    <row r="27" customFormat="false" ht="15" hidden="false" customHeight="false" outlineLevel="0" collapsed="false">
      <c r="A27" s="47"/>
      <c r="B27" s="47"/>
      <c r="C27" s="47"/>
      <c r="D27" s="47"/>
      <c r="E27" s="47"/>
    </row>
    <row r="28" customFormat="false" ht="15" hidden="false" customHeight="false" outlineLevel="0" collapsed="false">
      <c r="A28" s="47"/>
      <c r="B28" s="47"/>
      <c r="C28" s="47"/>
      <c r="D28" s="47"/>
      <c r="E28" s="47"/>
    </row>
    <row r="29" customFormat="false" ht="15" hidden="false" customHeight="false" outlineLevel="0" collapsed="false">
      <c r="A29" s="47"/>
      <c r="B29" s="47"/>
      <c r="C29" s="47"/>
      <c r="D29" s="47"/>
      <c r="E29" s="47"/>
    </row>
    <row r="30" customFormat="false" ht="15" hidden="false" customHeight="false" outlineLevel="0" collapsed="false">
      <c r="A30" s="47"/>
      <c r="B30" s="47"/>
      <c r="C30" s="47"/>
      <c r="D30" s="47"/>
      <c r="E30" s="47"/>
    </row>
    <row r="31" customFormat="false" ht="15" hidden="false" customHeight="false" outlineLevel="0" collapsed="false">
      <c r="A31" s="47"/>
      <c r="B31" s="47"/>
      <c r="C31" s="47"/>
      <c r="D31" s="47"/>
      <c r="E31" s="47"/>
    </row>
    <row r="32" customFormat="false" ht="15" hidden="false" customHeight="false" outlineLevel="0" collapsed="false">
      <c r="A32" s="47"/>
      <c r="B32" s="47"/>
      <c r="C32" s="47"/>
      <c r="D32" s="47"/>
      <c r="E32" s="47"/>
    </row>
    <row r="33" customFormat="false" ht="15" hidden="false" customHeight="false" outlineLevel="0" collapsed="false">
      <c r="A33" s="47"/>
      <c r="B33" s="47"/>
      <c r="C33" s="47"/>
      <c r="D33" s="47"/>
      <c r="E33" s="47"/>
    </row>
    <row r="34" customFormat="false" ht="15" hidden="false" customHeight="false" outlineLevel="0" collapsed="false">
      <c r="A34" s="47"/>
      <c r="B34" s="47"/>
      <c r="C34" s="47"/>
      <c r="D34" s="47"/>
      <c r="E34" s="47"/>
    </row>
    <row r="35" customFormat="false" ht="15" hidden="false" customHeight="false" outlineLevel="0" collapsed="false">
      <c r="A35" s="47"/>
      <c r="B35" s="47"/>
      <c r="C35" s="47"/>
      <c r="D35" s="47"/>
      <c r="E35" s="47"/>
    </row>
    <row r="36" customFormat="false" ht="15" hidden="false" customHeight="false" outlineLevel="0" collapsed="false">
      <c r="A36" s="47"/>
      <c r="B36" s="47"/>
      <c r="C36" s="47"/>
      <c r="D36" s="47"/>
      <c r="E36" s="47"/>
    </row>
    <row r="38" customFormat="false" ht="21.75" hidden="false" customHeight="true" outlineLevel="0" collapsed="false">
      <c r="A38" s="34" t="s">
        <v>304</v>
      </c>
      <c r="B38" s="34"/>
      <c r="C38" s="34"/>
      <c r="D38" s="34"/>
      <c r="E38" s="34"/>
    </row>
    <row r="39" customFormat="false" ht="15" hidden="false" customHeight="true" outlineLevel="0" collapsed="false">
      <c r="A39" s="47" t="s">
        <v>305</v>
      </c>
      <c r="B39" s="47"/>
      <c r="C39" s="47"/>
      <c r="D39" s="47"/>
      <c r="E39" s="47"/>
    </row>
    <row r="40" customFormat="false" ht="15" hidden="false" customHeight="false" outlineLevel="0" collapsed="false">
      <c r="A40" s="47"/>
      <c r="B40" s="47"/>
      <c r="C40" s="47"/>
      <c r="D40" s="47"/>
      <c r="E40" s="47"/>
    </row>
    <row r="41" customFormat="false" ht="15" hidden="false" customHeight="false" outlineLevel="0" collapsed="false">
      <c r="A41" s="47"/>
      <c r="B41" s="47"/>
      <c r="C41" s="47"/>
      <c r="D41" s="47"/>
      <c r="E41" s="47"/>
    </row>
    <row r="42" customFormat="false" ht="15" hidden="false" customHeight="false" outlineLevel="0" collapsed="false">
      <c r="A42" s="47"/>
      <c r="B42" s="47"/>
      <c r="C42" s="47"/>
      <c r="D42" s="47"/>
      <c r="E42" s="47"/>
    </row>
    <row r="43" customFormat="false" ht="15" hidden="false" customHeight="false" outlineLevel="0" collapsed="false">
      <c r="A43" s="47"/>
      <c r="B43" s="47"/>
      <c r="C43" s="47"/>
      <c r="D43" s="47"/>
      <c r="E43" s="47"/>
    </row>
    <row r="44" customFormat="false" ht="15" hidden="false" customHeight="false" outlineLevel="0" collapsed="false">
      <c r="A44" s="47"/>
      <c r="B44" s="47"/>
      <c r="C44" s="47"/>
      <c r="D44" s="47"/>
      <c r="E44" s="47"/>
    </row>
    <row r="45" customFormat="false" ht="15" hidden="false" customHeight="false" outlineLevel="0" collapsed="false">
      <c r="A45" s="47"/>
      <c r="B45" s="47"/>
      <c r="C45" s="47"/>
      <c r="D45" s="47"/>
      <c r="E45" s="47"/>
    </row>
    <row r="46" customFormat="false" ht="15" hidden="false" customHeight="false" outlineLevel="0" collapsed="false">
      <c r="A46" s="47"/>
      <c r="B46" s="47"/>
      <c r="C46" s="47"/>
      <c r="D46" s="47"/>
      <c r="E46" s="47"/>
    </row>
    <row r="47" customFormat="false" ht="15" hidden="false" customHeight="false" outlineLevel="0" collapsed="false">
      <c r="A47" s="47"/>
      <c r="B47" s="47"/>
      <c r="C47" s="47"/>
      <c r="D47" s="47"/>
      <c r="E47" s="47"/>
    </row>
    <row r="48" customFormat="false" ht="15" hidden="false" customHeight="false" outlineLevel="0" collapsed="false">
      <c r="A48" s="47"/>
      <c r="B48" s="47"/>
      <c r="C48" s="47"/>
      <c r="D48" s="47"/>
      <c r="E48" s="47"/>
    </row>
    <row r="49" customFormat="false" ht="15" hidden="false" customHeight="false" outlineLevel="0" collapsed="false">
      <c r="A49" s="47"/>
      <c r="B49" s="47"/>
      <c r="C49" s="47"/>
      <c r="D49" s="47"/>
      <c r="E49" s="47"/>
    </row>
    <row r="50" customFormat="false" ht="15" hidden="false" customHeight="false" outlineLevel="0" collapsed="false">
      <c r="A50" s="47"/>
      <c r="B50" s="47"/>
      <c r="C50" s="47"/>
      <c r="D50" s="47"/>
      <c r="E50" s="47"/>
    </row>
    <row r="52" customFormat="false" ht="21.75" hidden="false" customHeight="true" outlineLevel="0" collapsed="false">
      <c r="A52" s="34" t="s">
        <v>306</v>
      </c>
      <c r="B52" s="34"/>
      <c r="C52" s="34"/>
      <c r="D52" s="34"/>
      <c r="E52" s="34"/>
    </row>
    <row r="53" customFormat="false" ht="15" hidden="false" customHeight="true" outlineLevel="0" collapsed="false">
      <c r="A53" s="47" t="s">
        <v>307</v>
      </c>
      <c r="B53" s="47"/>
      <c r="C53" s="47"/>
      <c r="D53" s="47"/>
      <c r="E53" s="47"/>
    </row>
    <row r="54" customFormat="false" ht="15" hidden="false" customHeight="false" outlineLevel="0" collapsed="false">
      <c r="A54" s="47"/>
      <c r="B54" s="47"/>
      <c r="C54" s="47"/>
      <c r="D54" s="47"/>
      <c r="E54" s="47"/>
    </row>
    <row r="55" customFormat="false" ht="15" hidden="false" customHeight="false" outlineLevel="0" collapsed="false">
      <c r="A55" s="47"/>
      <c r="B55" s="47"/>
      <c r="C55" s="47"/>
      <c r="D55" s="47"/>
      <c r="E55" s="47"/>
    </row>
    <row r="56" customFormat="false" ht="15" hidden="false" customHeight="false" outlineLevel="0" collapsed="false">
      <c r="A56" s="47"/>
      <c r="B56" s="47"/>
      <c r="C56" s="47"/>
      <c r="D56" s="47"/>
      <c r="E56" s="47"/>
    </row>
    <row r="57" customFormat="false" ht="15" hidden="false" customHeight="false" outlineLevel="0" collapsed="false">
      <c r="A57" s="47"/>
      <c r="B57" s="47"/>
      <c r="C57" s="47"/>
      <c r="D57" s="47"/>
      <c r="E57" s="47"/>
    </row>
    <row r="58" customFormat="false" ht="15" hidden="false" customHeight="false" outlineLevel="0" collapsed="false">
      <c r="A58" s="47"/>
      <c r="B58" s="47"/>
      <c r="C58" s="47"/>
      <c r="D58" s="47"/>
      <c r="E58" s="47"/>
    </row>
    <row r="59" customFormat="false" ht="15" hidden="false" customHeight="false" outlineLevel="0" collapsed="false">
      <c r="A59" s="47"/>
      <c r="B59" s="47"/>
      <c r="C59" s="47"/>
      <c r="D59" s="47"/>
      <c r="E59" s="47"/>
    </row>
    <row r="60" customFormat="false" ht="15" hidden="false" customHeight="false" outlineLevel="0" collapsed="false">
      <c r="A60" s="47"/>
      <c r="B60" s="47"/>
      <c r="C60" s="47"/>
      <c r="D60" s="47"/>
      <c r="E60" s="47"/>
    </row>
    <row r="61" customFormat="false" ht="15" hidden="false" customHeight="false" outlineLevel="0" collapsed="false">
      <c r="A61" s="47"/>
      <c r="B61" s="47"/>
      <c r="C61" s="47"/>
      <c r="D61" s="47"/>
      <c r="E61" s="47"/>
    </row>
    <row r="62" customFormat="false" ht="15" hidden="false" customHeight="false" outlineLevel="0" collapsed="false">
      <c r="A62" s="47"/>
      <c r="B62" s="47"/>
      <c r="C62" s="47"/>
      <c r="D62" s="47"/>
      <c r="E62" s="47"/>
    </row>
    <row r="63" customFormat="false" ht="15" hidden="false" customHeight="false" outlineLevel="0" collapsed="false">
      <c r="A63" s="47"/>
      <c r="B63" s="47"/>
      <c r="C63" s="47"/>
      <c r="D63" s="47"/>
      <c r="E63" s="47"/>
    </row>
    <row r="64" customFormat="false" ht="15" hidden="false" customHeight="false" outlineLevel="0" collapsed="false">
      <c r="A64" s="47"/>
      <c r="B64" s="47"/>
      <c r="C64" s="47"/>
      <c r="D64" s="47"/>
      <c r="E64" s="47"/>
    </row>
    <row r="66" customFormat="false" ht="21.75" hidden="false" customHeight="true" outlineLevel="0" collapsed="false">
      <c r="A66" s="34" t="s">
        <v>308</v>
      </c>
      <c r="B66" s="34"/>
      <c r="C66" s="34"/>
      <c r="D66" s="34"/>
      <c r="E66" s="34"/>
    </row>
    <row r="67" customFormat="false" ht="15" hidden="false" customHeight="true" outlineLevel="0" collapsed="false">
      <c r="A67" s="47" t="s">
        <v>309</v>
      </c>
      <c r="B67" s="47"/>
      <c r="C67" s="47"/>
      <c r="D67" s="47"/>
      <c r="E67" s="47"/>
    </row>
    <row r="68" customFormat="false" ht="15" hidden="false" customHeight="false" outlineLevel="0" collapsed="false">
      <c r="A68" s="47"/>
      <c r="B68" s="47"/>
      <c r="C68" s="47"/>
      <c r="D68" s="47"/>
      <c r="E68" s="47"/>
    </row>
    <row r="69" customFormat="false" ht="15" hidden="false" customHeight="false" outlineLevel="0" collapsed="false">
      <c r="A69" s="47"/>
      <c r="B69" s="47"/>
      <c r="C69" s="47"/>
      <c r="D69" s="47"/>
      <c r="E69" s="47"/>
    </row>
    <row r="70" customFormat="false" ht="15" hidden="false" customHeight="false" outlineLevel="0" collapsed="false">
      <c r="A70" s="47"/>
      <c r="B70" s="47"/>
      <c r="C70" s="47"/>
      <c r="D70" s="47"/>
      <c r="E70" s="47"/>
    </row>
    <row r="71" customFormat="false" ht="15" hidden="false" customHeight="false" outlineLevel="0" collapsed="false">
      <c r="A71" s="47"/>
      <c r="B71" s="47"/>
      <c r="C71" s="47"/>
      <c r="D71" s="47"/>
      <c r="E71" s="47"/>
    </row>
    <row r="72" customFormat="false" ht="15" hidden="false" customHeight="false" outlineLevel="0" collapsed="false">
      <c r="A72" s="47"/>
      <c r="B72" s="47"/>
      <c r="C72" s="47"/>
      <c r="D72" s="47"/>
      <c r="E72" s="47"/>
    </row>
    <row r="73" customFormat="false" ht="15" hidden="false" customHeight="false" outlineLevel="0" collapsed="false">
      <c r="A73" s="47"/>
      <c r="B73" s="47"/>
      <c r="C73" s="47"/>
      <c r="D73" s="47"/>
      <c r="E73" s="47"/>
    </row>
    <row r="74" customFormat="false" ht="15" hidden="false" customHeight="false" outlineLevel="0" collapsed="false">
      <c r="A74" s="47"/>
      <c r="B74" s="47"/>
      <c r="C74" s="47"/>
      <c r="D74" s="47"/>
      <c r="E74" s="47"/>
    </row>
    <row r="75" customFormat="false" ht="15" hidden="false" customHeight="false" outlineLevel="0" collapsed="false">
      <c r="A75" s="47"/>
      <c r="B75" s="47"/>
      <c r="C75" s="47"/>
      <c r="D75" s="47"/>
      <c r="E75" s="47"/>
    </row>
    <row r="76" customFormat="false" ht="15" hidden="false" customHeight="false" outlineLevel="0" collapsed="false">
      <c r="A76" s="47"/>
      <c r="B76" s="47"/>
      <c r="C76" s="47"/>
      <c r="D76" s="47"/>
      <c r="E76" s="47"/>
    </row>
    <row r="77" customFormat="false" ht="15" hidden="false" customHeight="false" outlineLevel="0" collapsed="false">
      <c r="A77" s="47"/>
      <c r="B77" s="47"/>
      <c r="C77" s="47"/>
      <c r="D77" s="47"/>
      <c r="E77" s="47"/>
    </row>
    <row r="78" customFormat="false" ht="15" hidden="false" customHeight="false" outlineLevel="0" collapsed="false">
      <c r="A78" s="47"/>
      <c r="B78" s="47"/>
      <c r="C78" s="47"/>
      <c r="D78" s="47"/>
      <c r="E78" s="47"/>
    </row>
    <row r="80" customFormat="false" ht="21.75" hidden="false" customHeight="true" outlineLevel="0" collapsed="false">
      <c r="A80" s="34" t="s">
        <v>310</v>
      </c>
      <c r="B80" s="34"/>
      <c r="C80" s="34"/>
      <c r="D80" s="34"/>
      <c r="E80" s="34"/>
    </row>
    <row r="81" customFormat="false" ht="15" hidden="false" customHeight="true" outlineLevel="0" collapsed="false">
      <c r="A81" s="47" t="s">
        <v>311</v>
      </c>
      <c r="B81" s="47"/>
      <c r="C81" s="47"/>
      <c r="D81" s="47"/>
      <c r="E81" s="47"/>
    </row>
    <row r="82" customFormat="false" ht="15" hidden="false" customHeight="false" outlineLevel="0" collapsed="false">
      <c r="A82" s="47"/>
      <c r="B82" s="47"/>
      <c r="C82" s="47"/>
      <c r="D82" s="47"/>
      <c r="E82" s="47"/>
    </row>
    <row r="83" customFormat="false" ht="15" hidden="false" customHeight="false" outlineLevel="0" collapsed="false">
      <c r="A83" s="47"/>
      <c r="B83" s="47"/>
      <c r="C83" s="47"/>
      <c r="D83" s="47"/>
      <c r="E83" s="47"/>
    </row>
    <row r="84" customFormat="false" ht="15" hidden="false" customHeight="false" outlineLevel="0" collapsed="false">
      <c r="A84" s="47"/>
      <c r="B84" s="47"/>
      <c r="C84" s="47"/>
      <c r="D84" s="47"/>
      <c r="E84" s="47"/>
    </row>
    <row r="85" customFormat="false" ht="15" hidden="false" customHeight="false" outlineLevel="0" collapsed="false">
      <c r="A85" s="47"/>
      <c r="B85" s="47"/>
      <c r="C85" s="47"/>
      <c r="D85" s="47"/>
      <c r="E85" s="47"/>
    </row>
    <row r="86" customFormat="false" ht="15" hidden="false" customHeight="false" outlineLevel="0" collapsed="false">
      <c r="A86" s="47"/>
      <c r="B86" s="47"/>
      <c r="C86" s="47"/>
      <c r="D86" s="47"/>
      <c r="E86" s="47"/>
    </row>
    <row r="87" customFormat="false" ht="15" hidden="false" customHeight="false" outlineLevel="0" collapsed="false">
      <c r="A87" s="47"/>
      <c r="B87" s="47"/>
      <c r="C87" s="47"/>
      <c r="D87" s="47"/>
      <c r="E87" s="47"/>
    </row>
    <row r="88" customFormat="false" ht="15" hidden="false" customHeight="false" outlineLevel="0" collapsed="false">
      <c r="A88" s="47"/>
      <c r="B88" s="47"/>
      <c r="C88" s="47"/>
      <c r="D88" s="47"/>
      <c r="E88" s="47"/>
    </row>
    <row r="89" customFormat="false" ht="15" hidden="false" customHeight="false" outlineLevel="0" collapsed="false">
      <c r="A89" s="47"/>
      <c r="B89" s="47"/>
      <c r="C89" s="47"/>
      <c r="D89" s="47"/>
      <c r="E89" s="47"/>
    </row>
    <row r="90" customFormat="false" ht="15" hidden="false" customHeight="false" outlineLevel="0" collapsed="false">
      <c r="A90" s="47"/>
      <c r="B90" s="47"/>
      <c r="C90" s="47"/>
      <c r="D90" s="47"/>
      <c r="E90" s="47"/>
    </row>
    <row r="91" customFormat="false" ht="15" hidden="false" customHeight="false" outlineLevel="0" collapsed="false">
      <c r="A91" s="47"/>
      <c r="B91" s="47"/>
      <c r="C91" s="47"/>
      <c r="D91" s="47"/>
      <c r="E91" s="47"/>
    </row>
    <row r="92" customFormat="false" ht="15" hidden="false" customHeight="false" outlineLevel="0" collapsed="false">
      <c r="A92" s="47"/>
      <c r="B92" s="47"/>
      <c r="C92" s="47"/>
      <c r="D92" s="47"/>
      <c r="E92" s="47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-2940480</xdr:colOff>
                    <xdr:row>3</xdr:row>
                    <xdr:rowOff>38160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4" min="1" style="0" width="22.71"/>
    <col collapsed="false" customWidth="true" hidden="false" outlineLevel="0" max="5" min="5" style="0" width="14.72"/>
    <col collapsed="false" customWidth="true" hidden="false" outlineLevel="0" max="9" min="6" style="0" width="22.71"/>
  </cols>
  <sheetData>
    <row r="1" customFormat="false" ht="15" hidden="false" customHeight="false" outlineLevel="0" collapsed="false">
      <c r="A1" s="21" t="s">
        <v>312</v>
      </c>
      <c r="B1" s="21" t="s">
        <v>313</v>
      </c>
      <c r="C1" s="21" t="s">
        <v>196</v>
      </c>
      <c r="D1" s="21" t="s">
        <v>314</v>
      </c>
      <c r="E1" s="21" t="s">
        <v>315</v>
      </c>
      <c r="F1" s="21" t="s">
        <v>316</v>
      </c>
      <c r="G1" s="21" t="s">
        <v>317</v>
      </c>
      <c r="H1" s="21" t="s">
        <v>318</v>
      </c>
      <c r="I1" s="21" t="s">
        <v>319</v>
      </c>
    </row>
    <row r="2" customFormat="false" ht="15" hidden="false" customHeight="false" outlineLevel="0" collapsed="false">
      <c r="A2" s="13" t="s">
        <v>51</v>
      </c>
      <c r="B2" s="13" t="s">
        <v>106</v>
      </c>
      <c r="C2" s="13" t="s">
        <v>150</v>
      </c>
      <c r="D2" s="13" t="s">
        <v>55</v>
      </c>
      <c r="E2" s="14" t="n">
        <f aca="true">TODAY()-0</f>
        <v>46239</v>
      </c>
      <c r="F2" s="13" t="s">
        <v>161</v>
      </c>
      <c r="G2" s="13" t="s">
        <v>161</v>
      </c>
      <c r="H2" s="13" t="s">
        <v>161</v>
      </c>
      <c r="I2" s="13" t="s">
        <v>161</v>
      </c>
    </row>
    <row r="3" customFormat="false" ht="15" hidden="false" customHeight="false" outlineLevel="0" collapsed="false">
      <c r="A3" s="13" t="s">
        <v>103</v>
      </c>
      <c r="B3" s="13" t="s">
        <v>54</v>
      </c>
      <c r="C3" s="13" t="s">
        <v>152</v>
      </c>
      <c r="D3" s="13" t="s">
        <v>90</v>
      </c>
      <c r="E3" s="14" t="n">
        <f aca="true">TODAY()-1</f>
        <v>46238</v>
      </c>
      <c r="F3" s="13" t="s">
        <v>320</v>
      </c>
      <c r="G3" s="13" t="s">
        <v>150</v>
      </c>
      <c r="H3" s="13" t="s">
        <v>51</v>
      </c>
      <c r="I3" s="13" t="s">
        <v>106</v>
      </c>
    </row>
    <row r="4" customFormat="false" ht="15" hidden="false" customHeight="false" outlineLevel="0" collapsed="false">
      <c r="A4" s="13" t="s">
        <v>25</v>
      </c>
      <c r="B4" s="13" t="s">
        <v>64</v>
      </c>
      <c r="C4" s="13" t="s">
        <v>107</v>
      </c>
      <c r="D4" s="13" t="s">
        <v>65</v>
      </c>
      <c r="E4" s="14" t="n">
        <f aca="true">TODAY()-2</f>
        <v>46237</v>
      </c>
      <c r="F4" s="13" t="s">
        <v>321</v>
      </c>
      <c r="G4" s="13" t="s">
        <v>152</v>
      </c>
      <c r="H4" s="13" t="s">
        <v>103</v>
      </c>
      <c r="I4" s="13" t="s">
        <v>54</v>
      </c>
    </row>
    <row r="5" customFormat="false" ht="15" hidden="false" customHeight="false" outlineLevel="0" collapsed="false">
      <c r="A5" s="13" t="s">
        <v>86</v>
      </c>
      <c r="B5" s="13" t="s">
        <v>28</v>
      </c>
      <c r="C5" s="13" t="s">
        <v>56</v>
      </c>
      <c r="E5" s="14" t="n">
        <f aca="true">TODAY()-3</f>
        <v>46236</v>
      </c>
      <c r="F5" s="13" t="s">
        <v>322</v>
      </c>
      <c r="G5" s="13" t="s">
        <v>107</v>
      </c>
      <c r="H5" s="13" t="s">
        <v>25</v>
      </c>
      <c r="I5" s="13" t="s">
        <v>64</v>
      </c>
    </row>
    <row r="6" customFormat="false" ht="15" hidden="false" customHeight="false" outlineLevel="0" collapsed="false">
      <c r="A6" s="13" t="s">
        <v>61</v>
      </c>
      <c r="B6" s="13" t="s">
        <v>89</v>
      </c>
      <c r="C6" s="13" t="s">
        <v>29</v>
      </c>
      <c r="E6" s="14" t="n">
        <f aca="true">TODAY()-4</f>
        <v>46235</v>
      </c>
      <c r="F6" s="13" t="s">
        <v>323</v>
      </c>
      <c r="G6" s="13" t="s">
        <v>56</v>
      </c>
      <c r="H6" s="13" t="s">
        <v>86</v>
      </c>
      <c r="I6" s="13" t="s">
        <v>28</v>
      </c>
    </row>
    <row r="7" customFormat="false" ht="15" hidden="false" customHeight="false" outlineLevel="0" collapsed="false">
      <c r="C7" s="13" t="s">
        <v>66</v>
      </c>
      <c r="E7" s="14" t="n">
        <f aca="true">TODAY()-5</f>
        <v>46234</v>
      </c>
      <c r="F7" s="13" t="s">
        <v>324</v>
      </c>
      <c r="G7" s="13" t="s">
        <v>29</v>
      </c>
      <c r="H7" s="13" t="s">
        <v>61</v>
      </c>
      <c r="I7" s="13" t="s">
        <v>89</v>
      </c>
    </row>
    <row r="8" customFormat="false" ht="15" hidden="false" customHeight="false" outlineLevel="0" collapsed="false">
      <c r="E8" s="14" t="n">
        <f aca="true">TODAY()-6</f>
        <v>46233</v>
      </c>
      <c r="F8" s="13" t="s">
        <v>325</v>
      </c>
      <c r="G8" s="13" t="s">
        <v>66</v>
      </c>
    </row>
    <row r="9" customFormat="false" ht="15" hidden="false" customHeight="false" outlineLevel="0" collapsed="false">
      <c r="E9" s="14" t="n">
        <f aca="true">TODAY()-7</f>
        <v>46232</v>
      </c>
      <c r="F9" s="13" t="s">
        <v>326</v>
      </c>
    </row>
    <row r="10" customFormat="false" ht="15" hidden="false" customHeight="false" outlineLevel="0" collapsed="false">
      <c r="E10" s="14" t="n">
        <f aca="true">TODAY()-8</f>
        <v>46231</v>
      </c>
      <c r="F10" s="13" t="s">
        <v>327</v>
      </c>
    </row>
    <row r="11" customFormat="false" ht="15" hidden="false" customHeight="false" outlineLevel="0" collapsed="false">
      <c r="E11" s="14" t="n">
        <f aca="true">TODAY()-9</f>
        <v>46230</v>
      </c>
    </row>
    <row r="12" customFormat="false" ht="15" hidden="false" customHeight="false" outlineLevel="0" collapsed="false">
      <c r="E12" s="14" t="n">
        <f aca="true">TODAY()-10</f>
        <v>46229</v>
      </c>
    </row>
    <row r="13" customFormat="false" ht="15" hidden="false" customHeight="false" outlineLevel="0" collapsed="false">
      <c r="E13" s="14" t="n">
        <f aca="true">TODAY()-11</f>
        <v>46228</v>
      </c>
    </row>
    <row r="14" customFormat="false" ht="15" hidden="false" customHeight="false" outlineLevel="0" collapsed="false">
      <c r="E14" s="14" t="n">
        <f aca="true">TODAY()-12</f>
        <v>46227</v>
      </c>
    </row>
    <row r="15" customFormat="false" ht="15" hidden="false" customHeight="false" outlineLevel="0" collapsed="false">
      <c r="E15" s="14" t="n">
        <f aca="true">TODAY()-13</f>
        <v>46226</v>
      </c>
    </row>
    <row r="16" customFormat="false" ht="15" hidden="false" customHeight="false" outlineLevel="0" collapsed="false">
      <c r="E16" s="14" t="n">
        <f aca="true">TODAY()-14</f>
        <v>46225</v>
      </c>
    </row>
    <row r="17" customFormat="false" ht="15" hidden="false" customHeight="false" outlineLevel="0" collapsed="false">
      <c r="E17" s="14" t="n">
        <f aca="true">TODAY()-15</f>
        <v>46224</v>
      </c>
    </row>
    <row r="18" customFormat="false" ht="15" hidden="false" customHeight="false" outlineLevel="0" collapsed="false">
      <c r="E18" s="14" t="n">
        <f aca="true">TODAY()-16</f>
        <v>46223</v>
      </c>
    </row>
    <row r="19" customFormat="false" ht="15" hidden="false" customHeight="false" outlineLevel="0" collapsed="false">
      <c r="E19" s="14" t="n">
        <f aca="true">TODAY()-17</f>
        <v>46222</v>
      </c>
    </row>
    <row r="20" customFormat="false" ht="15" hidden="false" customHeight="false" outlineLevel="0" collapsed="false">
      <c r="E20" s="14" t="n">
        <f aca="true">TODAY()-18</f>
        <v>46221</v>
      </c>
    </row>
    <row r="21" customFormat="false" ht="15" hidden="false" customHeight="false" outlineLevel="0" collapsed="false">
      <c r="E21" s="14" t="n">
        <f aca="true">TODAY()-19</f>
        <v>46220</v>
      </c>
    </row>
    <row r="22" customFormat="false" ht="15" hidden="false" customHeight="false" outlineLevel="0" collapsed="false">
      <c r="E22" s="14" t="n">
        <f aca="true">TODAY()-20</f>
        <v>46219</v>
      </c>
    </row>
    <row r="23" customFormat="false" ht="15" hidden="false" customHeight="false" outlineLevel="0" collapsed="false">
      <c r="E23" s="14" t="n">
        <f aca="true">TODAY()-21</f>
        <v>46218</v>
      </c>
    </row>
    <row r="24" customFormat="false" ht="15" hidden="false" customHeight="false" outlineLevel="0" collapsed="false">
      <c r="E24" s="14" t="n">
        <f aca="true">TODAY()-22</f>
        <v>46217</v>
      </c>
    </row>
    <row r="25" customFormat="false" ht="15" hidden="false" customHeight="false" outlineLevel="0" collapsed="false">
      <c r="E25" s="14" t="n">
        <f aca="true">TODAY()-23</f>
        <v>46216</v>
      </c>
    </row>
    <row r="26" customFormat="false" ht="15" hidden="false" customHeight="false" outlineLevel="0" collapsed="false">
      <c r="E26" s="14" t="n">
        <f aca="true">TODAY()-24</f>
        <v>46215</v>
      </c>
    </row>
    <row r="27" customFormat="false" ht="15" hidden="false" customHeight="false" outlineLevel="0" collapsed="false">
      <c r="E27" s="14" t="n">
        <f aca="true">TODAY()-25</f>
        <v>46214</v>
      </c>
    </row>
    <row r="28" customFormat="false" ht="15" hidden="false" customHeight="false" outlineLevel="0" collapsed="false">
      <c r="E28" s="14" t="n">
        <f aca="true">TODAY()-26</f>
        <v>46213</v>
      </c>
    </row>
    <row r="29" customFormat="false" ht="15" hidden="false" customHeight="false" outlineLevel="0" collapsed="false">
      <c r="E29" s="14" t="n">
        <f aca="true">TODAY()-27</f>
        <v>46212</v>
      </c>
    </row>
    <row r="30" customFormat="false" ht="15" hidden="false" customHeight="false" outlineLevel="0" collapsed="false">
      <c r="E30" s="14" t="n">
        <f aca="true">TODAY()-28</f>
        <v>46211</v>
      </c>
    </row>
    <row r="31" customFormat="false" ht="15" hidden="false" customHeight="false" outlineLevel="0" collapsed="false">
      <c r="E31" s="14" t="n">
        <f aca="true">TODAY()-29</f>
        <v>46210</v>
      </c>
    </row>
    <row r="32" customFormat="false" ht="15" hidden="false" customHeight="false" outlineLevel="0" collapsed="false">
      <c r="E32" s="14" t="n">
        <f aca="true">TODAY()-30</f>
        <v>46209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87878"/>
    <pageSetUpPr fitToPage="false"/>
  </sheetPr>
  <dimension ref="A1:J37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72"/>
    <col collapsed="false" customWidth="true" hidden="false" outlineLevel="0" max="2" min="2" style="0" width="20.71"/>
    <col collapsed="false" customWidth="true" hidden="false" outlineLevel="0" max="3" min="3" style="0" width="23.71"/>
    <col collapsed="false" customWidth="true" hidden="false" outlineLevel="0" max="5" min="4" style="0" width="17.71"/>
    <col collapsed="false" customWidth="true" hidden="false" outlineLevel="0" max="6" min="6" style="0" width="15.72"/>
    <col collapsed="false" customWidth="true" hidden="false" outlineLevel="0" max="7" min="7" style="0" width="14.72"/>
    <col collapsed="false" customWidth="true" hidden="false" outlineLevel="0" max="9" min="8" style="0" width="15.72"/>
    <col collapsed="false" customWidth="true" hidden="false" outlineLevel="0" max="10" min="10" style="0" width="32.72"/>
  </cols>
  <sheetData>
    <row r="1" customFormat="false" ht="24" hidden="false" customHeight="true" outlineLevel="0" collapsed="false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customFormat="false" ht="15" hidden="false" customHeight="false" outlineLevel="0" collapsed="false">
      <c r="A2" s="30" t="s">
        <v>328</v>
      </c>
      <c r="B2" s="30" t="s">
        <v>329</v>
      </c>
      <c r="C2" s="30" t="s">
        <v>330</v>
      </c>
      <c r="D2" s="30"/>
      <c r="E2" s="30" t="s">
        <v>331</v>
      </c>
      <c r="F2" s="30" t="s">
        <v>56</v>
      </c>
      <c r="G2" s="31" t="n">
        <v>46203</v>
      </c>
      <c r="H2" s="31" t="n">
        <v>46178</v>
      </c>
      <c r="I2" s="32" t="n">
        <v>-25</v>
      </c>
      <c r="J2" s="30"/>
    </row>
    <row r="3" customFormat="false" ht="15" hidden="false" customHeight="false" outlineLevel="0" collapsed="false">
      <c r="A3" s="30" t="s">
        <v>328</v>
      </c>
      <c r="B3" s="30" t="s">
        <v>329</v>
      </c>
      <c r="C3" s="30" t="s">
        <v>332</v>
      </c>
      <c r="D3" s="30"/>
      <c r="E3" s="30" t="s">
        <v>331</v>
      </c>
      <c r="F3" s="30" t="s">
        <v>56</v>
      </c>
      <c r="G3" s="31" t="n">
        <v>46203</v>
      </c>
      <c r="H3" s="31" t="n">
        <v>46178</v>
      </c>
      <c r="I3" s="32" t="n">
        <v>-25</v>
      </c>
      <c r="J3" s="30"/>
    </row>
    <row r="4" customFormat="false" ht="15" hidden="false" customHeight="false" outlineLevel="0" collapsed="false">
      <c r="A4" s="30" t="s">
        <v>333</v>
      </c>
      <c r="B4" s="30" t="s">
        <v>334</v>
      </c>
      <c r="C4" s="30" t="s">
        <v>335</v>
      </c>
      <c r="D4" s="30"/>
      <c r="E4" s="30" t="s">
        <v>89</v>
      </c>
      <c r="F4" s="30" t="s">
        <v>56</v>
      </c>
      <c r="G4" s="31" t="n">
        <v>46203</v>
      </c>
      <c r="H4" s="31" t="n">
        <v>46178</v>
      </c>
      <c r="I4" s="32" t="n">
        <v>-25</v>
      </c>
      <c r="J4" s="30"/>
    </row>
    <row r="5" customFormat="false" ht="15" hidden="false" customHeight="false" outlineLevel="0" collapsed="false">
      <c r="A5" s="30" t="s">
        <v>336</v>
      </c>
      <c r="B5" s="30" t="s">
        <v>337</v>
      </c>
      <c r="C5" s="30" t="s">
        <v>338</v>
      </c>
      <c r="D5" s="30"/>
      <c r="E5" s="30" t="s">
        <v>89</v>
      </c>
      <c r="F5" s="30" t="s">
        <v>56</v>
      </c>
      <c r="G5" s="31" t="n">
        <v>46203</v>
      </c>
      <c r="H5" s="31" t="n">
        <v>46178</v>
      </c>
      <c r="I5" s="32" t="n">
        <v>-25</v>
      </c>
      <c r="J5" s="30"/>
    </row>
    <row r="6" customFormat="false" ht="15" hidden="false" customHeight="false" outlineLevel="0" collapsed="false">
      <c r="A6" s="30" t="s">
        <v>25</v>
      </c>
      <c r="B6" s="30" t="s">
        <v>339</v>
      </c>
      <c r="C6" s="30" t="s">
        <v>340</v>
      </c>
      <c r="D6" s="30"/>
      <c r="E6" s="30" t="s">
        <v>341</v>
      </c>
      <c r="F6" s="30" t="s">
        <v>29</v>
      </c>
      <c r="G6" s="31" t="n">
        <v>46198</v>
      </c>
      <c r="H6" s="31" t="n">
        <v>46178</v>
      </c>
      <c r="I6" s="32" t="n">
        <v>-20</v>
      </c>
      <c r="J6" s="30"/>
    </row>
    <row r="7" customFormat="false" ht="15" hidden="false" customHeight="false" outlineLevel="0" collapsed="false">
      <c r="A7" s="30" t="s">
        <v>25</v>
      </c>
      <c r="B7" s="30" t="s">
        <v>339</v>
      </c>
      <c r="C7" s="30" t="s">
        <v>342</v>
      </c>
      <c r="D7" s="30"/>
      <c r="E7" s="30" t="s">
        <v>341</v>
      </c>
      <c r="F7" s="30" t="s">
        <v>29</v>
      </c>
      <c r="G7" s="31" t="n">
        <v>46198</v>
      </c>
      <c r="H7" s="31" t="n">
        <v>46178</v>
      </c>
      <c r="I7" s="32" t="n">
        <v>-20</v>
      </c>
      <c r="J7" s="30"/>
    </row>
    <row r="8" customFormat="false" ht="15" hidden="false" customHeight="false" outlineLevel="0" collapsed="false">
      <c r="A8" s="30" t="s">
        <v>25</v>
      </c>
      <c r="B8" s="30" t="s">
        <v>339</v>
      </c>
      <c r="C8" s="30" t="s">
        <v>343</v>
      </c>
      <c r="D8" s="30"/>
      <c r="E8" s="30" t="s">
        <v>341</v>
      </c>
      <c r="F8" s="30" t="s">
        <v>29</v>
      </c>
      <c r="G8" s="31" t="n">
        <v>46198</v>
      </c>
      <c r="H8" s="31" t="n">
        <v>46178</v>
      </c>
      <c r="I8" s="32" t="n">
        <v>-20</v>
      </c>
      <c r="J8" s="30"/>
    </row>
    <row r="9" customFormat="false" ht="15" hidden="false" customHeight="false" outlineLevel="0" collapsed="false">
      <c r="A9" s="30" t="s">
        <v>25</v>
      </c>
      <c r="B9" s="30" t="s">
        <v>339</v>
      </c>
      <c r="C9" s="30" t="s">
        <v>344</v>
      </c>
      <c r="D9" s="30"/>
      <c r="E9" s="30" t="s">
        <v>341</v>
      </c>
      <c r="F9" s="30" t="s">
        <v>29</v>
      </c>
      <c r="G9" s="31" t="n">
        <v>46198</v>
      </c>
      <c r="H9" s="31" t="n">
        <v>46178</v>
      </c>
      <c r="I9" s="32" t="n">
        <v>-20</v>
      </c>
      <c r="J9" s="30"/>
    </row>
    <row r="10" customFormat="false" ht="15" hidden="false" customHeight="false" outlineLevel="0" collapsed="false">
      <c r="A10" s="30" t="s">
        <v>25</v>
      </c>
      <c r="B10" s="30" t="s">
        <v>339</v>
      </c>
      <c r="C10" s="30" t="s">
        <v>345</v>
      </c>
      <c r="D10" s="30"/>
      <c r="E10" s="30" t="s">
        <v>341</v>
      </c>
      <c r="F10" s="30" t="s">
        <v>29</v>
      </c>
      <c r="G10" s="31" t="n">
        <v>46198</v>
      </c>
      <c r="H10" s="31" t="n">
        <v>46178</v>
      </c>
      <c r="I10" s="32" t="n">
        <v>-20</v>
      </c>
      <c r="J10" s="30"/>
    </row>
    <row r="11" customFormat="false" ht="15" hidden="false" customHeight="false" outlineLevel="0" collapsed="false">
      <c r="A11" s="30" t="s">
        <v>25</v>
      </c>
      <c r="B11" s="30" t="s">
        <v>339</v>
      </c>
      <c r="C11" s="30" t="s">
        <v>346</v>
      </c>
      <c r="D11" s="30"/>
      <c r="E11" s="30" t="s">
        <v>341</v>
      </c>
      <c r="F11" s="30" t="s">
        <v>29</v>
      </c>
      <c r="G11" s="31" t="n">
        <v>46198</v>
      </c>
      <c r="H11" s="31" t="n">
        <v>46178</v>
      </c>
      <c r="I11" s="32" t="n">
        <v>-20</v>
      </c>
      <c r="J11" s="30"/>
    </row>
    <row r="12" customFormat="false" ht="15" hidden="false" customHeight="false" outlineLevel="0" collapsed="false">
      <c r="A12" s="30" t="s">
        <v>25</v>
      </c>
      <c r="B12" s="30" t="s">
        <v>339</v>
      </c>
      <c r="C12" s="30" t="s">
        <v>347</v>
      </c>
      <c r="D12" s="30"/>
      <c r="E12" s="30" t="s">
        <v>341</v>
      </c>
      <c r="F12" s="30" t="s">
        <v>29</v>
      </c>
      <c r="G12" s="31" t="n">
        <v>46198</v>
      </c>
      <c r="H12" s="31" t="n">
        <v>46178</v>
      </c>
      <c r="I12" s="32" t="n">
        <v>-20</v>
      </c>
      <c r="J12" s="30"/>
    </row>
    <row r="13" customFormat="false" ht="15" hidden="false" customHeight="false" outlineLevel="0" collapsed="false">
      <c r="A13" s="30" t="s">
        <v>25</v>
      </c>
      <c r="B13" s="30" t="s">
        <v>339</v>
      </c>
      <c r="C13" s="30" t="s">
        <v>348</v>
      </c>
      <c r="D13" s="30"/>
      <c r="E13" s="30" t="s">
        <v>341</v>
      </c>
      <c r="F13" s="30" t="s">
        <v>29</v>
      </c>
      <c r="G13" s="31" t="n">
        <v>46198</v>
      </c>
      <c r="H13" s="31" t="n">
        <v>46178</v>
      </c>
      <c r="I13" s="32" t="n">
        <v>-20</v>
      </c>
      <c r="J13" s="30"/>
    </row>
    <row r="14" customFormat="false" ht="15" hidden="false" customHeight="false" outlineLevel="0" collapsed="false">
      <c r="A14" s="30" t="s">
        <v>25</v>
      </c>
      <c r="B14" s="30" t="s">
        <v>349</v>
      </c>
      <c r="C14" s="30" t="s">
        <v>350</v>
      </c>
      <c r="D14" s="30"/>
      <c r="E14" s="30" t="s">
        <v>341</v>
      </c>
      <c r="F14" s="30" t="s">
        <v>29</v>
      </c>
      <c r="G14" s="31" t="n">
        <v>46198</v>
      </c>
      <c r="H14" s="31" t="n">
        <v>46178</v>
      </c>
      <c r="I14" s="32" t="n">
        <v>-20</v>
      </c>
      <c r="J14" s="30"/>
    </row>
    <row r="15" customFormat="false" ht="15" hidden="false" customHeight="false" outlineLevel="0" collapsed="false">
      <c r="A15" s="30" t="s">
        <v>25</v>
      </c>
      <c r="B15" s="30" t="s">
        <v>349</v>
      </c>
      <c r="C15" s="30" t="s">
        <v>351</v>
      </c>
      <c r="D15" s="30"/>
      <c r="E15" s="30" t="s">
        <v>341</v>
      </c>
      <c r="F15" s="30" t="s">
        <v>29</v>
      </c>
      <c r="G15" s="31" t="n">
        <v>46198</v>
      </c>
      <c r="H15" s="31" t="n">
        <v>46178</v>
      </c>
      <c r="I15" s="32" t="n">
        <v>-20</v>
      </c>
      <c r="J15" s="30"/>
    </row>
    <row r="16" customFormat="false" ht="15" hidden="false" customHeight="false" outlineLevel="0" collapsed="false">
      <c r="A16" s="30" t="s">
        <v>25</v>
      </c>
      <c r="B16" s="30" t="s">
        <v>349</v>
      </c>
      <c r="C16" s="30" t="s">
        <v>352</v>
      </c>
      <c r="D16" s="30"/>
      <c r="E16" s="30" t="s">
        <v>341</v>
      </c>
      <c r="F16" s="30" t="s">
        <v>29</v>
      </c>
      <c r="G16" s="31" t="n">
        <v>46198</v>
      </c>
      <c r="H16" s="31" t="n">
        <v>46178</v>
      </c>
      <c r="I16" s="32" t="n">
        <v>-20</v>
      </c>
      <c r="J16" s="30"/>
    </row>
    <row r="17" customFormat="false" ht="15" hidden="false" customHeight="false" outlineLevel="0" collapsed="false">
      <c r="A17" s="30" t="s">
        <v>51</v>
      </c>
      <c r="B17" s="30" t="s">
        <v>353</v>
      </c>
      <c r="C17" s="30" t="s">
        <v>354</v>
      </c>
      <c r="D17" s="30"/>
      <c r="E17" s="30" t="s">
        <v>355</v>
      </c>
      <c r="F17" s="30" t="s">
        <v>29</v>
      </c>
      <c r="G17" s="31" t="n">
        <v>46198</v>
      </c>
      <c r="H17" s="31" t="n">
        <v>46178</v>
      </c>
      <c r="I17" s="32" t="n">
        <v>-20</v>
      </c>
      <c r="J17" s="30"/>
    </row>
    <row r="18" customFormat="false" ht="15" hidden="false" customHeight="false" outlineLevel="0" collapsed="false">
      <c r="A18" s="30" t="s">
        <v>51</v>
      </c>
      <c r="B18" s="30" t="s">
        <v>353</v>
      </c>
      <c r="C18" s="30" t="s">
        <v>356</v>
      </c>
      <c r="D18" s="30"/>
      <c r="E18" s="30" t="s">
        <v>355</v>
      </c>
      <c r="F18" s="30" t="s">
        <v>29</v>
      </c>
      <c r="G18" s="31" t="n">
        <v>46198</v>
      </c>
      <c r="H18" s="31" t="n">
        <v>46178</v>
      </c>
      <c r="I18" s="32" t="n">
        <v>-20</v>
      </c>
      <c r="J18" s="30"/>
    </row>
    <row r="19" customFormat="false" ht="15" hidden="false" customHeight="false" outlineLevel="0" collapsed="false">
      <c r="A19" s="30" t="s">
        <v>51</v>
      </c>
      <c r="B19" s="30" t="s">
        <v>353</v>
      </c>
      <c r="C19" s="30" t="s">
        <v>357</v>
      </c>
      <c r="D19" s="30"/>
      <c r="E19" s="30" t="s">
        <v>355</v>
      </c>
      <c r="F19" s="30" t="s">
        <v>29</v>
      </c>
      <c r="G19" s="31" t="n">
        <v>46198</v>
      </c>
      <c r="H19" s="31" t="n">
        <v>46178</v>
      </c>
      <c r="I19" s="32" t="n">
        <v>-20</v>
      </c>
      <c r="J19" s="30"/>
    </row>
    <row r="20" customFormat="false" ht="15" hidden="false" customHeight="false" outlineLevel="0" collapsed="false">
      <c r="A20" s="30" t="s">
        <v>51</v>
      </c>
      <c r="B20" s="30" t="s">
        <v>353</v>
      </c>
      <c r="C20" s="30" t="s">
        <v>358</v>
      </c>
      <c r="D20" s="30"/>
      <c r="E20" s="30" t="s">
        <v>355</v>
      </c>
      <c r="F20" s="30" t="s">
        <v>29</v>
      </c>
      <c r="G20" s="31" t="n">
        <v>46198</v>
      </c>
      <c r="H20" s="31" t="n">
        <v>46178</v>
      </c>
      <c r="I20" s="32" t="n">
        <v>-20</v>
      </c>
      <c r="J20" s="30"/>
    </row>
    <row r="21" customFormat="false" ht="15" hidden="false" customHeight="false" outlineLevel="0" collapsed="false">
      <c r="A21" s="30" t="s">
        <v>51</v>
      </c>
      <c r="B21" s="30" t="s">
        <v>353</v>
      </c>
      <c r="C21" s="30" t="s">
        <v>359</v>
      </c>
      <c r="D21" s="30"/>
      <c r="E21" s="30" t="s">
        <v>355</v>
      </c>
      <c r="F21" s="30" t="s">
        <v>29</v>
      </c>
      <c r="G21" s="31" t="n">
        <v>46198</v>
      </c>
      <c r="H21" s="31" t="n">
        <v>46178</v>
      </c>
      <c r="I21" s="32" t="n">
        <v>-20</v>
      </c>
      <c r="J21" s="30"/>
    </row>
    <row r="22" customFormat="false" ht="15" hidden="false" customHeight="false" outlineLevel="0" collapsed="false">
      <c r="A22" s="30" t="s">
        <v>328</v>
      </c>
      <c r="B22" s="30" t="s">
        <v>360</v>
      </c>
      <c r="C22" s="30" t="s">
        <v>361</v>
      </c>
      <c r="D22" s="30"/>
      <c r="E22" s="30" t="s">
        <v>331</v>
      </c>
      <c r="F22" s="30" t="s">
        <v>66</v>
      </c>
      <c r="G22" s="31" t="n">
        <v>46197</v>
      </c>
      <c r="H22" s="31" t="n">
        <v>46178</v>
      </c>
      <c r="I22" s="32" t="n">
        <v>-19</v>
      </c>
      <c r="J22" s="30"/>
    </row>
    <row r="23" customFormat="false" ht="15" hidden="false" customHeight="false" outlineLevel="0" collapsed="false">
      <c r="A23" s="30" t="s">
        <v>362</v>
      </c>
      <c r="B23" s="30" t="s">
        <v>363</v>
      </c>
      <c r="C23" s="30" t="s">
        <v>364</v>
      </c>
      <c r="D23" s="30"/>
      <c r="E23" s="30" t="s">
        <v>331</v>
      </c>
      <c r="F23" s="30" t="s">
        <v>107</v>
      </c>
      <c r="G23" s="31" t="n">
        <v>46197</v>
      </c>
      <c r="H23" s="31" t="n">
        <v>46178</v>
      </c>
      <c r="I23" s="32" t="n">
        <v>-19</v>
      </c>
      <c r="J23" s="30"/>
    </row>
    <row r="24" customFormat="false" ht="15" hidden="false" customHeight="false" outlineLevel="0" collapsed="false">
      <c r="A24" s="30" t="s">
        <v>362</v>
      </c>
      <c r="B24" s="30" t="s">
        <v>365</v>
      </c>
      <c r="C24" s="30" t="s">
        <v>366</v>
      </c>
      <c r="D24" s="30"/>
      <c r="E24" s="30" t="s">
        <v>331</v>
      </c>
      <c r="F24" s="30" t="s">
        <v>107</v>
      </c>
      <c r="G24" s="31" t="n">
        <v>46197</v>
      </c>
      <c r="H24" s="31" t="n">
        <v>46178</v>
      </c>
      <c r="I24" s="32" t="n">
        <v>-19</v>
      </c>
      <c r="J24" s="30"/>
    </row>
    <row r="25" customFormat="false" ht="15" hidden="false" customHeight="false" outlineLevel="0" collapsed="false">
      <c r="A25" s="30" t="s">
        <v>362</v>
      </c>
      <c r="B25" s="30" t="s">
        <v>365</v>
      </c>
      <c r="C25" s="30" t="s">
        <v>367</v>
      </c>
      <c r="D25" s="30"/>
      <c r="E25" s="30" t="s">
        <v>331</v>
      </c>
      <c r="F25" s="30" t="s">
        <v>107</v>
      </c>
      <c r="G25" s="31" t="n">
        <v>46197</v>
      </c>
      <c r="H25" s="31" t="n">
        <v>46178</v>
      </c>
      <c r="I25" s="32" t="n">
        <v>-19</v>
      </c>
      <c r="J25" s="30"/>
    </row>
    <row r="26" customFormat="false" ht="15" hidden="false" customHeight="false" outlineLevel="0" collapsed="false">
      <c r="A26" s="30" t="s">
        <v>362</v>
      </c>
      <c r="B26" s="30" t="s">
        <v>365</v>
      </c>
      <c r="C26" s="30" t="s">
        <v>368</v>
      </c>
      <c r="D26" s="30"/>
      <c r="E26" s="30" t="s">
        <v>331</v>
      </c>
      <c r="F26" s="30" t="s">
        <v>107</v>
      </c>
      <c r="G26" s="31" t="n">
        <v>46197</v>
      </c>
      <c r="H26" s="31" t="n">
        <v>46178</v>
      </c>
      <c r="I26" s="32" t="n">
        <v>-19</v>
      </c>
      <c r="J26" s="30"/>
    </row>
    <row r="27" customFormat="false" ht="15" hidden="false" customHeight="false" outlineLevel="0" collapsed="false">
      <c r="A27" s="30" t="s">
        <v>369</v>
      </c>
      <c r="B27" s="30" t="s">
        <v>370</v>
      </c>
      <c r="C27" s="30" t="s">
        <v>371</v>
      </c>
      <c r="D27" s="30"/>
      <c r="E27" s="30" t="s">
        <v>372</v>
      </c>
      <c r="F27" s="30" t="s">
        <v>107</v>
      </c>
      <c r="G27" s="31" t="n">
        <v>46197</v>
      </c>
      <c r="H27" s="31" t="n">
        <v>46178</v>
      </c>
      <c r="I27" s="32" t="n">
        <v>-19</v>
      </c>
      <c r="J27" s="30"/>
    </row>
    <row r="28" customFormat="false" ht="15" hidden="false" customHeight="false" outlineLevel="0" collapsed="false">
      <c r="A28" s="30" t="s">
        <v>369</v>
      </c>
      <c r="B28" s="30" t="s">
        <v>370</v>
      </c>
      <c r="C28" s="30" t="s">
        <v>373</v>
      </c>
      <c r="D28" s="30"/>
      <c r="E28" s="30" t="s">
        <v>372</v>
      </c>
      <c r="F28" s="30" t="s">
        <v>107</v>
      </c>
      <c r="G28" s="31" t="n">
        <v>46197</v>
      </c>
      <c r="H28" s="31" t="n">
        <v>46178</v>
      </c>
      <c r="I28" s="32" t="n">
        <v>-19</v>
      </c>
      <c r="J28" s="30"/>
    </row>
    <row r="29" customFormat="false" ht="15" hidden="false" customHeight="false" outlineLevel="0" collapsed="false">
      <c r="A29" s="30" t="s">
        <v>369</v>
      </c>
      <c r="B29" s="30" t="s">
        <v>370</v>
      </c>
      <c r="C29" s="30" t="s">
        <v>374</v>
      </c>
      <c r="D29" s="30"/>
      <c r="E29" s="30" t="s">
        <v>372</v>
      </c>
      <c r="F29" s="30" t="s">
        <v>107</v>
      </c>
      <c r="G29" s="31" t="n">
        <v>46197</v>
      </c>
      <c r="H29" s="31" t="n">
        <v>46178</v>
      </c>
      <c r="I29" s="32" t="n">
        <v>-19</v>
      </c>
      <c r="J29" s="30"/>
    </row>
    <row r="30" customFormat="false" ht="15" hidden="false" customHeight="false" outlineLevel="0" collapsed="false">
      <c r="A30" s="30" t="s">
        <v>369</v>
      </c>
      <c r="B30" s="30" t="s">
        <v>370</v>
      </c>
      <c r="C30" s="30" t="s">
        <v>375</v>
      </c>
      <c r="D30" s="30"/>
      <c r="E30" s="30" t="s">
        <v>372</v>
      </c>
      <c r="F30" s="30" t="s">
        <v>107</v>
      </c>
      <c r="G30" s="31" t="n">
        <v>46197</v>
      </c>
      <c r="H30" s="31" t="n">
        <v>46178</v>
      </c>
      <c r="I30" s="32" t="n">
        <v>-19</v>
      </c>
      <c r="J30" s="30"/>
    </row>
    <row r="31" customFormat="false" ht="15" hidden="false" customHeight="false" outlineLevel="0" collapsed="false">
      <c r="A31" s="30" t="s">
        <v>369</v>
      </c>
      <c r="B31" s="30" t="s">
        <v>370</v>
      </c>
      <c r="C31" s="30" t="s">
        <v>376</v>
      </c>
      <c r="D31" s="30"/>
      <c r="E31" s="30" t="s">
        <v>372</v>
      </c>
      <c r="F31" s="30" t="s">
        <v>107</v>
      </c>
      <c r="G31" s="31" t="n">
        <v>46197</v>
      </c>
      <c r="H31" s="31" t="n">
        <v>46178</v>
      </c>
      <c r="I31" s="32" t="n">
        <v>-19</v>
      </c>
      <c r="J31" s="30"/>
    </row>
    <row r="32" customFormat="false" ht="15" hidden="false" customHeight="false" outlineLevel="0" collapsed="false">
      <c r="A32" s="30" t="s">
        <v>369</v>
      </c>
      <c r="B32" s="30" t="s">
        <v>370</v>
      </c>
      <c r="C32" s="30" t="s">
        <v>377</v>
      </c>
      <c r="D32" s="30"/>
      <c r="E32" s="30" t="s">
        <v>372</v>
      </c>
      <c r="F32" s="30" t="s">
        <v>107</v>
      </c>
      <c r="G32" s="31" t="n">
        <v>46197</v>
      </c>
      <c r="H32" s="31" t="n">
        <v>46178</v>
      </c>
      <c r="I32" s="32" t="n">
        <v>-19</v>
      </c>
      <c r="J32" s="30"/>
    </row>
    <row r="33" customFormat="false" ht="15" hidden="false" customHeight="false" outlineLevel="0" collapsed="false">
      <c r="A33" s="30" t="s">
        <v>369</v>
      </c>
      <c r="B33" s="30" t="s">
        <v>370</v>
      </c>
      <c r="C33" s="30" t="s">
        <v>378</v>
      </c>
      <c r="D33" s="30"/>
      <c r="E33" s="30" t="s">
        <v>372</v>
      </c>
      <c r="F33" s="30" t="s">
        <v>107</v>
      </c>
      <c r="G33" s="31" t="n">
        <v>46197</v>
      </c>
      <c r="H33" s="31" t="n">
        <v>46178</v>
      </c>
      <c r="I33" s="32" t="n">
        <v>-19</v>
      </c>
      <c r="J33" s="30"/>
    </row>
    <row r="34" customFormat="false" ht="15" hidden="false" customHeight="false" outlineLevel="0" collapsed="false">
      <c r="A34" s="30" t="s">
        <v>369</v>
      </c>
      <c r="B34" s="30" t="s">
        <v>370</v>
      </c>
      <c r="C34" s="30" t="s">
        <v>379</v>
      </c>
      <c r="D34" s="30"/>
      <c r="E34" s="30" t="s">
        <v>372</v>
      </c>
      <c r="F34" s="30" t="s">
        <v>107</v>
      </c>
      <c r="G34" s="31" t="n">
        <v>46197</v>
      </c>
      <c r="H34" s="31" t="n">
        <v>46178</v>
      </c>
      <c r="I34" s="32" t="n">
        <v>-19</v>
      </c>
      <c r="J34" s="30"/>
    </row>
    <row r="35" customFormat="false" ht="15" hidden="false" customHeight="false" outlineLevel="0" collapsed="false">
      <c r="A35" s="30" t="s">
        <v>369</v>
      </c>
      <c r="B35" s="30" t="s">
        <v>370</v>
      </c>
      <c r="C35" s="30" t="s">
        <v>380</v>
      </c>
      <c r="D35" s="30"/>
      <c r="E35" s="30" t="s">
        <v>372</v>
      </c>
      <c r="F35" s="30" t="s">
        <v>107</v>
      </c>
      <c r="G35" s="31" t="n">
        <v>46197</v>
      </c>
      <c r="H35" s="31" t="n">
        <v>46178</v>
      </c>
      <c r="I35" s="32" t="n">
        <v>-19</v>
      </c>
      <c r="J35" s="30"/>
    </row>
    <row r="36" customFormat="false" ht="15" hidden="false" customHeight="false" outlineLevel="0" collapsed="false">
      <c r="A36" s="30" t="s">
        <v>328</v>
      </c>
      <c r="B36" s="30" t="s">
        <v>329</v>
      </c>
      <c r="C36" s="30" t="s">
        <v>381</v>
      </c>
      <c r="D36" s="30"/>
      <c r="E36" s="30" t="s">
        <v>331</v>
      </c>
      <c r="F36" s="30" t="s">
        <v>56</v>
      </c>
      <c r="G36" s="31" t="n">
        <v>46195</v>
      </c>
      <c r="H36" s="31" t="n">
        <v>46178</v>
      </c>
      <c r="I36" s="32" t="n">
        <v>-17</v>
      </c>
      <c r="J36" s="30"/>
    </row>
    <row r="37" customFormat="false" ht="15" hidden="false" customHeight="false" outlineLevel="0" collapsed="false">
      <c r="A37" s="30" t="s">
        <v>328</v>
      </c>
      <c r="B37" s="30" t="s">
        <v>329</v>
      </c>
      <c r="C37" s="30" t="s">
        <v>382</v>
      </c>
      <c r="D37" s="30"/>
      <c r="E37" s="30" t="s">
        <v>331</v>
      </c>
      <c r="F37" s="30" t="s">
        <v>56</v>
      </c>
      <c r="G37" s="31" t="n">
        <v>46195</v>
      </c>
      <c r="H37" s="31" t="n">
        <v>46178</v>
      </c>
      <c r="I37" s="32" t="n">
        <v>-17</v>
      </c>
      <c r="J37" s="30"/>
    </row>
    <row r="38" customFormat="false" ht="15" hidden="false" customHeight="false" outlineLevel="0" collapsed="false">
      <c r="A38" s="30" t="s">
        <v>328</v>
      </c>
      <c r="B38" s="30" t="s">
        <v>329</v>
      </c>
      <c r="C38" s="30" t="s">
        <v>383</v>
      </c>
      <c r="D38" s="30"/>
      <c r="E38" s="30" t="s">
        <v>331</v>
      </c>
      <c r="F38" s="30" t="s">
        <v>56</v>
      </c>
      <c r="G38" s="31" t="n">
        <v>46195</v>
      </c>
      <c r="H38" s="31" t="n">
        <v>46178</v>
      </c>
      <c r="I38" s="32" t="n">
        <v>-17</v>
      </c>
      <c r="J38" s="30"/>
    </row>
    <row r="39" customFormat="false" ht="15" hidden="false" customHeight="false" outlineLevel="0" collapsed="false">
      <c r="A39" s="30" t="s">
        <v>328</v>
      </c>
      <c r="B39" s="30" t="s">
        <v>329</v>
      </c>
      <c r="C39" s="30" t="s">
        <v>384</v>
      </c>
      <c r="D39" s="30"/>
      <c r="E39" s="30" t="s">
        <v>331</v>
      </c>
      <c r="F39" s="30" t="s">
        <v>56</v>
      </c>
      <c r="G39" s="31" t="n">
        <v>46195</v>
      </c>
      <c r="H39" s="31" t="n">
        <v>46178</v>
      </c>
      <c r="I39" s="32" t="n">
        <v>-17</v>
      </c>
      <c r="J39" s="30"/>
    </row>
    <row r="40" customFormat="false" ht="15" hidden="false" customHeight="false" outlineLevel="0" collapsed="false">
      <c r="A40" s="30" t="s">
        <v>328</v>
      </c>
      <c r="B40" s="30" t="s">
        <v>329</v>
      </c>
      <c r="C40" s="30" t="s">
        <v>385</v>
      </c>
      <c r="D40" s="30"/>
      <c r="E40" s="30" t="s">
        <v>331</v>
      </c>
      <c r="F40" s="30" t="s">
        <v>56</v>
      </c>
      <c r="G40" s="31" t="n">
        <v>46195</v>
      </c>
      <c r="H40" s="31" t="n">
        <v>46178</v>
      </c>
      <c r="I40" s="32" t="n">
        <v>-17</v>
      </c>
      <c r="J40" s="30"/>
    </row>
    <row r="41" customFormat="false" ht="15" hidden="false" customHeight="false" outlineLevel="0" collapsed="false">
      <c r="A41" s="30" t="s">
        <v>328</v>
      </c>
      <c r="B41" s="30" t="s">
        <v>329</v>
      </c>
      <c r="C41" s="30" t="s">
        <v>386</v>
      </c>
      <c r="D41" s="30"/>
      <c r="E41" s="30" t="s">
        <v>331</v>
      </c>
      <c r="F41" s="30" t="s">
        <v>56</v>
      </c>
      <c r="G41" s="31" t="n">
        <v>46195</v>
      </c>
      <c r="H41" s="31" t="n">
        <v>46178</v>
      </c>
      <c r="I41" s="32" t="n">
        <v>-17</v>
      </c>
      <c r="J41" s="30"/>
    </row>
    <row r="42" customFormat="false" ht="15" hidden="false" customHeight="false" outlineLevel="0" collapsed="false">
      <c r="A42" s="30" t="s">
        <v>328</v>
      </c>
      <c r="B42" s="30" t="s">
        <v>329</v>
      </c>
      <c r="C42" s="30" t="s">
        <v>387</v>
      </c>
      <c r="D42" s="30"/>
      <c r="E42" s="30" t="s">
        <v>331</v>
      </c>
      <c r="F42" s="30" t="s">
        <v>56</v>
      </c>
      <c r="G42" s="31" t="n">
        <v>46195</v>
      </c>
      <c r="H42" s="31" t="n">
        <v>46178</v>
      </c>
      <c r="I42" s="32" t="n">
        <v>-17</v>
      </c>
      <c r="J42" s="30"/>
    </row>
    <row r="43" customFormat="false" ht="15" hidden="false" customHeight="false" outlineLevel="0" collapsed="false">
      <c r="A43" s="30" t="s">
        <v>328</v>
      </c>
      <c r="B43" s="30" t="s">
        <v>329</v>
      </c>
      <c r="C43" s="30" t="s">
        <v>388</v>
      </c>
      <c r="D43" s="30"/>
      <c r="E43" s="30" t="s">
        <v>331</v>
      </c>
      <c r="F43" s="30" t="s">
        <v>56</v>
      </c>
      <c r="G43" s="31" t="n">
        <v>46195</v>
      </c>
      <c r="H43" s="31" t="n">
        <v>46178</v>
      </c>
      <c r="I43" s="32" t="n">
        <v>-17</v>
      </c>
      <c r="J43" s="30"/>
    </row>
    <row r="44" customFormat="false" ht="15" hidden="false" customHeight="false" outlineLevel="0" collapsed="false">
      <c r="A44" s="30" t="s">
        <v>328</v>
      </c>
      <c r="B44" s="30" t="s">
        <v>329</v>
      </c>
      <c r="C44" s="30" t="s">
        <v>389</v>
      </c>
      <c r="D44" s="30"/>
      <c r="E44" s="30" t="s">
        <v>331</v>
      </c>
      <c r="F44" s="30" t="s">
        <v>56</v>
      </c>
      <c r="G44" s="31" t="n">
        <v>46195</v>
      </c>
      <c r="H44" s="31" t="n">
        <v>46178</v>
      </c>
      <c r="I44" s="32" t="n">
        <v>-17</v>
      </c>
      <c r="J44" s="30"/>
    </row>
    <row r="45" customFormat="false" ht="15" hidden="false" customHeight="false" outlineLevel="0" collapsed="false">
      <c r="A45" s="30" t="s">
        <v>328</v>
      </c>
      <c r="B45" s="30" t="s">
        <v>329</v>
      </c>
      <c r="C45" s="30" t="s">
        <v>390</v>
      </c>
      <c r="D45" s="30"/>
      <c r="E45" s="30" t="s">
        <v>331</v>
      </c>
      <c r="F45" s="30" t="s">
        <v>56</v>
      </c>
      <c r="G45" s="31" t="n">
        <v>46195</v>
      </c>
      <c r="H45" s="31" t="n">
        <v>46178</v>
      </c>
      <c r="I45" s="32" t="n">
        <v>-17</v>
      </c>
      <c r="J45" s="30"/>
    </row>
    <row r="46" customFormat="false" ht="15" hidden="false" customHeight="false" outlineLevel="0" collapsed="false">
      <c r="A46" s="30" t="s">
        <v>328</v>
      </c>
      <c r="B46" s="30" t="s">
        <v>329</v>
      </c>
      <c r="C46" s="30" t="s">
        <v>391</v>
      </c>
      <c r="D46" s="30"/>
      <c r="E46" s="30" t="s">
        <v>331</v>
      </c>
      <c r="F46" s="30" t="s">
        <v>56</v>
      </c>
      <c r="G46" s="31" t="n">
        <v>46195</v>
      </c>
      <c r="H46" s="31" t="n">
        <v>46178</v>
      </c>
      <c r="I46" s="32" t="n">
        <v>-17</v>
      </c>
      <c r="J46" s="30"/>
    </row>
    <row r="47" customFormat="false" ht="15" hidden="false" customHeight="false" outlineLevel="0" collapsed="false">
      <c r="A47" s="30" t="s">
        <v>328</v>
      </c>
      <c r="B47" s="30" t="s">
        <v>329</v>
      </c>
      <c r="C47" s="30" t="s">
        <v>392</v>
      </c>
      <c r="D47" s="30"/>
      <c r="E47" s="30" t="s">
        <v>331</v>
      </c>
      <c r="F47" s="30" t="s">
        <v>56</v>
      </c>
      <c r="G47" s="31" t="n">
        <v>46195</v>
      </c>
      <c r="H47" s="31" t="n">
        <v>46178</v>
      </c>
      <c r="I47" s="32" t="n">
        <v>-17</v>
      </c>
      <c r="J47" s="30"/>
    </row>
    <row r="48" customFormat="false" ht="15" hidden="false" customHeight="false" outlineLevel="0" collapsed="false">
      <c r="A48" s="30" t="s">
        <v>328</v>
      </c>
      <c r="B48" s="30" t="s">
        <v>329</v>
      </c>
      <c r="C48" s="30" t="s">
        <v>393</v>
      </c>
      <c r="D48" s="30"/>
      <c r="E48" s="30" t="s">
        <v>331</v>
      </c>
      <c r="F48" s="30" t="s">
        <v>56</v>
      </c>
      <c r="G48" s="31" t="n">
        <v>46195</v>
      </c>
      <c r="H48" s="31" t="n">
        <v>46178</v>
      </c>
      <c r="I48" s="32" t="n">
        <v>-17</v>
      </c>
      <c r="J48" s="30"/>
    </row>
    <row r="49" customFormat="false" ht="15" hidden="false" customHeight="false" outlineLevel="0" collapsed="false">
      <c r="A49" s="30" t="s">
        <v>25</v>
      </c>
      <c r="B49" s="30" t="s">
        <v>394</v>
      </c>
      <c r="C49" s="30" t="s">
        <v>395</v>
      </c>
      <c r="D49" s="30"/>
      <c r="E49" s="30" t="s">
        <v>396</v>
      </c>
      <c r="F49" s="30" t="s">
        <v>150</v>
      </c>
      <c r="G49" s="31" t="n">
        <v>46191</v>
      </c>
      <c r="H49" s="31" t="n">
        <v>46178</v>
      </c>
      <c r="I49" s="32" t="n">
        <v>-13</v>
      </c>
      <c r="J49" s="30" t="s">
        <v>397</v>
      </c>
    </row>
    <row r="50" customFormat="false" ht="15" hidden="false" customHeight="false" outlineLevel="0" collapsed="false">
      <c r="A50" s="30" t="s">
        <v>25</v>
      </c>
      <c r="B50" s="30" t="s">
        <v>394</v>
      </c>
      <c r="C50" s="30" t="s">
        <v>398</v>
      </c>
      <c r="D50" s="30"/>
      <c r="E50" s="30" t="s">
        <v>396</v>
      </c>
      <c r="F50" s="30" t="s">
        <v>150</v>
      </c>
      <c r="G50" s="31" t="n">
        <v>46191</v>
      </c>
      <c r="H50" s="31" t="n">
        <v>46178</v>
      </c>
      <c r="I50" s="32" t="n">
        <v>-13</v>
      </c>
      <c r="J50" s="30" t="s">
        <v>397</v>
      </c>
    </row>
    <row r="51" customFormat="false" ht="15" hidden="false" customHeight="false" outlineLevel="0" collapsed="false">
      <c r="A51" s="30" t="s">
        <v>25</v>
      </c>
      <c r="B51" s="30" t="s">
        <v>394</v>
      </c>
      <c r="C51" s="30" t="s">
        <v>399</v>
      </c>
      <c r="D51" s="30"/>
      <c r="E51" s="30" t="s">
        <v>396</v>
      </c>
      <c r="F51" s="30" t="s">
        <v>150</v>
      </c>
      <c r="G51" s="31" t="n">
        <v>46191</v>
      </c>
      <c r="H51" s="31" t="n">
        <v>46178</v>
      </c>
      <c r="I51" s="32" t="n">
        <v>-13</v>
      </c>
      <c r="J51" s="30" t="s">
        <v>397</v>
      </c>
    </row>
    <row r="52" customFormat="false" ht="15" hidden="false" customHeight="false" outlineLevel="0" collapsed="false">
      <c r="A52" s="30" t="s">
        <v>25</v>
      </c>
      <c r="B52" s="30" t="s">
        <v>394</v>
      </c>
      <c r="C52" s="30" t="s">
        <v>400</v>
      </c>
      <c r="D52" s="30"/>
      <c r="E52" s="30" t="s">
        <v>396</v>
      </c>
      <c r="F52" s="30" t="s">
        <v>150</v>
      </c>
      <c r="G52" s="31" t="n">
        <v>46191</v>
      </c>
      <c r="H52" s="31" t="n">
        <v>46178</v>
      </c>
      <c r="I52" s="32" t="n">
        <v>-13</v>
      </c>
      <c r="J52" s="30" t="s">
        <v>397</v>
      </c>
    </row>
    <row r="53" customFormat="false" ht="15" hidden="false" customHeight="false" outlineLevel="0" collapsed="false">
      <c r="A53" s="30" t="s">
        <v>25</v>
      </c>
      <c r="B53" s="30" t="s">
        <v>394</v>
      </c>
      <c r="C53" s="30" t="s">
        <v>401</v>
      </c>
      <c r="D53" s="30"/>
      <c r="E53" s="30" t="s">
        <v>396</v>
      </c>
      <c r="F53" s="30" t="s">
        <v>150</v>
      </c>
      <c r="G53" s="31" t="n">
        <v>46191</v>
      </c>
      <c r="H53" s="31" t="n">
        <v>46178</v>
      </c>
      <c r="I53" s="32" t="n">
        <v>-13</v>
      </c>
      <c r="J53" s="30" t="s">
        <v>397</v>
      </c>
    </row>
    <row r="54" customFormat="false" ht="15" hidden="false" customHeight="false" outlineLevel="0" collapsed="false">
      <c r="A54" s="30" t="s">
        <v>25</v>
      </c>
      <c r="B54" s="30" t="s">
        <v>394</v>
      </c>
      <c r="C54" s="30" t="s">
        <v>402</v>
      </c>
      <c r="D54" s="30"/>
      <c r="E54" s="30" t="s">
        <v>396</v>
      </c>
      <c r="F54" s="30" t="s">
        <v>150</v>
      </c>
      <c r="G54" s="31" t="n">
        <v>46191</v>
      </c>
      <c r="H54" s="31" t="n">
        <v>46178</v>
      </c>
      <c r="I54" s="32" t="n">
        <v>-13</v>
      </c>
      <c r="J54" s="30" t="s">
        <v>397</v>
      </c>
    </row>
    <row r="55" customFormat="false" ht="15" hidden="false" customHeight="false" outlineLevel="0" collapsed="false">
      <c r="A55" s="30" t="s">
        <v>25</v>
      </c>
      <c r="B55" s="30" t="s">
        <v>394</v>
      </c>
      <c r="C55" s="30" t="s">
        <v>403</v>
      </c>
      <c r="D55" s="30"/>
      <c r="E55" s="30" t="s">
        <v>396</v>
      </c>
      <c r="F55" s="30" t="s">
        <v>150</v>
      </c>
      <c r="G55" s="31" t="n">
        <v>46191</v>
      </c>
      <c r="H55" s="31" t="n">
        <v>46178</v>
      </c>
      <c r="I55" s="32" t="n">
        <v>-13</v>
      </c>
      <c r="J55" s="30" t="s">
        <v>397</v>
      </c>
    </row>
    <row r="56" customFormat="false" ht="15" hidden="false" customHeight="false" outlineLevel="0" collapsed="false">
      <c r="A56" s="30" t="s">
        <v>25</v>
      </c>
      <c r="B56" s="30" t="s">
        <v>394</v>
      </c>
      <c r="C56" s="30" t="s">
        <v>404</v>
      </c>
      <c r="D56" s="30"/>
      <c r="E56" s="30" t="s">
        <v>396</v>
      </c>
      <c r="F56" s="30" t="s">
        <v>150</v>
      </c>
      <c r="G56" s="31" t="n">
        <v>46191</v>
      </c>
      <c r="H56" s="31" t="n">
        <v>46178</v>
      </c>
      <c r="I56" s="32" t="n">
        <v>-13</v>
      </c>
      <c r="J56" s="30" t="s">
        <v>397</v>
      </c>
    </row>
    <row r="57" customFormat="false" ht="15" hidden="false" customHeight="false" outlineLevel="0" collapsed="false">
      <c r="A57" s="30" t="s">
        <v>25</v>
      </c>
      <c r="B57" s="30" t="s">
        <v>394</v>
      </c>
      <c r="C57" s="30" t="s">
        <v>405</v>
      </c>
      <c r="D57" s="30"/>
      <c r="E57" s="30" t="s">
        <v>396</v>
      </c>
      <c r="F57" s="30" t="s">
        <v>150</v>
      </c>
      <c r="G57" s="31" t="n">
        <v>46191</v>
      </c>
      <c r="H57" s="31" t="n">
        <v>46178</v>
      </c>
      <c r="I57" s="32" t="n">
        <v>-13</v>
      </c>
      <c r="J57" s="30" t="s">
        <v>397</v>
      </c>
    </row>
    <row r="58" customFormat="false" ht="15" hidden="false" customHeight="false" outlineLevel="0" collapsed="false">
      <c r="A58" s="30" t="s">
        <v>25</v>
      </c>
      <c r="B58" s="30" t="s">
        <v>394</v>
      </c>
      <c r="C58" s="30" t="s">
        <v>406</v>
      </c>
      <c r="D58" s="30"/>
      <c r="E58" s="30" t="s">
        <v>396</v>
      </c>
      <c r="F58" s="30" t="s">
        <v>150</v>
      </c>
      <c r="G58" s="31" t="n">
        <v>46191</v>
      </c>
      <c r="H58" s="31" t="n">
        <v>46178</v>
      </c>
      <c r="I58" s="32" t="n">
        <v>-13</v>
      </c>
      <c r="J58" s="30" t="s">
        <v>397</v>
      </c>
    </row>
    <row r="59" customFormat="false" ht="15" hidden="false" customHeight="false" outlineLevel="0" collapsed="false">
      <c r="A59" s="30" t="s">
        <v>25</v>
      </c>
      <c r="B59" s="30" t="s">
        <v>394</v>
      </c>
      <c r="C59" s="30" t="s">
        <v>407</v>
      </c>
      <c r="D59" s="30"/>
      <c r="E59" s="30" t="s">
        <v>396</v>
      </c>
      <c r="F59" s="30" t="s">
        <v>150</v>
      </c>
      <c r="G59" s="31" t="n">
        <v>46191</v>
      </c>
      <c r="H59" s="31" t="n">
        <v>46178</v>
      </c>
      <c r="I59" s="32" t="n">
        <v>-13</v>
      </c>
      <c r="J59" s="30" t="s">
        <v>397</v>
      </c>
    </row>
    <row r="60" customFormat="false" ht="15" hidden="false" customHeight="false" outlineLevel="0" collapsed="false">
      <c r="A60" s="30" t="s">
        <v>25</v>
      </c>
      <c r="B60" s="30" t="s">
        <v>394</v>
      </c>
      <c r="C60" s="30" t="s">
        <v>408</v>
      </c>
      <c r="D60" s="30"/>
      <c r="E60" s="30" t="s">
        <v>396</v>
      </c>
      <c r="F60" s="30" t="s">
        <v>150</v>
      </c>
      <c r="G60" s="31" t="n">
        <v>46191</v>
      </c>
      <c r="H60" s="31" t="n">
        <v>46178</v>
      </c>
      <c r="I60" s="32" t="n">
        <v>-13</v>
      </c>
      <c r="J60" s="30" t="s">
        <v>397</v>
      </c>
    </row>
    <row r="61" customFormat="false" ht="15" hidden="false" customHeight="false" outlineLevel="0" collapsed="false">
      <c r="A61" s="30" t="s">
        <v>25</v>
      </c>
      <c r="B61" s="30" t="s">
        <v>409</v>
      </c>
      <c r="C61" s="30" t="s">
        <v>410</v>
      </c>
      <c r="D61" s="30"/>
      <c r="E61" s="30" t="s">
        <v>396</v>
      </c>
      <c r="F61" s="30" t="s">
        <v>150</v>
      </c>
      <c r="G61" s="31" t="n">
        <v>46191</v>
      </c>
      <c r="H61" s="31" t="n">
        <v>46178</v>
      </c>
      <c r="I61" s="32" t="n">
        <v>-13</v>
      </c>
      <c r="J61" s="30" t="s">
        <v>397</v>
      </c>
    </row>
    <row r="62" customFormat="false" ht="15" hidden="false" customHeight="false" outlineLevel="0" collapsed="false">
      <c r="A62" s="30" t="s">
        <v>25</v>
      </c>
      <c r="B62" s="30" t="s">
        <v>409</v>
      </c>
      <c r="C62" s="30" t="s">
        <v>411</v>
      </c>
      <c r="D62" s="30"/>
      <c r="E62" s="30" t="s">
        <v>396</v>
      </c>
      <c r="F62" s="30" t="s">
        <v>150</v>
      </c>
      <c r="G62" s="31" t="n">
        <v>46191</v>
      </c>
      <c r="H62" s="31" t="n">
        <v>46178</v>
      </c>
      <c r="I62" s="32" t="n">
        <v>-13</v>
      </c>
      <c r="J62" s="30" t="s">
        <v>397</v>
      </c>
    </row>
    <row r="63" customFormat="false" ht="15" hidden="false" customHeight="false" outlineLevel="0" collapsed="false">
      <c r="A63" s="30" t="s">
        <v>25</v>
      </c>
      <c r="B63" s="30" t="s">
        <v>409</v>
      </c>
      <c r="C63" s="30" t="s">
        <v>412</v>
      </c>
      <c r="D63" s="30"/>
      <c r="E63" s="30" t="s">
        <v>396</v>
      </c>
      <c r="F63" s="30" t="s">
        <v>150</v>
      </c>
      <c r="G63" s="31" t="n">
        <v>46191</v>
      </c>
      <c r="H63" s="31" t="n">
        <v>46178</v>
      </c>
      <c r="I63" s="32" t="n">
        <v>-13</v>
      </c>
      <c r="J63" s="30" t="s">
        <v>397</v>
      </c>
    </row>
    <row r="64" customFormat="false" ht="15" hidden="false" customHeight="false" outlineLevel="0" collapsed="false">
      <c r="A64" s="30" t="s">
        <v>25</v>
      </c>
      <c r="B64" s="30" t="s">
        <v>26</v>
      </c>
      <c r="C64" s="30" t="s">
        <v>413</v>
      </c>
      <c r="D64" s="30"/>
      <c r="E64" s="30" t="s">
        <v>396</v>
      </c>
      <c r="F64" s="30" t="s">
        <v>150</v>
      </c>
      <c r="G64" s="31" t="n">
        <v>46191</v>
      </c>
      <c r="H64" s="31" t="n">
        <v>46178</v>
      </c>
      <c r="I64" s="32" t="n">
        <v>-13</v>
      </c>
      <c r="J64" s="30" t="s">
        <v>397</v>
      </c>
    </row>
    <row r="65" customFormat="false" ht="15" hidden="false" customHeight="false" outlineLevel="0" collapsed="false">
      <c r="A65" s="30" t="s">
        <v>25</v>
      </c>
      <c r="B65" s="30" t="s">
        <v>26</v>
      </c>
      <c r="C65" s="30" t="s">
        <v>414</v>
      </c>
      <c r="D65" s="30"/>
      <c r="E65" s="30" t="s">
        <v>396</v>
      </c>
      <c r="F65" s="30" t="s">
        <v>150</v>
      </c>
      <c r="G65" s="31" t="n">
        <v>46191</v>
      </c>
      <c r="H65" s="31" t="n">
        <v>46178</v>
      </c>
      <c r="I65" s="32" t="n">
        <v>-13</v>
      </c>
      <c r="J65" s="30" t="s">
        <v>397</v>
      </c>
    </row>
    <row r="66" customFormat="false" ht="15" hidden="false" customHeight="false" outlineLevel="0" collapsed="false">
      <c r="A66" s="30" t="s">
        <v>25</v>
      </c>
      <c r="B66" s="30" t="s">
        <v>26</v>
      </c>
      <c r="C66" s="30" t="s">
        <v>415</v>
      </c>
      <c r="D66" s="30"/>
      <c r="E66" s="30" t="s">
        <v>396</v>
      </c>
      <c r="F66" s="30" t="s">
        <v>150</v>
      </c>
      <c r="G66" s="31" t="n">
        <v>46191</v>
      </c>
      <c r="H66" s="31" t="n">
        <v>46178</v>
      </c>
      <c r="I66" s="32" t="n">
        <v>-13</v>
      </c>
      <c r="J66" s="30" t="s">
        <v>397</v>
      </c>
    </row>
    <row r="67" customFormat="false" ht="15" hidden="false" customHeight="false" outlineLevel="0" collapsed="false">
      <c r="A67" s="30" t="s">
        <v>25</v>
      </c>
      <c r="B67" s="30" t="s">
        <v>26</v>
      </c>
      <c r="C67" s="30" t="s">
        <v>416</v>
      </c>
      <c r="D67" s="30"/>
      <c r="E67" s="30" t="s">
        <v>396</v>
      </c>
      <c r="F67" s="30" t="s">
        <v>150</v>
      </c>
      <c r="G67" s="31" t="n">
        <v>46191</v>
      </c>
      <c r="H67" s="31" t="n">
        <v>46178</v>
      </c>
      <c r="I67" s="32" t="n">
        <v>-13</v>
      </c>
      <c r="J67" s="30" t="s">
        <v>397</v>
      </c>
    </row>
    <row r="68" customFormat="false" ht="15" hidden="false" customHeight="false" outlineLevel="0" collapsed="false">
      <c r="A68" s="30" t="s">
        <v>25</v>
      </c>
      <c r="B68" s="30" t="s">
        <v>26</v>
      </c>
      <c r="C68" s="30" t="s">
        <v>417</v>
      </c>
      <c r="D68" s="30"/>
      <c r="E68" s="30" t="s">
        <v>396</v>
      </c>
      <c r="F68" s="30" t="s">
        <v>150</v>
      </c>
      <c r="G68" s="31" t="n">
        <v>46191</v>
      </c>
      <c r="H68" s="31" t="n">
        <v>46178</v>
      </c>
      <c r="I68" s="32" t="n">
        <v>-13</v>
      </c>
      <c r="J68" s="30" t="s">
        <v>397</v>
      </c>
    </row>
    <row r="69" customFormat="false" ht="15" hidden="false" customHeight="false" outlineLevel="0" collapsed="false">
      <c r="A69" s="30" t="s">
        <v>25</v>
      </c>
      <c r="B69" s="30" t="s">
        <v>26</v>
      </c>
      <c r="C69" s="30" t="s">
        <v>418</v>
      </c>
      <c r="D69" s="30"/>
      <c r="E69" s="30" t="s">
        <v>396</v>
      </c>
      <c r="F69" s="30" t="s">
        <v>150</v>
      </c>
      <c r="G69" s="31" t="n">
        <v>46191</v>
      </c>
      <c r="H69" s="31" t="n">
        <v>46178</v>
      </c>
      <c r="I69" s="32" t="n">
        <v>-13</v>
      </c>
      <c r="J69" s="30" t="s">
        <v>397</v>
      </c>
    </row>
    <row r="70" customFormat="false" ht="15" hidden="false" customHeight="false" outlineLevel="0" collapsed="false">
      <c r="A70" s="30" t="s">
        <v>25</v>
      </c>
      <c r="B70" s="30" t="s">
        <v>26</v>
      </c>
      <c r="C70" s="30" t="s">
        <v>419</v>
      </c>
      <c r="D70" s="30"/>
      <c r="E70" s="30" t="s">
        <v>396</v>
      </c>
      <c r="F70" s="30" t="s">
        <v>150</v>
      </c>
      <c r="G70" s="31" t="n">
        <v>46191</v>
      </c>
      <c r="H70" s="31" t="n">
        <v>46178</v>
      </c>
      <c r="I70" s="32" t="n">
        <v>-13</v>
      </c>
      <c r="J70" s="30" t="s">
        <v>397</v>
      </c>
    </row>
    <row r="71" customFormat="false" ht="15" hidden="false" customHeight="false" outlineLevel="0" collapsed="false">
      <c r="A71" s="30" t="s">
        <v>25</v>
      </c>
      <c r="B71" s="30" t="s">
        <v>26</v>
      </c>
      <c r="C71" s="30" t="s">
        <v>420</v>
      </c>
      <c r="D71" s="30"/>
      <c r="E71" s="30" t="s">
        <v>396</v>
      </c>
      <c r="F71" s="30" t="s">
        <v>150</v>
      </c>
      <c r="G71" s="31" t="n">
        <v>46191</v>
      </c>
      <c r="H71" s="31" t="n">
        <v>46178</v>
      </c>
      <c r="I71" s="32" t="n">
        <v>-13</v>
      </c>
      <c r="J71" s="30" t="s">
        <v>397</v>
      </c>
    </row>
    <row r="72" customFormat="false" ht="15" hidden="false" customHeight="false" outlineLevel="0" collapsed="false">
      <c r="A72" s="30" t="s">
        <v>328</v>
      </c>
      <c r="B72" s="30" t="s">
        <v>421</v>
      </c>
      <c r="C72" s="30" t="s">
        <v>422</v>
      </c>
      <c r="D72" s="30"/>
      <c r="E72" s="30" t="s">
        <v>423</v>
      </c>
      <c r="F72" s="30" t="s">
        <v>150</v>
      </c>
      <c r="G72" s="31" t="n">
        <v>46191</v>
      </c>
      <c r="H72" s="31" t="n">
        <v>46178</v>
      </c>
      <c r="I72" s="32" t="n">
        <v>-13</v>
      </c>
      <c r="J72" s="30"/>
    </row>
    <row r="73" customFormat="false" ht="15" hidden="false" customHeight="false" outlineLevel="0" collapsed="false">
      <c r="A73" s="30" t="s">
        <v>328</v>
      </c>
      <c r="B73" s="30" t="s">
        <v>421</v>
      </c>
      <c r="C73" s="30" t="s">
        <v>424</v>
      </c>
      <c r="D73" s="30"/>
      <c r="E73" s="30" t="s">
        <v>423</v>
      </c>
      <c r="F73" s="30" t="s">
        <v>150</v>
      </c>
      <c r="G73" s="31" t="n">
        <v>46191</v>
      </c>
      <c r="H73" s="31" t="n">
        <v>46178</v>
      </c>
      <c r="I73" s="32" t="n">
        <v>-13</v>
      </c>
      <c r="J73" s="30"/>
    </row>
    <row r="74" customFormat="false" ht="15" hidden="false" customHeight="false" outlineLevel="0" collapsed="false">
      <c r="A74" s="30" t="s">
        <v>336</v>
      </c>
      <c r="B74" s="30" t="s">
        <v>425</v>
      </c>
      <c r="C74" s="30" t="s">
        <v>426</v>
      </c>
      <c r="D74" s="30"/>
      <c r="E74" s="30" t="s">
        <v>89</v>
      </c>
      <c r="F74" s="30" t="s">
        <v>150</v>
      </c>
      <c r="G74" s="31" t="n">
        <v>46191</v>
      </c>
      <c r="H74" s="31" t="n">
        <v>46178</v>
      </c>
      <c r="I74" s="32" t="n">
        <v>-13</v>
      </c>
      <c r="J74" s="30"/>
    </row>
    <row r="75" customFormat="false" ht="15" hidden="false" customHeight="false" outlineLevel="0" collapsed="false">
      <c r="A75" s="30" t="s">
        <v>336</v>
      </c>
      <c r="B75" s="30" t="s">
        <v>425</v>
      </c>
      <c r="C75" s="30" t="s">
        <v>427</v>
      </c>
      <c r="D75" s="30"/>
      <c r="E75" s="30" t="s">
        <v>89</v>
      </c>
      <c r="F75" s="30" t="s">
        <v>150</v>
      </c>
      <c r="G75" s="31" t="n">
        <v>46191</v>
      </c>
      <c r="H75" s="31" t="n">
        <v>46178</v>
      </c>
      <c r="I75" s="32" t="n">
        <v>-13</v>
      </c>
      <c r="J75" s="30"/>
    </row>
    <row r="76" customFormat="false" ht="15" hidden="false" customHeight="false" outlineLevel="0" collapsed="false">
      <c r="A76" s="30" t="s">
        <v>336</v>
      </c>
      <c r="B76" s="30" t="s">
        <v>425</v>
      </c>
      <c r="C76" s="30" t="s">
        <v>428</v>
      </c>
      <c r="D76" s="30"/>
      <c r="E76" s="30" t="s">
        <v>89</v>
      </c>
      <c r="F76" s="30" t="s">
        <v>150</v>
      </c>
      <c r="G76" s="31" t="n">
        <v>46191</v>
      </c>
      <c r="H76" s="31" t="n">
        <v>46178</v>
      </c>
      <c r="I76" s="32" t="n">
        <v>-13</v>
      </c>
      <c r="J76" s="30"/>
    </row>
    <row r="77" customFormat="false" ht="15" hidden="false" customHeight="false" outlineLevel="0" collapsed="false">
      <c r="A77" s="30" t="s">
        <v>336</v>
      </c>
      <c r="B77" s="30" t="s">
        <v>425</v>
      </c>
      <c r="C77" s="30" t="s">
        <v>429</v>
      </c>
      <c r="D77" s="30"/>
      <c r="E77" s="30" t="s">
        <v>89</v>
      </c>
      <c r="F77" s="30" t="s">
        <v>150</v>
      </c>
      <c r="G77" s="31" t="n">
        <v>46191</v>
      </c>
      <c r="H77" s="31" t="n">
        <v>46178</v>
      </c>
      <c r="I77" s="32" t="n">
        <v>-13</v>
      </c>
      <c r="J77" s="30"/>
    </row>
    <row r="78" customFormat="false" ht="15" hidden="false" customHeight="false" outlineLevel="0" collapsed="false">
      <c r="A78" s="30" t="s">
        <v>430</v>
      </c>
      <c r="B78" s="30" t="s">
        <v>431</v>
      </c>
      <c r="C78" s="30" t="s">
        <v>432</v>
      </c>
      <c r="D78" s="30"/>
      <c r="E78" s="30" t="s">
        <v>433</v>
      </c>
      <c r="F78" s="30" t="s">
        <v>29</v>
      </c>
      <c r="G78" s="31" t="n">
        <v>46188</v>
      </c>
      <c r="H78" s="31" t="n">
        <v>46178</v>
      </c>
      <c r="I78" s="32" t="n">
        <v>-10</v>
      </c>
      <c r="J78" s="30"/>
    </row>
    <row r="79" customFormat="false" ht="15" hidden="false" customHeight="false" outlineLevel="0" collapsed="false">
      <c r="A79" s="30" t="s">
        <v>430</v>
      </c>
      <c r="B79" s="30" t="s">
        <v>431</v>
      </c>
      <c r="C79" s="30" t="s">
        <v>434</v>
      </c>
      <c r="D79" s="30"/>
      <c r="E79" s="30" t="s">
        <v>433</v>
      </c>
      <c r="F79" s="30" t="s">
        <v>29</v>
      </c>
      <c r="G79" s="31" t="n">
        <v>46188</v>
      </c>
      <c r="H79" s="31" t="n">
        <v>46178</v>
      </c>
      <c r="I79" s="32" t="n">
        <v>-10</v>
      </c>
      <c r="J79" s="30"/>
    </row>
    <row r="80" customFormat="false" ht="15" hidden="false" customHeight="false" outlineLevel="0" collapsed="false">
      <c r="A80" s="30" t="s">
        <v>430</v>
      </c>
      <c r="B80" s="30" t="s">
        <v>431</v>
      </c>
      <c r="C80" s="30" t="s">
        <v>435</v>
      </c>
      <c r="D80" s="30"/>
      <c r="E80" s="30" t="s">
        <v>436</v>
      </c>
      <c r="F80" s="30" t="s">
        <v>29</v>
      </c>
      <c r="G80" s="31" t="n">
        <v>46188</v>
      </c>
      <c r="H80" s="31" t="n">
        <v>46178</v>
      </c>
      <c r="I80" s="32" t="n">
        <v>-10</v>
      </c>
      <c r="J80" s="30"/>
    </row>
    <row r="81" customFormat="false" ht="15" hidden="false" customHeight="false" outlineLevel="0" collapsed="false">
      <c r="A81" s="30" t="s">
        <v>430</v>
      </c>
      <c r="B81" s="30" t="s">
        <v>431</v>
      </c>
      <c r="C81" s="30" t="s">
        <v>437</v>
      </c>
      <c r="D81" s="30"/>
      <c r="E81" s="30" t="s">
        <v>436</v>
      </c>
      <c r="F81" s="30" t="s">
        <v>29</v>
      </c>
      <c r="G81" s="31" t="n">
        <v>46188</v>
      </c>
      <c r="H81" s="31" t="n">
        <v>46178</v>
      </c>
      <c r="I81" s="32" t="n">
        <v>-10</v>
      </c>
      <c r="J81" s="30"/>
    </row>
    <row r="82" customFormat="false" ht="15" hidden="false" customHeight="false" outlineLevel="0" collapsed="false">
      <c r="A82" s="30" t="s">
        <v>430</v>
      </c>
      <c r="B82" s="30" t="s">
        <v>431</v>
      </c>
      <c r="C82" s="30" t="s">
        <v>438</v>
      </c>
      <c r="D82" s="30"/>
      <c r="E82" s="30" t="s">
        <v>436</v>
      </c>
      <c r="F82" s="30" t="s">
        <v>29</v>
      </c>
      <c r="G82" s="31" t="n">
        <v>46188</v>
      </c>
      <c r="H82" s="31" t="n">
        <v>46178</v>
      </c>
      <c r="I82" s="32" t="n">
        <v>-10</v>
      </c>
      <c r="J82" s="30"/>
    </row>
    <row r="83" customFormat="false" ht="15" hidden="false" customHeight="false" outlineLevel="0" collapsed="false">
      <c r="A83" s="30" t="s">
        <v>430</v>
      </c>
      <c r="B83" s="30" t="s">
        <v>431</v>
      </c>
      <c r="C83" s="30" t="s">
        <v>439</v>
      </c>
      <c r="D83" s="30"/>
      <c r="E83" s="30" t="s">
        <v>436</v>
      </c>
      <c r="F83" s="30" t="s">
        <v>29</v>
      </c>
      <c r="G83" s="31" t="n">
        <v>46188</v>
      </c>
      <c r="H83" s="31" t="n">
        <v>46178</v>
      </c>
      <c r="I83" s="32" t="n">
        <v>-10</v>
      </c>
      <c r="J83" s="30"/>
    </row>
    <row r="84" customFormat="false" ht="15" hidden="false" customHeight="false" outlineLevel="0" collapsed="false">
      <c r="A84" s="30" t="s">
        <v>430</v>
      </c>
      <c r="B84" s="30" t="s">
        <v>431</v>
      </c>
      <c r="C84" s="30" t="s">
        <v>440</v>
      </c>
      <c r="D84" s="30"/>
      <c r="E84" s="30" t="s">
        <v>28</v>
      </c>
      <c r="F84" s="30" t="s">
        <v>29</v>
      </c>
      <c r="G84" s="31" t="n">
        <v>46188</v>
      </c>
      <c r="H84" s="31" t="n">
        <v>46178</v>
      </c>
      <c r="I84" s="32" t="n">
        <v>-10</v>
      </c>
      <c r="J84" s="30"/>
    </row>
    <row r="85" customFormat="false" ht="15" hidden="false" customHeight="false" outlineLevel="0" collapsed="false">
      <c r="A85" s="30" t="s">
        <v>430</v>
      </c>
      <c r="B85" s="30" t="s">
        <v>431</v>
      </c>
      <c r="C85" s="30" t="s">
        <v>441</v>
      </c>
      <c r="D85" s="30"/>
      <c r="E85" s="30" t="s">
        <v>28</v>
      </c>
      <c r="F85" s="30" t="s">
        <v>29</v>
      </c>
      <c r="G85" s="31" t="n">
        <v>46188</v>
      </c>
      <c r="H85" s="31" t="n">
        <v>46178</v>
      </c>
      <c r="I85" s="32" t="n">
        <v>-10</v>
      </c>
      <c r="J85" s="30"/>
    </row>
    <row r="86" customFormat="false" ht="15" hidden="false" customHeight="false" outlineLevel="0" collapsed="false">
      <c r="A86" s="30" t="s">
        <v>430</v>
      </c>
      <c r="B86" s="30" t="s">
        <v>431</v>
      </c>
      <c r="C86" s="30" t="s">
        <v>442</v>
      </c>
      <c r="D86" s="30"/>
      <c r="E86" s="30" t="s">
        <v>28</v>
      </c>
      <c r="F86" s="30" t="s">
        <v>29</v>
      </c>
      <c r="G86" s="31" t="n">
        <v>46188</v>
      </c>
      <c r="H86" s="31" t="n">
        <v>46178</v>
      </c>
      <c r="I86" s="32" t="n">
        <v>-10</v>
      </c>
      <c r="J86" s="30"/>
    </row>
    <row r="87" customFormat="false" ht="15" hidden="false" customHeight="false" outlineLevel="0" collapsed="false">
      <c r="A87" s="30" t="s">
        <v>430</v>
      </c>
      <c r="B87" s="30" t="s">
        <v>431</v>
      </c>
      <c r="C87" s="30" t="s">
        <v>443</v>
      </c>
      <c r="D87" s="30"/>
      <c r="E87" s="30" t="s">
        <v>28</v>
      </c>
      <c r="F87" s="30" t="s">
        <v>29</v>
      </c>
      <c r="G87" s="31" t="n">
        <v>46188</v>
      </c>
      <c r="H87" s="31" t="n">
        <v>46178</v>
      </c>
      <c r="I87" s="32" t="n">
        <v>-10</v>
      </c>
      <c r="J87" s="30"/>
    </row>
    <row r="88" customFormat="false" ht="15" hidden="false" customHeight="false" outlineLevel="0" collapsed="false">
      <c r="A88" s="30" t="s">
        <v>430</v>
      </c>
      <c r="B88" s="30" t="s">
        <v>431</v>
      </c>
      <c r="C88" s="30" t="s">
        <v>444</v>
      </c>
      <c r="D88" s="30"/>
      <c r="E88" s="30" t="s">
        <v>28</v>
      </c>
      <c r="F88" s="30" t="s">
        <v>29</v>
      </c>
      <c r="G88" s="31" t="n">
        <v>46188</v>
      </c>
      <c r="H88" s="31" t="n">
        <v>46178</v>
      </c>
      <c r="I88" s="32" t="n">
        <v>-10</v>
      </c>
      <c r="J88" s="30"/>
    </row>
    <row r="89" customFormat="false" ht="15" hidden="false" customHeight="false" outlineLevel="0" collapsed="false">
      <c r="A89" s="30" t="s">
        <v>430</v>
      </c>
      <c r="B89" s="30" t="s">
        <v>431</v>
      </c>
      <c r="C89" s="30" t="s">
        <v>445</v>
      </c>
      <c r="D89" s="30"/>
      <c r="E89" s="30" t="s">
        <v>28</v>
      </c>
      <c r="F89" s="30" t="s">
        <v>29</v>
      </c>
      <c r="G89" s="31" t="n">
        <v>46188</v>
      </c>
      <c r="H89" s="31" t="n">
        <v>46178</v>
      </c>
      <c r="I89" s="32" t="n">
        <v>-10</v>
      </c>
      <c r="J89" s="30"/>
    </row>
    <row r="90" customFormat="false" ht="15" hidden="false" customHeight="false" outlineLevel="0" collapsed="false">
      <c r="A90" s="30" t="s">
        <v>430</v>
      </c>
      <c r="B90" s="30" t="s">
        <v>431</v>
      </c>
      <c r="C90" s="30" t="s">
        <v>446</v>
      </c>
      <c r="D90" s="30"/>
      <c r="E90" s="30" t="s">
        <v>28</v>
      </c>
      <c r="F90" s="30" t="s">
        <v>29</v>
      </c>
      <c r="G90" s="31" t="n">
        <v>46188</v>
      </c>
      <c r="H90" s="31" t="n">
        <v>46178</v>
      </c>
      <c r="I90" s="32" t="n">
        <v>-10</v>
      </c>
      <c r="J90" s="30"/>
    </row>
    <row r="91" customFormat="false" ht="15" hidden="false" customHeight="false" outlineLevel="0" collapsed="false">
      <c r="A91" s="30" t="s">
        <v>430</v>
      </c>
      <c r="B91" s="30" t="s">
        <v>431</v>
      </c>
      <c r="C91" s="30" t="s">
        <v>447</v>
      </c>
      <c r="D91" s="30"/>
      <c r="E91" s="30" t="s">
        <v>28</v>
      </c>
      <c r="F91" s="30" t="s">
        <v>29</v>
      </c>
      <c r="G91" s="31" t="n">
        <v>46188</v>
      </c>
      <c r="H91" s="31" t="n">
        <v>46178</v>
      </c>
      <c r="I91" s="32" t="n">
        <v>-10</v>
      </c>
      <c r="J91" s="30"/>
    </row>
    <row r="92" customFormat="false" ht="15" hidden="false" customHeight="false" outlineLevel="0" collapsed="false">
      <c r="A92" s="30" t="s">
        <v>430</v>
      </c>
      <c r="B92" s="30" t="s">
        <v>431</v>
      </c>
      <c r="C92" s="30" t="s">
        <v>448</v>
      </c>
      <c r="D92" s="30"/>
      <c r="E92" s="30" t="s">
        <v>28</v>
      </c>
      <c r="F92" s="30" t="s">
        <v>29</v>
      </c>
      <c r="G92" s="31" t="n">
        <v>46188</v>
      </c>
      <c r="H92" s="31" t="n">
        <v>46178</v>
      </c>
      <c r="I92" s="32" t="n">
        <v>-10</v>
      </c>
      <c r="J92" s="30"/>
    </row>
    <row r="93" customFormat="false" ht="15" hidden="false" customHeight="false" outlineLevel="0" collapsed="false">
      <c r="A93" s="30" t="s">
        <v>430</v>
      </c>
      <c r="B93" s="30" t="s">
        <v>431</v>
      </c>
      <c r="C93" s="30" t="s">
        <v>449</v>
      </c>
      <c r="D93" s="30"/>
      <c r="E93" s="30" t="s">
        <v>28</v>
      </c>
      <c r="F93" s="30" t="s">
        <v>29</v>
      </c>
      <c r="G93" s="31" t="n">
        <v>46188</v>
      </c>
      <c r="H93" s="31" t="n">
        <v>46178</v>
      </c>
      <c r="I93" s="32" t="n">
        <v>-10</v>
      </c>
      <c r="J93" s="30"/>
    </row>
    <row r="94" customFormat="false" ht="15" hidden="false" customHeight="false" outlineLevel="0" collapsed="false">
      <c r="A94" s="30" t="s">
        <v>430</v>
      </c>
      <c r="B94" s="30" t="s">
        <v>431</v>
      </c>
      <c r="C94" s="30" t="s">
        <v>450</v>
      </c>
      <c r="D94" s="30"/>
      <c r="E94" s="30" t="s">
        <v>451</v>
      </c>
      <c r="F94" s="30" t="s">
        <v>29</v>
      </c>
      <c r="G94" s="31" t="n">
        <v>46188</v>
      </c>
      <c r="H94" s="31" t="n">
        <v>46178</v>
      </c>
      <c r="I94" s="32" t="n">
        <v>-10</v>
      </c>
      <c r="J94" s="30"/>
    </row>
    <row r="95" customFormat="false" ht="15" hidden="false" customHeight="false" outlineLevel="0" collapsed="false">
      <c r="A95" s="30" t="s">
        <v>430</v>
      </c>
      <c r="B95" s="30" t="s">
        <v>431</v>
      </c>
      <c r="C95" s="30" t="s">
        <v>452</v>
      </c>
      <c r="D95" s="30"/>
      <c r="E95" s="30" t="s">
        <v>451</v>
      </c>
      <c r="F95" s="30" t="s">
        <v>29</v>
      </c>
      <c r="G95" s="31" t="n">
        <v>46188</v>
      </c>
      <c r="H95" s="31" t="n">
        <v>46178</v>
      </c>
      <c r="I95" s="32" t="n">
        <v>-10</v>
      </c>
      <c r="J95" s="30"/>
    </row>
    <row r="96" customFormat="false" ht="15" hidden="false" customHeight="false" outlineLevel="0" collapsed="false">
      <c r="A96" s="30" t="s">
        <v>430</v>
      </c>
      <c r="B96" s="30" t="s">
        <v>431</v>
      </c>
      <c r="C96" s="30" t="s">
        <v>453</v>
      </c>
      <c r="D96" s="30"/>
      <c r="E96" s="30" t="s">
        <v>451</v>
      </c>
      <c r="F96" s="30" t="s">
        <v>29</v>
      </c>
      <c r="G96" s="31" t="n">
        <v>46188</v>
      </c>
      <c r="H96" s="31" t="n">
        <v>46178</v>
      </c>
      <c r="I96" s="32" t="n">
        <v>-10</v>
      </c>
      <c r="J96" s="30"/>
    </row>
    <row r="97" customFormat="false" ht="15" hidden="false" customHeight="false" outlineLevel="0" collapsed="false">
      <c r="A97" s="30" t="s">
        <v>430</v>
      </c>
      <c r="B97" s="30" t="s">
        <v>431</v>
      </c>
      <c r="C97" s="30" t="s">
        <v>454</v>
      </c>
      <c r="D97" s="30"/>
      <c r="E97" s="30" t="s">
        <v>451</v>
      </c>
      <c r="F97" s="30" t="s">
        <v>29</v>
      </c>
      <c r="G97" s="31" t="n">
        <v>46188</v>
      </c>
      <c r="H97" s="31" t="n">
        <v>46178</v>
      </c>
      <c r="I97" s="32" t="n">
        <v>-10</v>
      </c>
      <c r="J97" s="30"/>
    </row>
    <row r="98" customFormat="false" ht="15" hidden="false" customHeight="false" outlineLevel="0" collapsed="false">
      <c r="A98" s="30" t="s">
        <v>430</v>
      </c>
      <c r="B98" s="30" t="s">
        <v>431</v>
      </c>
      <c r="C98" s="30" t="s">
        <v>455</v>
      </c>
      <c r="D98" s="30"/>
      <c r="E98" s="30" t="s">
        <v>451</v>
      </c>
      <c r="F98" s="30" t="s">
        <v>29</v>
      </c>
      <c r="G98" s="31" t="n">
        <v>46188</v>
      </c>
      <c r="H98" s="31" t="n">
        <v>46178</v>
      </c>
      <c r="I98" s="32" t="n">
        <v>-10</v>
      </c>
      <c r="J98" s="30"/>
    </row>
    <row r="99" customFormat="false" ht="15" hidden="false" customHeight="false" outlineLevel="0" collapsed="false">
      <c r="A99" s="30" t="s">
        <v>430</v>
      </c>
      <c r="B99" s="30" t="s">
        <v>431</v>
      </c>
      <c r="C99" s="30" t="s">
        <v>456</v>
      </c>
      <c r="D99" s="30"/>
      <c r="E99" s="30" t="s">
        <v>451</v>
      </c>
      <c r="F99" s="30" t="s">
        <v>29</v>
      </c>
      <c r="G99" s="31" t="n">
        <v>46188</v>
      </c>
      <c r="H99" s="31" t="n">
        <v>46178</v>
      </c>
      <c r="I99" s="32" t="n">
        <v>-10</v>
      </c>
      <c r="J99" s="30"/>
    </row>
    <row r="100" customFormat="false" ht="15" hidden="false" customHeight="false" outlineLevel="0" collapsed="false">
      <c r="A100" s="30" t="s">
        <v>430</v>
      </c>
      <c r="B100" s="30" t="s">
        <v>431</v>
      </c>
      <c r="C100" s="30" t="s">
        <v>457</v>
      </c>
      <c r="D100" s="30"/>
      <c r="E100" s="30" t="s">
        <v>451</v>
      </c>
      <c r="F100" s="30" t="s">
        <v>29</v>
      </c>
      <c r="G100" s="31" t="n">
        <v>46188</v>
      </c>
      <c r="H100" s="31" t="n">
        <v>46178</v>
      </c>
      <c r="I100" s="32" t="n">
        <v>-10</v>
      </c>
      <c r="J100" s="30"/>
    </row>
    <row r="101" customFormat="false" ht="15" hidden="false" customHeight="false" outlineLevel="0" collapsed="false">
      <c r="A101" s="30" t="s">
        <v>430</v>
      </c>
      <c r="B101" s="30" t="s">
        <v>431</v>
      </c>
      <c r="C101" s="30" t="s">
        <v>458</v>
      </c>
      <c r="D101" s="30"/>
      <c r="E101" s="30" t="s">
        <v>451</v>
      </c>
      <c r="F101" s="30" t="s">
        <v>29</v>
      </c>
      <c r="G101" s="31" t="n">
        <v>46188</v>
      </c>
      <c r="H101" s="31" t="n">
        <v>46178</v>
      </c>
      <c r="I101" s="32" t="n">
        <v>-10</v>
      </c>
      <c r="J101" s="30"/>
    </row>
    <row r="102" customFormat="false" ht="15" hidden="false" customHeight="false" outlineLevel="0" collapsed="false">
      <c r="A102" s="30" t="s">
        <v>430</v>
      </c>
      <c r="B102" s="30" t="s">
        <v>431</v>
      </c>
      <c r="C102" s="30" t="s">
        <v>459</v>
      </c>
      <c r="D102" s="30"/>
      <c r="E102" s="30" t="s">
        <v>451</v>
      </c>
      <c r="F102" s="30" t="s">
        <v>29</v>
      </c>
      <c r="G102" s="31" t="n">
        <v>46188</v>
      </c>
      <c r="H102" s="31" t="n">
        <v>46178</v>
      </c>
      <c r="I102" s="32" t="n">
        <v>-10</v>
      </c>
      <c r="J102" s="30"/>
    </row>
    <row r="103" customFormat="false" ht="15" hidden="false" customHeight="false" outlineLevel="0" collapsed="false">
      <c r="A103" s="30" t="s">
        <v>430</v>
      </c>
      <c r="B103" s="30" t="s">
        <v>431</v>
      </c>
      <c r="C103" s="30" t="s">
        <v>460</v>
      </c>
      <c r="D103" s="30"/>
      <c r="E103" s="30" t="s">
        <v>451</v>
      </c>
      <c r="F103" s="30" t="s">
        <v>29</v>
      </c>
      <c r="G103" s="31" t="n">
        <v>46188</v>
      </c>
      <c r="H103" s="31" t="n">
        <v>46178</v>
      </c>
      <c r="I103" s="32" t="n">
        <v>-10</v>
      </c>
      <c r="J103" s="30"/>
    </row>
    <row r="104" customFormat="false" ht="15" hidden="false" customHeight="false" outlineLevel="0" collapsed="false">
      <c r="A104" s="30" t="s">
        <v>430</v>
      </c>
      <c r="B104" s="30" t="s">
        <v>431</v>
      </c>
      <c r="C104" s="30" t="s">
        <v>461</v>
      </c>
      <c r="D104" s="30"/>
      <c r="E104" s="30" t="s">
        <v>451</v>
      </c>
      <c r="F104" s="30" t="s">
        <v>29</v>
      </c>
      <c r="G104" s="31" t="n">
        <v>46188</v>
      </c>
      <c r="H104" s="31" t="n">
        <v>46178</v>
      </c>
      <c r="I104" s="32" t="n">
        <v>-10</v>
      </c>
      <c r="J104" s="30"/>
    </row>
    <row r="105" customFormat="false" ht="15" hidden="false" customHeight="false" outlineLevel="0" collapsed="false">
      <c r="A105" s="30" t="s">
        <v>430</v>
      </c>
      <c r="B105" s="30" t="s">
        <v>431</v>
      </c>
      <c r="C105" s="30" t="s">
        <v>462</v>
      </c>
      <c r="D105" s="30"/>
      <c r="E105" s="30" t="s">
        <v>451</v>
      </c>
      <c r="F105" s="30" t="s">
        <v>29</v>
      </c>
      <c r="G105" s="31" t="n">
        <v>46188</v>
      </c>
      <c r="H105" s="31" t="n">
        <v>46178</v>
      </c>
      <c r="I105" s="32" t="n">
        <v>-10</v>
      </c>
      <c r="J105" s="30"/>
    </row>
    <row r="106" customFormat="false" ht="15" hidden="false" customHeight="false" outlineLevel="0" collapsed="false">
      <c r="A106" s="30" t="s">
        <v>430</v>
      </c>
      <c r="B106" s="30" t="s">
        <v>431</v>
      </c>
      <c r="C106" s="30" t="s">
        <v>463</v>
      </c>
      <c r="D106" s="30"/>
      <c r="E106" s="30" t="s">
        <v>451</v>
      </c>
      <c r="F106" s="30" t="s">
        <v>29</v>
      </c>
      <c r="G106" s="31" t="n">
        <v>46188</v>
      </c>
      <c r="H106" s="31" t="n">
        <v>46178</v>
      </c>
      <c r="I106" s="32" t="n">
        <v>-10</v>
      </c>
      <c r="J106" s="30"/>
    </row>
    <row r="107" customFormat="false" ht="15" hidden="false" customHeight="false" outlineLevel="0" collapsed="false">
      <c r="A107" s="30" t="s">
        <v>430</v>
      </c>
      <c r="B107" s="30" t="s">
        <v>431</v>
      </c>
      <c r="C107" s="30" t="s">
        <v>464</v>
      </c>
      <c r="D107" s="30"/>
      <c r="E107" s="30" t="s">
        <v>451</v>
      </c>
      <c r="F107" s="30" t="s">
        <v>29</v>
      </c>
      <c r="G107" s="31" t="n">
        <v>46188</v>
      </c>
      <c r="H107" s="31" t="n">
        <v>46178</v>
      </c>
      <c r="I107" s="32" t="n">
        <v>-10</v>
      </c>
      <c r="J107" s="30"/>
    </row>
    <row r="108" customFormat="false" ht="15" hidden="false" customHeight="false" outlineLevel="0" collapsed="false">
      <c r="A108" s="30" t="s">
        <v>430</v>
      </c>
      <c r="B108" s="30" t="s">
        <v>431</v>
      </c>
      <c r="C108" s="30" t="s">
        <v>465</v>
      </c>
      <c r="D108" s="30"/>
      <c r="E108" s="30" t="s">
        <v>451</v>
      </c>
      <c r="F108" s="30" t="s">
        <v>29</v>
      </c>
      <c r="G108" s="31" t="n">
        <v>46188</v>
      </c>
      <c r="H108" s="31" t="n">
        <v>46178</v>
      </c>
      <c r="I108" s="32" t="n">
        <v>-10</v>
      </c>
      <c r="J108" s="30"/>
    </row>
    <row r="109" customFormat="false" ht="15" hidden="false" customHeight="false" outlineLevel="0" collapsed="false">
      <c r="A109" s="30" t="s">
        <v>430</v>
      </c>
      <c r="B109" s="30" t="s">
        <v>431</v>
      </c>
      <c r="C109" s="30" t="s">
        <v>466</v>
      </c>
      <c r="D109" s="30"/>
      <c r="E109" s="30" t="s">
        <v>451</v>
      </c>
      <c r="F109" s="30" t="s">
        <v>29</v>
      </c>
      <c r="G109" s="31" t="n">
        <v>46188</v>
      </c>
      <c r="H109" s="31" t="n">
        <v>46178</v>
      </c>
      <c r="I109" s="32" t="n">
        <v>-10</v>
      </c>
      <c r="J109" s="30"/>
    </row>
    <row r="110" customFormat="false" ht="15" hidden="false" customHeight="false" outlineLevel="0" collapsed="false">
      <c r="A110" s="30" t="s">
        <v>430</v>
      </c>
      <c r="B110" s="30" t="s">
        <v>431</v>
      </c>
      <c r="C110" s="30" t="s">
        <v>467</v>
      </c>
      <c r="D110" s="30"/>
      <c r="E110" s="30" t="s">
        <v>451</v>
      </c>
      <c r="F110" s="30" t="s">
        <v>29</v>
      </c>
      <c r="G110" s="31" t="n">
        <v>46188</v>
      </c>
      <c r="H110" s="31" t="n">
        <v>46178</v>
      </c>
      <c r="I110" s="32" t="n">
        <v>-10</v>
      </c>
      <c r="J110" s="30"/>
    </row>
    <row r="111" customFormat="false" ht="15" hidden="false" customHeight="false" outlineLevel="0" collapsed="false">
      <c r="A111" s="30" t="s">
        <v>430</v>
      </c>
      <c r="B111" s="30" t="s">
        <v>431</v>
      </c>
      <c r="C111" s="30" t="s">
        <v>468</v>
      </c>
      <c r="D111" s="30"/>
      <c r="E111" s="30" t="s">
        <v>451</v>
      </c>
      <c r="F111" s="30" t="s">
        <v>29</v>
      </c>
      <c r="G111" s="31" t="n">
        <v>46188</v>
      </c>
      <c r="H111" s="31" t="n">
        <v>46178</v>
      </c>
      <c r="I111" s="32" t="n">
        <v>-10</v>
      </c>
      <c r="J111" s="30"/>
    </row>
    <row r="112" customFormat="false" ht="15" hidden="false" customHeight="false" outlineLevel="0" collapsed="false">
      <c r="A112" s="30" t="s">
        <v>430</v>
      </c>
      <c r="B112" s="30" t="s">
        <v>431</v>
      </c>
      <c r="C112" s="30" t="s">
        <v>469</v>
      </c>
      <c r="D112" s="30"/>
      <c r="E112" s="30" t="s">
        <v>436</v>
      </c>
      <c r="F112" s="30" t="s">
        <v>29</v>
      </c>
      <c r="G112" s="31" t="n">
        <v>46188</v>
      </c>
      <c r="H112" s="31" t="n">
        <v>46178</v>
      </c>
      <c r="I112" s="32" t="n">
        <v>-10</v>
      </c>
      <c r="J112" s="30"/>
    </row>
    <row r="113" customFormat="false" ht="15" hidden="false" customHeight="false" outlineLevel="0" collapsed="false">
      <c r="A113" s="30" t="s">
        <v>430</v>
      </c>
      <c r="B113" s="30" t="s">
        <v>431</v>
      </c>
      <c r="C113" s="30" t="s">
        <v>470</v>
      </c>
      <c r="D113" s="30"/>
      <c r="E113" s="30" t="s">
        <v>436</v>
      </c>
      <c r="F113" s="30" t="s">
        <v>29</v>
      </c>
      <c r="G113" s="31" t="n">
        <v>46188</v>
      </c>
      <c r="H113" s="31" t="n">
        <v>46178</v>
      </c>
      <c r="I113" s="32" t="n">
        <v>-10</v>
      </c>
      <c r="J113" s="30"/>
    </row>
    <row r="114" customFormat="false" ht="15" hidden="false" customHeight="false" outlineLevel="0" collapsed="false">
      <c r="A114" s="30" t="s">
        <v>430</v>
      </c>
      <c r="B114" s="30" t="s">
        <v>431</v>
      </c>
      <c r="C114" s="30" t="s">
        <v>471</v>
      </c>
      <c r="D114" s="30"/>
      <c r="E114" s="30" t="s">
        <v>436</v>
      </c>
      <c r="F114" s="30" t="s">
        <v>29</v>
      </c>
      <c r="G114" s="31" t="n">
        <v>46188</v>
      </c>
      <c r="H114" s="31" t="n">
        <v>46178</v>
      </c>
      <c r="I114" s="32" t="n">
        <v>-10</v>
      </c>
      <c r="J114" s="30"/>
    </row>
    <row r="115" customFormat="false" ht="15" hidden="false" customHeight="false" outlineLevel="0" collapsed="false">
      <c r="A115" s="30" t="s">
        <v>430</v>
      </c>
      <c r="B115" s="30" t="s">
        <v>431</v>
      </c>
      <c r="C115" s="30" t="s">
        <v>472</v>
      </c>
      <c r="D115" s="30"/>
      <c r="E115" s="30" t="s">
        <v>436</v>
      </c>
      <c r="F115" s="30" t="s">
        <v>29</v>
      </c>
      <c r="G115" s="31" t="n">
        <v>46188</v>
      </c>
      <c r="H115" s="31" t="n">
        <v>46178</v>
      </c>
      <c r="I115" s="32" t="n">
        <v>-10</v>
      </c>
      <c r="J115" s="30"/>
    </row>
    <row r="116" customFormat="false" ht="15" hidden="false" customHeight="false" outlineLevel="0" collapsed="false">
      <c r="A116" s="30" t="s">
        <v>430</v>
      </c>
      <c r="B116" s="30" t="s">
        <v>431</v>
      </c>
      <c r="C116" s="30" t="s">
        <v>473</v>
      </c>
      <c r="D116" s="30"/>
      <c r="E116" s="30" t="s">
        <v>436</v>
      </c>
      <c r="F116" s="30" t="s">
        <v>29</v>
      </c>
      <c r="G116" s="31" t="n">
        <v>46188</v>
      </c>
      <c r="H116" s="31" t="n">
        <v>46178</v>
      </c>
      <c r="I116" s="32" t="n">
        <v>-10</v>
      </c>
      <c r="J116" s="30"/>
    </row>
    <row r="117" customFormat="false" ht="15" hidden="false" customHeight="false" outlineLevel="0" collapsed="false">
      <c r="A117" s="30" t="s">
        <v>430</v>
      </c>
      <c r="B117" s="30" t="s">
        <v>431</v>
      </c>
      <c r="C117" s="30" t="s">
        <v>474</v>
      </c>
      <c r="D117" s="30"/>
      <c r="E117" s="30" t="s">
        <v>436</v>
      </c>
      <c r="F117" s="30" t="s">
        <v>29</v>
      </c>
      <c r="G117" s="31" t="n">
        <v>46188</v>
      </c>
      <c r="H117" s="31" t="n">
        <v>46178</v>
      </c>
      <c r="I117" s="32" t="n">
        <v>-10</v>
      </c>
      <c r="J117" s="30"/>
    </row>
    <row r="118" customFormat="false" ht="15" hidden="false" customHeight="false" outlineLevel="0" collapsed="false">
      <c r="A118" s="30" t="s">
        <v>430</v>
      </c>
      <c r="B118" s="30" t="s">
        <v>431</v>
      </c>
      <c r="C118" s="30" t="s">
        <v>475</v>
      </c>
      <c r="D118" s="30"/>
      <c r="E118" s="30" t="s">
        <v>436</v>
      </c>
      <c r="F118" s="30" t="s">
        <v>29</v>
      </c>
      <c r="G118" s="31" t="n">
        <v>46188</v>
      </c>
      <c r="H118" s="31" t="n">
        <v>46178</v>
      </c>
      <c r="I118" s="32" t="n">
        <v>-10</v>
      </c>
      <c r="J118" s="30"/>
    </row>
    <row r="119" customFormat="false" ht="15" hidden="false" customHeight="false" outlineLevel="0" collapsed="false">
      <c r="A119" s="30" t="s">
        <v>430</v>
      </c>
      <c r="B119" s="30" t="s">
        <v>431</v>
      </c>
      <c r="C119" s="30" t="s">
        <v>476</v>
      </c>
      <c r="D119" s="30"/>
      <c r="E119" s="30" t="s">
        <v>436</v>
      </c>
      <c r="F119" s="30" t="s">
        <v>29</v>
      </c>
      <c r="G119" s="31" t="n">
        <v>46188</v>
      </c>
      <c r="H119" s="31" t="n">
        <v>46178</v>
      </c>
      <c r="I119" s="32" t="n">
        <v>-10</v>
      </c>
      <c r="J119" s="30"/>
    </row>
    <row r="120" customFormat="false" ht="15" hidden="false" customHeight="false" outlineLevel="0" collapsed="false">
      <c r="A120" s="30" t="s">
        <v>430</v>
      </c>
      <c r="B120" s="30" t="s">
        <v>431</v>
      </c>
      <c r="C120" s="30" t="s">
        <v>477</v>
      </c>
      <c r="D120" s="30"/>
      <c r="E120" s="30" t="s">
        <v>436</v>
      </c>
      <c r="F120" s="30" t="s">
        <v>29</v>
      </c>
      <c r="G120" s="31" t="n">
        <v>46188</v>
      </c>
      <c r="H120" s="31" t="n">
        <v>46178</v>
      </c>
      <c r="I120" s="32" t="n">
        <v>-10</v>
      </c>
      <c r="J120" s="30"/>
    </row>
    <row r="121" customFormat="false" ht="15" hidden="false" customHeight="false" outlineLevel="0" collapsed="false">
      <c r="A121" s="30" t="s">
        <v>430</v>
      </c>
      <c r="B121" s="30" t="s">
        <v>431</v>
      </c>
      <c r="C121" s="30" t="s">
        <v>478</v>
      </c>
      <c r="D121" s="30"/>
      <c r="E121" s="30" t="s">
        <v>436</v>
      </c>
      <c r="F121" s="30" t="s">
        <v>29</v>
      </c>
      <c r="G121" s="31" t="n">
        <v>46188</v>
      </c>
      <c r="H121" s="31" t="n">
        <v>46178</v>
      </c>
      <c r="I121" s="32" t="n">
        <v>-10</v>
      </c>
      <c r="J121" s="30"/>
    </row>
    <row r="122" customFormat="false" ht="15" hidden="false" customHeight="false" outlineLevel="0" collapsed="false">
      <c r="A122" s="30" t="s">
        <v>430</v>
      </c>
      <c r="B122" s="30" t="s">
        <v>431</v>
      </c>
      <c r="C122" s="30" t="s">
        <v>479</v>
      </c>
      <c r="D122" s="30"/>
      <c r="E122" s="30" t="s">
        <v>436</v>
      </c>
      <c r="F122" s="30" t="s">
        <v>29</v>
      </c>
      <c r="G122" s="31" t="n">
        <v>46188</v>
      </c>
      <c r="H122" s="31" t="n">
        <v>46178</v>
      </c>
      <c r="I122" s="32" t="n">
        <v>-10</v>
      </c>
      <c r="J122" s="30"/>
    </row>
    <row r="123" customFormat="false" ht="15" hidden="false" customHeight="false" outlineLevel="0" collapsed="false">
      <c r="A123" s="30" t="s">
        <v>430</v>
      </c>
      <c r="B123" s="30" t="s">
        <v>431</v>
      </c>
      <c r="C123" s="30" t="s">
        <v>480</v>
      </c>
      <c r="D123" s="30"/>
      <c r="E123" s="30" t="s">
        <v>436</v>
      </c>
      <c r="F123" s="30" t="s">
        <v>29</v>
      </c>
      <c r="G123" s="31" t="n">
        <v>46188</v>
      </c>
      <c r="H123" s="31" t="n">
        <v>46178</v>
      </c>
      <c r="I123" s="32" t="n">
        <v>-10</v>
      </c>
      <c r="J123" s="30"/>
    </row>
    <row r="124" customFormat="false" ht="15" hidden="false" customHeight="false" outlineLevel="0" collapsed="false">
      <c r="A124" s="30" t="s">
        <v>430</v>
      </c>
      <c r="B124" s="30" t="s">
        <v>431</v>
      </c>
      <c r="C124" s="30" t="s">
        <v>481</v>
      </c>
      <c r="D124" s="30"/>
      <c r="E124" s="30" t="s">
        <v>436</v>
      </c>
      <c r="F124" s="30" t="s">
        <v>29</v>
      </c>
      <c r="G124" s="31" t="n">
        <v>46188</v>
      </c>
      <c r="H124" s="31" t="n">
        <v>46178</v>
      </c>
      <c r="I124" s="32" t="n">
        <v>-10</v>
      </c>
      <c r="J124" s="30"/>
    </row>
    <row r="125" customFormat="false" ht="15" hidden="false" customHeight="false" outlineLevel="0" collapsed="false">
      <c r="A125" s="30" t="s">
        <v>430</v>
      </c>
      <c r="B125" s="30" t="s">
        <v>431</v>
      </c>
      <c r="C125" s="30" t="s">
        <v>482</v>
      </c>
      <c r="D125" s="30"/>
      <c r="E125" s="30" t="s">
        <v>436</v>
      </c>
      <c r="F125" s="30" t="s">
        <v>29</v>
      </c>
      <c r="G125" s="31" t="n">
        <v>46188</v>
      </c>
      <c r="H125" s="31" t="n">
        <v>46178</v>
      </c>
      <c r="I125" s="32" t="n">
        <v>-10</v>
      </c>
      <c r="J125" s="30"/>
    </row>
    <row r="126" customFormat="false" ht="15" hidden="false" customHeight="false" outlineLevel="0" collapsed="false">
      <c r="A126" s="30" t="s">
        <v>430</v>
      </c>
      <c r="B126" s="30" t="s">
        <v>431</v>
      </c>
      <c r="C126" s="30" t="s">
        <v>483</v>
      </c>
      <c r="D126" s="30"/>
      <c r="E126" s="30" t="s">
        <v>436</v>
      </c>
      <c r="F126" s="30" t="s">
        <v>29</v>
      </c>
      <c r="G126" s="31" t="n">
        <v>46188</v>
      </c>
      <c r="H126" s="31" t="n">
        <v>46178</v>
      </c>
      <c r="I126" s="32" t="n">
        <v>-10</v>
      </c>
      <c r="J126" s="30"/>
    </row>
    <row r="127" customFormat="false" ht="15" hidden="false" customHeight="false" outlineLevel="0" collapsed="false">
      <c r="A127" s="30" t="s">
        <v>430</v>
      </c>
      <c r="B127" s="30" t="s">
        <v>431</v>
      </c>
      <c r="C127" s="30" t="s">
        <v>484</v>
      </c>
      <c r="D127" s="30"/>
      <c r="E127" s="30" t="s">
        <v>436</v>
      </c>
      <c r="F127" s="30" t="s">
        <v>29</v>
      </c>
      <c r="G127" s="31" t="n">
        <v>46188</v>
      </c>
      <c r="H127" s="31" t="n">
        <v>46178</v>
      </c>
      <c r="I127" s="32" t="n">
        <v>-10</v>
      </c>
      <c r="J127" s="30"/>
    </row>
    <row r="128" customFormat="false" ht="15" hidden="false" customHeight="false" outlineLevel="0" collapsed="false">
      <c r="A128" s="30" t="s">
        <v>430</v>
      </c>
      <c r="B128" s="30" t="s">
        <v>431</v>
      </c>
      <c r="C128" s="30" t="s">
        <v>485</v>
      </c>
      <c r="D128" s="30"/>
      <c r="E128" s="30" t="s">
        <v>436</v>
      </c>
      <c r="F128" s="30" t="s">
        <v>29</v>
      </c>
      <c r="G128" s="31" t="n">
        <v>46188</v>
      </c>
      <c r="H128" s="31" t="n">
        <v>46178</v>
      </c>
      <c r="I128" s="32" t="n">
        <v>-10</v>
      </c>
      <c r="J128" s="30"/>
    </row>
    <row r="129" customFormat="false" ht="15" hidden="false" customHeight="false" outlineLevel="0" collapsed="false">
      <c r="A129" s="30" t="s">
        <v>430</v>
      </c>
      <c r="B129" s="30" t="s">
        <v>431</v>
      </c>
      <c r="C129" s="30" t="s">
        <v>486</v>
      </c>
      <c r="D129" s="30"/>
      <c r="E129" s="30" t="s">
        <v>436</v>
      </c>
      <c r="F129" s="30" t="s">
        <v>29</v>
      </c>
      <c r="G129" s="31" t="n">
        <v>46188</v>
      </c>
      <c r="H129" s="31" t="n">
        <v>46178</v>
      </c>
      <c r="I129" s="32" t="n">
        <v>-10</v>
      </c>
      <c r="J129" s="30"/>
    </row>
    <row r="130" customFormat="false" ht="15" hidden="false" customHeight="false" outlineLevel="0" collapsed="false">
      <c r="A130" s="30" t="s">
        <v>430</v>
      </c>
      <c r="B130" s="30" t="s">
        <v>431</v>
      </c>
      <c r="C130" s="30" t="s">
        <v>487</v>
      </c>
      <c r="D130" s="30"/>
      <c r="E130" s="30" t="s">
        <v>433</v>
      </c>
      <c r="F130" s="30" t="s">
        <v>29</v>
      </c>
      <c r="G130" s="31" t="n">
        <v>46188</v>
      </c>
      <c r="H130" s="31" t="n">
        <v>46178</v>
      </c>
      <c r="I130" s="32" t="n">
        <v>-10</v>
      </c>
      <c r="J130" s="30"/>
    </row>
    <row r="131" customFormat="false" ht="15" hidden="false" customHeight="false" outlineLevel="0" collapsed="false">
      <c r="A131" s="30" t="s">
        <v>430</v>
      </c>
      <c r="B131" s="30" t="s">
        <v>431</v>
      </c>
      <c r="C131" s="30" t="s">
        <v>488</v>
      </c>
      <c r="D131" s="30"/>
      <c r="E131" s="30" t="s">
        <v>433</v>
      </c>
      <c r="F131" s="30" t="s">
        <v>29</v>
      </c>
      <c r="G131" s="31" t="n">
        <v>46188</v>
      </c>
      <c r="H131" s="31" t="n">
        <v>46178</v>
      </c>
      <c r="I131" s="32" t="n">
        <v>-10</v>
      </c>
      <c r="J131" s="30"/>
    </row>
    <row r="132" customFormat="false" ht="15" hidden="false" customHeight="false" outlineLevel="0" collapsed="false">
      <c r="A132" s="30" t="s">
        <v>430</v>
      </c>
      <c r="B132" s="30" t="s">
        <v>431</v>
      </c>
      <c r="C132" s="30" t="s">
        <v>489</v>
      </c>
      <c r="D132" s="30"/>
      <c r="E132" s="30" t="s">
        <v>433</v>
      </c>
      <c r="F132" s="30" t="s">
        <v>29</v>
      </c>
      <c r="G132" s="31" t="n">
        <v>46188</v>
      </c>
      <c r="H132" s="31" t="n">
        <v>46178</v>
      </c>
      <c r="I132" s="32" t="n">
        <v>-10</v>
      </c>
      <c r="J132" s="30"/>
    </row>
    <row r="133" customFormat="false" ht="15" hidden="false" customHeight="false" outlineLevel="0" collapsed="false">
      <c r="A133" s="30" t="s">
        <v>430</v>
      </c>
      <c r="B133" s="30" t="s">
        <v>431</v>
      </c>
      <c r="C133" s="30" t="s">
        <v>490</v>
      </c>
      <c r="D133" s="30"/>
      <c r="E133" s="30" t="s">
        <v>433</v>
      </c>
      <c r="F133" s="30" t="s">
        <v>29</v>
      </c>
      <c r="G133" s="31" t="n">
        <v>46188</v>
      </c>
      <c r="H133" s="31" t="n">
        <v>46178</v>
      </c>
      <c r="I133" s="32" t="n">
        <v>-10</v>
      </c>
      <c r="J133" s="30"/>
    </row>
    <row r="134" customFormat="false" ht="15" hidden="false" customHeight="false" outlineLevel="0" collapsed="false">
      <c r="A134" s="30" t="s">
        <v>430</v>
      </c>
      <c r="B134" s="30" t="s">
        <v>431</v>
      </c>
      <c r="C134" s="30" t="s">
        <v>491</v>
      </c>
      <c r="D134" s="30"/>
      <c r="E134" s="30" t="s">
        <v>433</v>
      </c>
      <c r="F134" s="30" t="s">
        <v>29</v>
      </c>
      <c r="G134" s="31" t="n">
        <v>46188</v>
      </c>
      <c r="H134" s="31" t="n">
        <v>46178</v>
      </c>
      <c r="I134" s="32" t="n">
        <v>-10</v>
      </c>
      <c r="J134" s="30"/>
    </row>
    <row r="135" customFormat="false" ht="15" hidden="false" customHeight="false" outlineLevel="0" collapsed="false">
      <c r="A135" s="30" t="s">
        <v>430</v>
      </c>
      <c r="B135" s="30" t="s">
        <v>431</v>
      </c>
      <c r="C135" s="30" t="s">
        <v>492</v>
      </c>
      <c r="D135" s="30"/>
      <c r="E135" s="30" t="s">
        <v>433</v>
      </c>
      <c r="F135" s="30" t="s">
        <v>29</v>
      </c>
      <c r="G135" s="31" t="n">
        <v>46188</v>
      </c>
      <c r="H135" s="31" t="n">
        <v>46178</v>
      </c>
      <c r="I135" s="32" t="n">
        <v>-10</v>
      </c>
      <c r="J135" s="30"/>
    </row>
    <row r="136" customFormat="false" ht="15" hidden="false" customHeight="false" outlineLevel="0" collapsed="false">
      <c r="A136" s="30" t="s">
        <v>430</v>
      </c>
      <c r="B136" s="30" t="s">
        <v>431</v>
      </c>
      <c r="C136" s="30" t="s">
        <v>493</v>
      </c>
      <c r="D136" s="30"/>
      <c r="E136" s="30" t="s">
        <v>433</v>
      </c>
      <c r="F136" s="30" t="s">
        <v>29</v>
      </c>
      <c r="G136" s="31" t="n">
        <v>46188</v>
      </c>
      <c r="H136" s="31" t="n">
        <v>46178</v>
      </c>
      <c r="I136" s="32" t="n">
        <v>-10</v>
      </c>
      <c r="J136" s="30"/>
    </row>
    <row r="137" customFormat="false" ht="15" hidden="false" customHeight="false" outlineLevel="0" collapsed="false">
      <c r="A137" s="30" t="s">
        <v>430</v>
      </c>
      <c r="B137" s="30" t="s">
        <v>431</v>
      </c>
      <c r="C137" s="30" t="s">
        <v>494</v>
      </c>
      <c r="D137" s="30"/>
      <c r="E137" s="30" t="s">
        <v>433</v>
      </c>
      <c r="F137" s="30" t="s">
        <v>29</v>
      </c>
      <c r="G137" s="31" t="n">
        <v>46188</v>
      </c>
      <c r="H137" s="31" t="n">
        <v>46178</v>
      </c>
      <c r="I137" s="32" t="n">
        <v>-10</v>
      </c>
      <c r="J137" s="30"/>
    </row>
    <row r="138" customFormat="false" ht="15" hidden="false" customHeight="false" outlineLevel="0" collapsed="false">
      <c r="A138" s="30" t="s">
        <v>430</v>
      </c>
      <c r="B138" s="30" t="s">
        <v>431</v>
      </c>
      <c r="C138" s="30" t="s">
        <v>495</v>
      </c>
      <c r="D138" s="30"/>
      <c r="E138" s="30" t="s">
        <v>433</v>
      </c>
      <c r="F138" s="30" t="s">
        <v>29</v>
      </c>
      <c r="G138" s="31" t="n">
        <v>46188</v>
      </c>
      <c r="H138" s="31" t="n">
        <v>46178</v>
      </c>
      <c r="I138" s="32" t="n">
        <v>-10</v>
      </c>
      <c r="J138" s="30"/>
    </row>
    <row r="139" customFormat="false" ht="15" hidden="false" customHeight="false" outlineLevel="0" collapsed="false">
      <c r="A139" s="30" t="s">
        <v>430</v>
      </c>
      <c r="B139" s="30" t="s">
        <v>431</v>
      </c>
      <c r="C139" s="30" t="s">
        <v>496</v>
      </c>
      <c r="D139" s="30"/>
      <c r="E139" s="30" t="s">
        <v>433</v>
      </c>
      <c r="F139" s="30" t="s">
        <v>29</v>
      </c>
      <c r="G139" s="31" t="n">
        <v>46188</v>
      </c>
      <c r="H139" s="31" t="n">
        <v>46178</v>
      </c>
      <c r="I139" s="32" t="n">
        <v>-10</v>
      </c>
      <c r="J139" s="30"/>
    </row>
    <row r="140" customFormat="false" ht="15" hidden="false" customHeight="false" outlineLevel="0" collapsed="false">
      <c r="A140" s="30" t="s">
        <v>430</v>
      </c>
      <c r="B140" s="30" t="s">
        <v>431</v>
      </c>
      <c r="C140" s="30" t="s">
        <v>497</v>
      </c>
      <c r="D140" s="30"/>
      <c r="E140" s="30" t="s">
        <v>433</v>
      </c>
      <c r="F140" s="30" t="s">
        <v>29</v>
      </c>
      <c r="G140" s="31" t="n">
        <v>46188</v>
      </c>
      <c r="H140" s="31" t="n">
        <v>46178</v>
      </c>
      <c r="I140" s="32" t="n">
        <v>-10</v>
      </c>
      <c r="J140" s="30"/>
    </row>
    <row r="141" customFormat="false" ht="15" hidden="false" customHeight="false" outlineLevel="0" collapsed="false">
      <c r="A141" s="30" t="s">
        <v>430</v>
      </c>
      <c r="B141" s="30" t="s">
        <v>431</v>
      </c>
      <c r="C141" s="30" t="s">
        <v>498</v>
      </c>
      <c r="D141" s="30"/>
      <c r="E141" s="30" t="s">
        <v>433</v>
      </c>
      <c r="F141" s="30" t="s">
        <v>29</v>
      </c>
      <c r="G141" s="31" t="n">
        <v>46188</v>
      </c>
      <c r="H141" s="31" t="n">
        <v>46178</v>
      </c>
      <c r="I141" s="32" t="n">
        <v>-10</v>
      </c>
      <c r="J141" s="30"/>
    </row>
    <row r="142" customFormat="false" ht="15" hidden="false" customHeight="false" outlineLevel="0" collapsed="false">
      <c r="A142" s="30" t="s">
        <v>430</v>
      </c>
      <c r="B142" s="30" t="s">
        <v>431</v>
      </c>
      <c r="C142" s="30" t="s">
        <v>499</v>
      </c>
      <c r="D142" s="30"/>
      <c r="E142" s="30" t="s">
        <v>433</v>
      </c>
      <c r="F142" s="30" t="s">
        <v>29</v>
      </c>
      <c r="G142" s="31" t="n">
        <v>46188</v>
      </c>
      <c r="H142" s="31" t="n">
        <v>46178</v>
      </c>
      <c r="I142" s="32" t="n">
        <v>-10</v>
      </c>
      <c r="J142" s="30"/>
    </row>
    <row r="143" customFormat="false" ht="15" hidden="false" customHeight="false" outlineLevel="0" collapsed="false">
      <c r="A143" s="30" t="s">
        <v>430</v>
      </c>
      <c r="B143" s="30" t="s">
        <v>431</v>
      </c>
      <c r="C143" s="30" t="s">
        <v>500</v>
      </c>
      <c r="D143" s="30"/>
      <c r="E143" s="30" t="s">
        <v>433</v>
      </c>
      <c r="F143" s="30" t="s">
        <v>29</v>
      </c>
      <c r="G143" s="31" t="n">
        <v>46188</v>
      </c>
      <c r="H143" s="31" t="n">
        <v>46178</v>
      </c>
      <c r="I143" s="32" t="n">
        <v>-10</v>
      </c>
      <c r="J143" s="30"/>
    </row>
    <row r="144" customFormat="false" ht="15" hidden="false" customHeight="false" outlineLevel="0" collapsed="false">
      <c r="A144" s="30" t="s">
        <v>430</v>
      </c>
      <c r="B144" s="30" t="s">
        <v>431</v>
      </c>
      <c r="C144" s="30" t="s">
        <v>501</v>
      </c>
      <c r="D144" s="30"/>
      <c r="E144" s="30" t="s">
        <v>433</v>
      </c>
      <c r="F144" s="30" t="s">
        <v>29</v>
      </c>
      <c r="G144" s="31" t="n">
        <v>46188</v>
      </c>
      <c r="H144" s="31" t="n">
        <v>46178</v>
      </c>
      <c r="I144" s="32" t="n">
        <v>-10</v>
      </c>
      <c r="J144" s="30"/>
    </row>
    <row r="145" customFormat="false" ht="15" hidden="false" customHeight="false" outlineLevel="0" collapsed="false">
      <c r="A145" s="30" t="s">
        <v>430</v>
      </c>
      <c r="B145" s="30" t="s">
        <v>431</v>
      </c>
      <c r="C145" s="30" t="s">
        <v>502</v>
      </c>
      <c r="D145" s="30"/>
      <c r="E145" s="30" t="s">
        <v>433</v>
      </c>
      <c r="F145" s="30" t="s">
        <v>29</v>
      </c>
      <c r="G145" s="31" t="n">
        <v>46188</v>
      </c>
      <c r="H145" s="31" t="n">
        <v>46178</v>
      </c>
      <c r="I145" s="32" t="n">
        <v>-10</v>
      </c>
      <c r="J145" s="30"/>
    </row>
    <row r="146" customFormat="false" ht="15" hidden="false" customHeight="false" outlineLevel="0" collapsed="false">
      <c r="A146" s="30" t="s">
        <v>430</v>
      </c>
      <c r="B146" s="30" t="s">
        <v>431</v>
      </c>
      <c r="C146" s="30" t="s">
        <v>503</v>
      </c>
      <c r="D146" s="30"/>
      <c r="E146" s="30" t="s">
        <v>433</v>
      </c>
      <c r="F146" s="30" t="s">
        <v>29</v>
      </c>
      <c r="G146" s="31" t="n">
        <v>46188</v>
      </c>
      <c r="H146" s="31" t="n">
        <v>46178</v>
      </c>
      <c r="I146" s="32" t="n">
        <v>-10</v>
      </c>
      <c r="J146" s="30"/>
    </row>
    <row r="147" customFormat="false" ht="15" hidden="false" customHeight="false" outlineLevel="0" collapsed="false">
      <c r="A147" s="30" t="s">
        <v>430</v>
      </c>
      <c r="B147" s="30" t="s">
        <v>431</v>
      </c>
      <c r="C147" s="30" t="s">
        <v>504</v>
      </c>
      <c r="D147" s="30"/>
      <c r="E147" s="30" t="s">
        <v>433</v>
      </c>
      <c r="F147" s="30" t="s">
        <v>29</v>
      </c>
      <c r="G147" s="31" t="n">
        <v>46188</v>
      </c>
      <c r="H147" s="31" t="n">
        <v>46178</v>
      </c>
      <c r="I147" s="32" t="n">
        <v>-10</v>
      </c>
      <c r="J147" s="30"/>
    </row>
    <row r="148" customFormat="false" ht="15" hidden="false" customHeight="false" outlineLevel="0" collapsed="false">
      <c r="A148" s="30" t="s">
        <v>430</v>
      </c>
      <c r="B148" s="30" t="s">
        <v>431</v>
      </c>
      <c r="C148" s="30" t="s">
        <v>505</v>
      </c>
      <c r="D148" s="30"/>
      <c r="E148" s="30" t="s">
        <v>433</v>
      </c>
      <c r="F148" s="30" t="s">
        <v>29</v>
      </c>
      <c r="G148" s="31" t="n">
        <v>46188</v>
      </c>
      <c r="H148" s="31" t="n">
        <v>46178</v>
      </c>
      <c r="I148" s="32" t="n">
        <v>-10</v>
      </c>
      <c r="J148" s="30"/>
    </row>
    <row r="149" customFormat="false" ht="15" hidden="false" customHeight="false" outlineLevel="0" collapsed="false">
      <c r="A149" s="30" t="s">
        <v>430</v>
      </c>
      <c r="B149" s="30" t="s">
        <v>431</v>
      </c>
      <c r="C149" s="30" t="s">
        <v>506</v>
      </c>
      <c r="D149" s="30"/>
      <c r="E149" s="30" t="s">
        <v>433</v>
      </c>
      <c r="F149" s="30" t="s">
        <v>29</v>
      </c>
      <c r="G149" s="31" t="n">
        <v>46188</v>
      </c>
      <c r="H149" s="31" t="n">
        <v>46178</v>
      </c>
      <c r="I149" s="32" t="n">
        <v>-10</v>
      </c>
      <c r="J149" s="30"/>
    </row>
    <row r="150" customFormat="false" ht="15" hidden="false" customHeight="false" outlineLevel="0" collapsed="false">
      <c r="A150" s="30" t="s">
        <v>430</v>
      </c>
      <c r="B150" s="30" t="s">
        <v>431</v>
      </c>
      <c r="C150" s="30" t="s">
        <v>507</v>
      </c>
      <c r="D150" s="30"/>
      <c r="E150" s="30" t="s">
        <v>433</v>
      </c>
      <c r="F150" s="30" t="s">
        <v>29</v>
      </c>
      <c r="G150" s="31" t="n">
        <v>46188</v>
      </c>
      <c r="H150" s="31" t="n">
        <v>46178</v>
      </c>
      <c r="I150" s="32" t="n">
        <v>-10</v>
      </c>
      <c r="J150" s="30"/>
    </row>
    <row r="151" customFormat="false" ht="15" hidden="false" customHeight="false" outlineLevel="0" collapsed="false">
      <c r="A151" s="30" t="s">
        <v>430</v>
      </c>
      <c r="B151" s="30" t="s">
        <v>431</v>
      </c>
      <c r="C151" s="30" t="s">
        <v>508</v>
      </c>
      <c r="D151" s="30"/>
      <c r="E151" s="30" t="s">
        <v>433</v>
      </c>
      <c r="F151" s="30" t="s">
        <v>29</v>
      </c>
      <c r="G151" s="31" t="n">
        <v>46188</v>
      </c>
      <c r="H151" s="31" t="n">
        <v>46178</v>
      </c>
      <c r="I151" s="32" t="n">
        <v>-10</v>
      </c>
      <c r="J151" s="30"/>
    </row>
    <row r="152" customFormat="false" ht="15" hidden="false" customHeight="false" outlineLevel="0" collapsed="false">
      <c r="A152" s="30" t="s">
        <v>430</v>
      </c>
      <c r="B152" s="30" t="s">
        <v>431</v>
      </c>
      <c r="C152" s="30" t="s">
        <v>509</v>
      </c>
      <c r="D152" s="30"/>
      <c r="E152" s="30" t="s">
        <v>433</v>
      </c>
      <c r="F152" s="30" t="s">
        <v>29</v>
      </c>
      <c r="G152" s="31" t="n">
        <v>46188</v>
      </c>
      <c r="H152" s="31" t="n">
        <v>46178</v>
      </c>
      <c r="I152" s="32" t="n">
        <v>-10</v>
      </c>
      <c r="J152" s="30"/>
    </row>
    <row r="153" customFormat="false" ht="15" hidden="false" customHeight="false" outlineLevel="0" collapsed="false">
      <c r="A153" s="30" t="s">
        <v>430</v>
      </c>
      <c r="B153" s="30" t="s">
        <v>431</v>
      </c>
      <c r="C153" s="30" t="s">
        <v>510</v>
      </c>
      <c r="D153" s="30"/>
      <c r="E153" s="30" t="s">
        <v>433</v>
      </c>
      <c r="F153" s="30" t="s">
        <v>29</v>
      </c>
      <c r="G153" s="31" t="n">
        <v>46188</v>
      </c>
      <c r="H153" s="31" t="n">
        <v>46178</v>
      </c>
      <c r="I153" s="32" t="n">
        <v>-10</v>
      </c>
      <c r="J153" s="30"/>
    </row>
    <row r="154" customFormat="false" ht="15" hidden="false" customHeight="false" outlineLevel="0" collapsed="false">
      <c r="A154" s="30" t="s">
        <v>430</v>
      </c>
      <c r="B154" s="30" t="s">
        <v>431</v>
      </c>
      <c r="C154" s="30" t="s">
        <v>511</v>
      </c>
      <c r="D154" s="30"/>
      <c r="E154" s="30" t="s">
        <v>433</v>
      </c>
      <c r="F154" s="30" t="s">
        <v>29</v>
      </c>
      <c r="G154" s="31" t="n">
        <v>46188</v>
      </c>
      <c r="H154" s="31" t="n">
        <v>46178</v>
      </c>
      <c r="I154" s="32" t="n">
        <v>-10</v>
      </c>
      <c r="J154" s="30"/>
    </row>
    <row r="155" customFormat="false" ht="15" hidden="false" customHeight="false" outlineLevel="0" collapsed="false">
      <c r="A155" s="30" t="s">
        <v>430</v>
      </c>
      <c r="B155" s="30" t="s">
        <v>431</v>
      </c>
      <c r="C155" s="30" t="s">
        <v>512</v>
      </c>
      <c r="D155" s="30"/>
      <c r="E155" s="30" t="s">
        <v>433</v>
      </c>
      <c r="F155" s="30" t="s">
        <v>29</v>
      </c>
      <c r="G155" s="31" t="n">
        <v>46188</v>
      </c>
      <c r="H155" s="31" t="n">
        <v>46178</v>
      </c>
      <c r="I155" s="32" t="n">
        <v>-10</v>
      </c>
      <c r="J155" s="30"/>
    </row>
    <row r="156" customFormat="false" ht="15" hidden="false" customHeight="false" outlineLevel="0" collapsed="false">
      <c r="A156" s="30" t="s">
        <v>430</v>
      </c>
      <c r="B156" s="30" t="s">
        <v>431</v>
      </c>
      <c r="C156" s="30" t="s">
        <v>513</v>
      </c>
      <c r="D156" s="30"/>
      <c r="E156" s="30" t="s">
        <v>433</v>
      </c>
      <c r="F156" s="30" t="s">
        <v>29</v>
      </c>
      <c r="G156" s="31" t="n">
        <v>46188</v>
      </c>
      <c r="H156" s="31" t="n">
        <v>46178</v>
      </c>
      <c r="I156" s="32" t="n">
        <v>-10</v>
      </c>
      <c r="J156" s="30"/>
    </row>
    <row r="157" customFormat="false" ht="15" hidden="false" customHeight="false" outlineLevel="0" collapsed="false">
      <c r="A157" s="30" t="s">
        <v>430</v>
      </c>
      <c r="B157" s="30" t="s">
        <v>431</v>
      </c>
      <c r="C157" s="30" t="s">
        <v>514</v>
      </c>
      <c r="D157" s="30"/>
      <c r="E157" s="30" t="s">
        <v>433</v>
      </c>
      <c r="F157" s="30" t="s">
        <v>29</v>
      </c>
      <c r="G157" s="31" t="n">
        <v>46188</v>
      </c>
      <c r="H157" s="31" t="n">
        <v>46178</v>
      </c>
      <c r="I157" s="32" t="n">
        <v>-10</v>
      </c>
      <c r="J157" s="30"/>
    </row>
    <row r="158" customFormat="false" ht="15" hidden="false" customHeight="false" outlineLevel="0" collapsed="false">
      <c r="A158" s="30" t="s">
        <v>25</v>
      </c>
      <c r="B158" s="30" t="s">
        <v>515</v>
      </c>
      <c r="C158" s="30" t="s">
        <v>516</v>
      </c>
      <c r="D158" s="30"/>
      <c r="E158" s="30" t="s">
        <v>341</v>
      </c>
      <c r="F158" s="30" t="s">
        <v>29</v>
      </c>
      <c r="G158" s="31" t="n">
        <v>46178</v>
      </c>
      <c r="H158" s="31" t="n">
        <v>46178</v>
      </c>
      <c r="I158" s="32" t="n">
        <v>0</v>
      </c>
      <c r="J158" s="30"/>
    </row>
    <row r="159" customFormat="false" ht="15" hidden="false" customHeight="false" outlineLevel="0" collapsed="false">
      <c r="A159" s="30" t="s">
        <v>328</v>
      </c>
      <c r="B159" s="30" t="s">
        <v>517</v>
      </c>
      <c r="C159" s="30" t="s">
        <v>518</v>
      </c>
      <c r="D159" s="30"/>
      <c r="E159" s="30" t="s">
        <v>519</v>
      </c>
      <c r="F159" s="30" t="s">
        <v>56</v>
      </c>
      <c r="G159" s="31" t="n">
        <v>46195</v>
      </c>
      <c r="H159" s="31" t="n">
        <v>46178</v>
      </c>
      <c r="I159" s="32" t="n">
        <v>-17</v>
      </c>
      <c r="J159" s="30"/>
    </row>
    <row r="160" customFormat="false" ht="15" hidden="false" customHeight="false" outlineLevel="0" collapsed="false">
      <c r="A160" s="30" t="s">
        <v>328</v>
      </c>
      <c r="B160" s="30" t="s">
        <v>517</v>
      </c>
      <c r="C160" s="30" t="s">
        <v>520</v>
      </c>
      <c r="D160" s="30"/>
      <c r="E160" s="30" t="s">
        <v>519</v>
      </c>
      <c r="F160" s="30" t="s">
        <v>56</v>
      </c>
      <c r="G160" s="31" t="n">
        <v>46195</v>
      </c>
      <c r="H160" s="31" t="n">
        <v>46178</v>
      </c>
      <c r="I160" s="32" t="n">
        <v>-17</v>
      </c>
      <c r="J160" s="30"/>
    </row>
    <row r="161" customFormat="false" ht="15" hidden="false" customHeight="false" outlineLevel="0" collapsed="false">
      <c r="A161" s="30" t="s">
        <v>328</v>
      </c>
      <c r="B161" s="30" t="s">
        <v>517</v>
      </c>
      <c r="C161" s="30" t="s">
        <v>521</v>
      </c>
      <c r="D161" s="30"/>
      <c r="E161" s="30" t="s">
        <v>519</v>
      </c>
      <c r="F161" s="30" t="s">
        <v>56</v>
      </c>
      <c r="G161" s="31" t="n">
        <v>46195</v>
      </c>
      <c r="H161" s="31" t="n">
        <v>46178</v>
      </c>
      <c r="I161" s="32" t="n">
        <v>-17</v>
      </c>
      <c r="J161" s="30"/>
    </row>
    <row r="162" customFormat="false" ht="15" hidden="false" customHeight="false" outlineLevel="0" collapsed="false">
      <c r="A162" s="30" t="s">
        <v>328</v>
      </c>
      <c r="B162" s="30" t="s">
        <v>517</v>
      </c>
      <c r="C162" s="30" t="s">
        <v>522</v>
      </c>
      <c r="D162" s="30"/>
      <c r="E162" s="30" t="s">
        <v>519</v>
      </c>
      <c r="F162" s="30" t="s">
        <v>56</v>
      </c>
      <c r="G162" s="31" t="n">
        <v>46195</v>
      </c>
      <c r="H162" s="31" t="n">
        <v>46178</v>
      </c>
      <c r="I162" s="32" t="n">
        <v>-17</v>
      </c>
      <c r="J162" s="30"/>
    </row>
    <row r="163" customFormat="false" ht="15" hidden="false" customHeight="false" outlineLevel="0" collapsed="false">
      <c r="A163" s="30" t="s">
        <v>328</v>
      </c>
      <c r="B163" s="30" t="s">
        <v>517</v>
      </c>
      <c r="C163" s="30" t="s">
        <v>523</v>
      </c>
      <c r="D163" s="30"/>
      <c r="E163" s="30" t="s">
        <v>519</v>
      </c>
      <c r="F163" s="30" t="s">
        <v>56</v>
      </c>
      <c r="G163" s="31" t="n">
        <v>46195</v>
      </c>
      <c r="H163" s="31" t="n">
        <v>46178</v>
      </c>
      <c r="I163" s="32" t="n">
        <v>-17</v>
      </c>
      <c r="J163" s="30"/>
    </row>
    <row r="164" customFormat="false" ht="15" hidden="false" customHeight="false" outlineLevel="0" collapsed="false">
      <c r="A164" s="30" t="s">
        <v>369</v>
      </c>
      <c r="B164" s="30" t="s">
        <v>370</v>
      </c>
      <c r="C164" s="30" t="s">
        <v>524</v>
      </c>
      <c r="D164" s="30"/>
      <c r="E164" s="30" t="s">
        <v>525</v>
      </c>
      <c r="F164" s="30" t="s">
        <v>152</v>
      </c>
      <c r="G164" s="31" t="n">
        <v>46188</v>
      </c>
      <c r="H164" s="31" t="n">
        <v>46178</v>
      </c>
      <c r="I164" s="32" t="n">
        <v>-10</v>
      </c>
      <c r="J164" s="30"/>
    </row>
    <row r="165" customFormat="false" ht="15" hidden="false" customHeight="false" outlineLevel="0" collapsed="false">
      <c r="A165" s="30" t="s">
        <v>369</v>
      </c>
      <c r="B165" s="30" t="s">
        <v>370</v>
      </c>
      <c r="C165" s="30" t="s">
        <v>526</v>
      </c>
      <c r="D165" s="30"/>
      <c r="E165" s="30" t="s">
        <v>525</v>
      </c>
      <c r="F165" s="30" t="s">
        <v>152</v>
      </c>
      <c r="G165" s="31" t="n">
        <v>46188</v>
      </c>
      <c r="H165" s="31" t="n">
        <v>46178</v>
      </c>
      <c r="I165" s="32" t="n">
        <v>-10</v>
      </c>
      <c r="J165" s="30"/>
    </row>
    <row r="166" customFormat="false" ht="15" hidden="false" customHeight="false" outlineLevel="0" collapsed="false">
      <c r="A166" s="30" t="s">
        <v>369</v>
      </c>
      <c r="B166" s="30" t="s">
        <v>370</v>
      </c>
      <c r="C166" s="30" t="s">
        <v>527</v>
      </c>
      <c r="D166" s="30"/>
      <c r="E166" s="30" t="s">
        <v>525</v>
      </c>
      <c r="F166" s="30" t="s">
        <v>152</v>
      </c>
      <c r="G166" s="31" t="n">
        <v>46188</v>
      </c>
      <c r="H166" s="31" t="n">
        <v>46178</v>
      </c>
      <c r="I166" s="32" t="n">
        <v>-10</v>
      </c>
      <c r="J166" s="30"/>
    </row>
    <row r="167" customFormat="false" ht="15" hidden="false" customHeight="false" outlineLevel="0" collapsed="false">
      <c r="A167" s="30" t="s">
        <v>369</v>
      </c>
      <c r="B167" s="30" t="s">
        <v>370</v>
      </c>
      <c r="C167" s="30" t="s">
        <v>528</v>
      </c>
      <c r="D167" s="30"/>
      <c r="E167" s="30" t="s">
        <v>525</v>
      </c>
      <c r="F167" s="30" t="s">
        <v>152</v>
      </c>
      <c r="G167" s="31" t="n">
        <v>46188</v>
      </c>
      <c r="H167" s="31" t="n">
        <v>46178</v>
      </c>
      <c r="I167" s="32" t="n">
        <v>-10</v>
      </c>
      <c r="J167" s="30"/>
    </row>
    <row r="168" customFormat="false" ht="15" hidden="false" customHeight="false" outlineLevel="0" collapsed="false">
      <c r="A168" s="30" t="s">
        <v>369</v>
      </c>
      <c r="B168" s="30" t="s">
        <v>370</v>
      </c>
      <c r="C168" s="30" t="s">
        <v>529</v>
      </c>
      <c r="D168" s="30"/>
      <c r="E168" s="30" t="s">
        <v>525</v>
      </c>
      <c r="F168" s="30" t="s">
        <v>152</v>
      </c>
      <c r="G168" s="31" t="n">
        <v>46188</v>
      </c>
      <c r="H168" s="31" t="n">
        <v>46178</v>
      </c>
      <c r="I168" s="32" t="n">
        <v>-10</v>
      </c>
      <c r="J168" s="30"/>
    </row>
    <row r="169" customFormat="false" ht="15" hidden="false" customHeight="false" outlineLevel="0" collapsed="false">
      <c r="A169" s="30" t="s">
        <v>369</v>
      </c>
      <c r="B169" s="30" t="s">
        <v>370</v>
      </c>
      <c r="C169" s="30" t="s">
        <v>530</v>
      </c>
      <c r="D169" s="30"/>
      <c r="E169" s="30" t="s">
        <v>525</v>
      </c>
      <c r="F169" s="30" t="s">
        <v>152</v>
      </c>
      <c r="G169" s="31" t="n">
        <v>46188</v>
      </c>
      <c r="H169" s="31" t="n">
        <v>46178</v>
      </c>
      <c r="I169" s="32" t="n">
        <v>-10</v>
      </c>
      <c r="J169" s="30"/>
    </row>
    <row r="170" customFormat="false" ht="15" hidden="false" customHeight="false" outlineLevel="0" collapsed="false">
      <c r="A170" s="30" t="s">
        <v>369</v>
      </c>
      <c r="B170" s="30" t="s">
        <v>370</v>
      </c>
      <c r="C170" s="30" t="s">
        <v>531</v>
      </c>
      <c r="D170" s="30"/>
      <c r="E170" s="30" t="s">
        <v>525</v>
      </c>
      <c r="F170" s="30" t="s">
        <v>152</v>
      </c>
      <c r="G170" s="31" t="n">
        <v>46188</v>
      </c>
      <c r="H170" s="31" t="n">
        <v>46178</v>
      </c>
      <c r="I170" s="32" t="n">
        <v>-10</v>
      </c>
      <c r="J170" s="30"/>
    </row>
    <row r="171" customFormat="false" ht="15" hidden="false" customHeight="false" outlineLevel="0" collapsed="false">
      <c r="A171" s="30" t="s">
        <v>369</v>
      </c>
      <c r="B171" s="30" t="s">
        <v>370</v>
      </c>
      <c r="C171" s="30" t="s">
        <v>532</v>
      </c>
      <c r="D171" s="30"/>
      <c r="E171" s="30" t="s">
        <v>525</v>
      </c>
      <c r="F171" s="30" t="s">
        <v>152</v>
      </c>
      <c r="G171" s="31" t="n">
        <v>46188</v>
      </c>
      <c r="H171" s="31" t="n">
        <v>46178</v>
      </c>
      <c r="I171" s="32" t="n">
        <v>-10</v>
      </c>
      <c r="J171" s="30"/>
    </row>
    <row r="172" customFormat="false" ht="15" hidden="false" customHeight="false" outlineLevel="0" collapsed="false">
      <c r="A172" s="30" t="s">
        <v>369</v>
      </c>
      <c r="B172" s="30" t="s">
        <v>370</v>
      </c>
      <c r="C172" s="30" t="s">
        <v>533</v>
      </c>
      <c r="D172" s="30"/>
      <c r="E172" s="30" t="s">
        <v>525</v>
      </c>
      <c r="F172" s="30" t="s">
        <v>152</v>
      </c>
      <c r="G172" s="31" t="n">
        <v>46188</v>
      </c>
      <c r="H172" s="31" t="n">
        <v>46178</v>
      </c>
      <c r="I172" s="32" t="n">
        <v>-10</v>
      </c>
      <c r="J172" s="30"/>
    </row>
    <row r="173" customFormat="false" ht="15" hidden="false" customHeight="false" outlineLevel="0" collapsed="false">
      <c r="A173" s="30" t="s">
        <v>369</v>
      </c>
      <c r="B173" s="30" t="s">
        <v>370</v>
      </c>
      <c r="C173" s="30" t="s">
        <v>534</v>
      </c>
      <c r="D173" s="30"/>
      <c r="E173" s="30" t="s">
        <v>525</v>
      </c>
      <c r="F173" s="30" t="s">
        <v>152</v>
      </c>
      <c r="G173" s="31" t="n">
        <v>46188</v>
      </c>
      <c r="H173" s="31" t="n">
        <v>46178</v>
      </c>
      <c r="I173" s="32" t="n">
        <v>-10</v>
      </c>
      <c r="J173" s="30"/>
    </row>
    <row r="174" customFormat="false" ht="15" hidden="false" customHeight="false" outlineLevel="0" collapsed="false">
      <c r="A174" s="30" t="s">
        <v>369</v>
      </c>
      <c r="B174" s="30" t="s">
        <v>370</v>
      </c>
      <c r="C174" s="30" t="s">
        <v>535</v>
      </c>
      <c r="D174" s="30"/>
      <c r="E174" s="30" t="s">
        <v>525</v>
      </c>
      <c r="F174" s="30" t="s">
        <v>152</v>
      </c>
      <c r="G174" s="31" t="n">
        <v>46188</v>
      </c>
      <c r="H174" s="31" t="n">
        <v>46178</v>
      </c>
      <c r="I174" s="32" t="n">
        <v>-10</v>
      </c>
      <c r="J174" s="30"/>
    </row>
    <row r="175" customFormat="false" ht="15" hidden="false" customHeight="false" outlineLevel="0" collapsed="false">
      <c r="A175" s="30" t="s">
        <v>369</v>
      </c>
      <c r="B175" s="30" t="s">
        <v>370</v>
      </c>
      <c r="C175" s="30" t="s">
        <v>536</v>
      </c>
      <c r="D175" s="30"/>
      <c r="E175" s="30" t="s">
        <v>525</v>
      </c>
      <c r="F175" s="30" t="s">
        <v>152</v>
      </c>
      <c r="G175" s="31" t="n">
        <v>46188</v>
      </c>
      <c r="H175" s="31" t="n">
        <v>46178</v>
      </c>
      <c r="I175" s="32" t="n">
        <v>-10</v>
      </c>
      <c r="J175" s="30"/>
    </row>
    <row r="176" customFormat="false" ht="15" hidden="false" customHeight="false" outlineLevel="0" collapsed="false">
      <c r="A176" s="30" t="s">
        <v>369</v>
      </c>
      <c r="B176" s="30" t="s">
        <v>370</v>
      </c>
      <c r="C176" s="30" t="s">
        <v>537</v>
      </c>
      <c r="D176" s="30"/>
      <c r="E176" s="30" t="s">
        <v>525</v>
      </c>
      <c r="F176" s="30" t="s">
        <v>152</v>
      </c>
      <c r="G176" s="31" t="n">
        <v>46188</v>
      </c>
      <c r="H176" s="31" t="n">
        <v>46178</v>
      </c>
      <c r="I176" s="32" t="n">
        <v>-10</v>
      </c>
      <c r="J176" s="30"/>
    </row>
    <row r="177" customFormat="false" ht="15" hidden="false" customHeight="false" outlineLevel="0" collapsed="false">
      <c r="A177" s="30" t="s">
        <v>369</v>
      </c>
      <c r="B177" s="30" t="s">
        <v>370</v>
      </c>
      <c r="C177" s="30" t="s">
        <v>538</v>
      </c>
      <c r="D177" s="30"/>
      <c r="E177" s="30" t="s">
        <v>525</v>
      </c>
      <c r="F177" s="30" t="s">
        <v>152</v>
      </c>
      <c r="G177" s="31" t="n">
        <v>46188</v>
      </c>
      <c r="H177" s="31" t="n">
        <v>46178</v>
      </c>
      <c r="I177" s="32" t="n">
        <v>-10</v>
      </c>
      <c r="J177" s="30"/>
    </row>
    <row r="178" customFormat="false" ht="15" hidden="false" customHeight="false" outlineLevel="0" collapsed="false">
      <c r="A178" s="30" t="s">
        <v>369</v>
      </c>
      <c r="B178" s="30" t="s">
        <v>370</v>
      </c>
      <c r="C178" s="30" t="s">
        <v>539</v>
      </c>
      <c r="D178" s="30"/>
      <c r="E178" s="30" t="s">
        <v>525</v>
      </c>
      <c r="F178" s="30" t="s">
        <v>152</v>
      </c>
      <c r="G178" s="31" t="n">
        <v>46188</v>
      </c>
      <c r="H178" s="31" t="n">
        <v>46178</v>
      </c>
      <c r="I178" s="32" t="n">
        <v>-10</v>
      </c>
      <c r="J178" s="30"/>
    </row>
    <row r="179" customFormat="false" ht="15" hidden="false" customHeight="false" outlineLevel="0" collapsed="false">
      <c r="A179" s="30" t="s">
        <v>369</v>
      </c>
      <c r="B179" s="30" t="s">
        <v>370</v>
      </c>
      <c r="C179" s="30" t="s">
        <v>540</v>
      </c>
      <c r="D179" s="30"/>
      <c r="E179" s="30" t="s">
        <v>525</v>
      </c>
      <c r="F179" s="30" t="s">
        <v>152</v>
      </c>
      <c r="G179" s="31" t="n">
        <v>46188</v>
      </c>
      <c r="H179" s="31" t="n">
        <v>46178</v>
      </c>
      <c r="I179" s="32" t="n">
        <v>-10</v>
      </c>
      <c r="J179" s="30"/>
    </row>
    <row r="180" customFormat="false" ht="15" hidden="false" customHeight="false" outlineLevel="0" collapsed="false">
      <c r="A180" s="30" t="s">
        <v>369</v>
      </c>
      <c r="B180" s="30" t="s">
        <v>370</v>
      </c>
      <c r="C180" s="30" t="s">
        <v>541</v>
      </c>
      <c r="D180" s="30"/>
      <c r="E180" s="30" t="s">
        <v>525</v>
      </c>
      <c r="F180" s="30" t="s">
        <v>152</v>
      </c>
      <c r="G180" s="31" t="n">
        <v>46188</v>
      </c>
      <c r="H180" s="31" t="n">
        <v>46178</v>
      </c>
      <c r="I180" s="32" t="n">
        <v>-10</v>
      </c>
      <c r="J180" s="30"/>
    </row>
    <row r="181" customFormat="false" ht="15" hidden="false" customHeight="false" outlineLevel="0" collapsed="false">
      <c r="A181" s="30" t="s">
        <v>369</v>
      </c>
      <c r="B181" s="30" t="s">
        <v>370</v>
      </c>
      <c r="C181" s="30" t="s">
        <v>542</v>
      </c>
      <c r="D181" s="30"/>
      <c r="E181" s="30" t="s">
        <v>525</v>
      </c>
      <c r="F181" s="30" t="s">
        <v>152</v>
      </c>
      <c r="G181" s="31" t="n">
        <v>46188</v>
      </c>
      <c r="H181" s="31" t="n">
        <v>46178</v>
      </c>
      <c r="I181" s="32" t="n">
        <v>-10</v>
      </c>
      <c r="J181" s="30"/>
    </row>
    <row r="182" customFormat="false" ht="15" hidden="false" customHeight="false" outlineLevel="0" collapsed="false">
      <c r="A182" s="30" t="s">
        <v>369</v>
      </c>
      <c r="B182" s="30" t="s">
        <v>370</v>
      </c>
      <c r="C182" s="30" t="s">
        <v>543</v>
      </c>
      <c r="D182" s="30"/>
      <c r="E182" s="30" t="s">
        <v>525</v>
      </c>
      <c r="F182" s="30" t="s">
        <v>152</v>
      </c>
      <c r="G182" s="31" t="n">
        <v>46188</v>
      </c>
      <c r="H182" s="31" t="n">
        <v>46178</v>
      </c>
      <c r="I182" s="32" t="n">
        <v>-10</v>
      </c>
      <c r="J182" s="30"/>
    </row>
    <row r="183" customFormat="false" ht="15" hidden="false" customHeight="false" outlineLevel="0" collapsed="false">
      <c r="A183" s="30" t="s">
        <v>369</v>
      </c>
      <c r="B183" s="30" t="s">
        <v>370</v>
      </c>
      <c r="C183" s="30" t="s">
        <v>544</v>
      </c>
      <c r="D183" s="30"/>
      <c r="E183" s="30" t="s">
        <v>525</v>
      </c>
      <c r="F183" s="30" t="s">
        <v>152</v>
      </c>
      <c r="G183" s="31" t="n">
        <v>46188</v>
      </c>
      <c r="H183" s="31" t="n">
        <v>46178</v>
      </c>
      <c r="I183" s="32" t="n">
        <v>-10</v>
      </c>
      <c r="J183" s="30"/>
    </row>
    <row r="184" customFormat="false" ht="15" hidden="false" customHeight="false" outlineLevel="0" collapsed="false">
      <c r="A184" s="30" t="s">
        <v>369</v>
      </c>
      <c r="B184" s="30" t="s">
        <v>370</v>
      </c>
      <c r="C184" s="30" t="s">
        <v>545</v>
      </c>
      <c r="D184" s="30"/>
      <c r="E184" s="30" t="s">
        <v>525</v>
      </c>
      <c r="F184" s="30" t="s">
        <v>152</v>
      </c>
      <c r="G184" s="31" t="n">
        <v>46188</v>
      </c>
      <c r="H184" s="31" t="n">
        <v>46178</v>
      </c>
      <c r="I184" s="32" t="n">
        <v>-10</v>
      </c>
      <c r="J184" s="30"/>
    </row>
    <row r="185" customFormat="false" ht="15" hidden="false" customHeight="false" outlineLevel="0" collapsed="false">
      <c r="A185" s="30" t="s">
        <v>369</v>
      </c>
      <c r="B185" s="30" t="s">
        <v>370</v>
      </c>
      <c r="C185" s="30" t="s">
        <v>546</v>
      </c>
      <c r="D185" s="30"/>
      <c r="E185" s="30" t="s">
        <v>525</v>
      </c>
      <c r="F185" s="30" t="s">
        <v>152</v>
      </c>
      <c r="G185" s="31" t="n">
        <v>46188</v>
      </c>
      <c r="H185" s="31" t="n">
        <v>46178</v>
      </c>
      <c r="I185" s="32" t="n">
        <v>-10</v>
      </c>
      <c r="J185" s="30"/>
    </row>
    <row r="186" customFormat="false" ht="15" hidden="false" customHeight="false" outlineLevel="0" collapsed="false">
      <c r="A186" s="30" t="s">
        <v>369</v>
      </c>
      <c r="B186" s="30" t="s">
        <v>370</v>
      </c>
      <c r="C186" s="30" t="s">
        <v>547</v>
      </c>
      <c r="D186" s="30"/>
      <c r="E186" s="30" t="s">
        <v>525</v>
      </c>
      <c r="F186" s="30" t="s">
        <v>152</v>
      </c>
      <c r="G186" s="31" t="n">
        <v>46188</v>
      </c>
      <c r="H186" s="31" t="n">
        <v>46178</v>
      </c>
      <c r="I186" s="32" t="n">
        <v>-10</v>
      </c>
      <c r="J186" s="30"/>
    </row>
    <row r="187" customFormat="false" ht="15" hidden="false" customHeight="false" outlineLevel="0" collapsed="false">
      <c r="A187" s="30" t="s">
        <v>369</v>
      </c>
      <c r="B187" s="30" t="s">
        <v>370</v>
      </c>
      <c r="C187" s="30" t="s">
        <v>548</v>
      </c>
      <c r="D187" s="30"/>
      <c r="E187" s="30" t="s">
        <v>525</v>
      </c>
      <c r="F187" s="30" t="s">
        <v>152</v>
      </c>
      <c r="G187" s="31" t="n">
        <v>46188</v>
      </c>
      <c r="H187" s="31" t="n">
        <v>46178</v>
      </c>
      <c r="I187" s="32" t="n">
        <v>-10</v>
      </c>
      <c r="J187" s="30"/>
    </row>
    <row r="188" customFormat="false" ht="15" hidden="false" customHeight="false" outlineLevel="0" collapsed="false">
      <c r="A188" s="30" t="s">
        <v>369</v>
      </c>
      <c r="B188" s="30" t="s">
        <v>370</v>
      </c>
      <c r="C188" s="30" t="s">
        <v>549</v>
      </c>
      <c r="D188" s="30"/>
      <c r="E188" s="30" t="s">
        <v>525</v>
      </c>
      <c r="F188" s="30" t="s">
        <v>152</v>
      </c>
      <c r="G188" s="31" t="n">
        <v>46188</v>
      </c>
      <c r="H188" s="31" t="n">
        <v>46178</v>
      </c>
      <c r="I188" s="32" t="n">
        <v>-10</v>
      </c>
      <c r="J188" s="30"/>
    </row>
    <row r="189" customFormat="false" ht="15" hidden="false" customHeight="false" outlineLevel="0" collapsed="false">
      <c r="A189" s="30" t="s">
        <v>328</v>
      </c>
      <c r="B189" s="30" t="s">
        <v>360</v>
      </c>
      <c r="C189" s="30" t="s">
        <v>550</v>
      </c>
      <c r="D189" s="30"/>
      <c r="E189" s="30" t="s">
        <v>519</v>
      </c>
      <c r="F189" s="30" t="s">
        <v>56</v>
      </c>
      <c r="G189" s="31" t="n">
        <v>46188</v>
      </c>
      <c r="H189" s="31" t="n">
        <v>46178</v>
      </c>
      <c r="I189" s="32" t="n">
        <v>-10</v>
      </c>
      <c r="J189" s="30"/>
    </row>
    <row r="190" customFormat="false" ht="15" hidden="false" customHeight="false" outlineLevel="0" collapsed="false">
      <c r="A190" s="30" t="s">
        <v>328</v>
      </c>
      <c r="B190" s="30" t="s">
        <v>360</v>
      </c>
      <c r="C190" s="30" t="s">
        <v>551</v>
      </c>
      <c r="D190" s="30"/>
      <c r="E190" s="30" t="s">
        <v>519</v>
      </c>
      <c r="F190" s="30" t="s">
        <v>56</v>
      </c>
      <c r="G190" s="31" t="n">
        <v>46188</v>
      </c>
      <c r="H190" s="31" t="n">
        <v>46178</v>
      </c>
      <c r="I190" s="32" t="n">
        <v>-10</v>
      </c>
      <c r="J190" s="30"/>
    </row>
    <row r="191" customFormat="false" ht="15" hidden="false" customHeight="false" outlineLevel="0" collapsed="false">
      <c r="A191" s="30" t="s">
        <v>328</v>
      </c>
      <c r="B191" s="30" t="s">
        <v>360</v>
      </c>
      <c r="C191" s="30" t="s">
        <v>552</v>
      </c>
      <c r="D191" s="30"/>
      <c r="E191" s="30" t="s">
        <v>519</v>
      </c>
      <c r="F191" s="30" t="s">
        <v>56</v>
      </c>
      <c r="G191" s="31" t="n">
        <v>46188</v>
      </c>
      <c r="H191" s="31" t="n">
        <v>46178</v>
      </c>
      <c r="I191" s="32" t="n">
        <v>-10</v>
      </c>
      <c r="J191" s="30"/>
    </row>
    <row r="192" customFormat="false" ht="15" hidden="false" customHeight="false" outlineLevel="0" collapsed="false">
      <c r="A192" s="30" t="s">
        <v>328</v>
      </c>
      <c r="B192" s="30" t="s">
        <v>360</v>
      </c>
      <c r="C192" s="30" t="s">
        <v>553</v>
      </c>
      <c r="D192" s="30"/>
      <c r="E192" s="30" t="s">
        <v>519</v>
      </c>
      <c r="F192" s="30" t="s">
        <v>56</v>
      </c>
      <c r="G192" s="31" t="n">
        <v>46188</v>
      </c>
      <c r="H192" s="31" t="n">
        <v>46178</v>
      </c>
      <c r="I192" s="32" t="n">
        <v>-10</v>
      </c>
      <c r="J192" s="30"/>
    </row>
    <row r="193" customFormat="false" ht="15" hidden="false" customHeight="false" outlineLevel="0" collapsed="false">
      <c r="A193" s="30" t="s">
        <v>328</v>
      </c>
      <c r="B193" s="30" t="s">
        <v>360</v>
      </c>
      <c r="C193" s="30" t="s">
        <v>554</v>
      </c>
      <c r="D193" s="30"/>
      <c r="E193" s="30" t="s">
        <v>519</v>
      </c>
      <c r="F193" s="30" t="s">
        <v>56</v>
      </c>
      <c r="G193" s="31" t="n">
        <v>46188</v>
      </c>
      <c r="H193" s="31" t="n">
        <v>46178</v>
      </c>
      <c r="I193" s="32" t="n">
        <v>-10</v>
      </c>
      <c r="J193" s="30"/>
    </row>
    <row r="194" customFormat="false" ht="15" hidden="false" customHeight="false" outlineLevel="0" collapsed="false">
      <c r="A194" s="30" t="s">
        <v>328</v>
      </c>
      <c r="B194" s="30" t="s">
        <v>360</v>
      </c>
      <c r="C194" s="30" t="s">
        <v>555</v>
      </c>
      <c r="D194" s="30"/>
      <c r="E194" s="30" t="s">
        <v>519</v>
      </c>
      <c r="F194" s="30" t="s">
        <v>56</v>
      </c>
      <c r="G194" s="31" t="n">
        <v>46188</v>
      </c>
      <c r="H194" s="31" t="n">
        <v>46178</v>
      </c>
      <c r="I194" s="32" t="n">
        <v>-10</v>
      </c>
      <c r="J194" s="30"/>
    </row>
    <row r="195" customFormat="false" ht="15" hidden="false" customHeight="false" outlineLevel="0" collapsed="false">
      <c r="A195" s="30" t="s">
        <v>328</v>
      </c>
      <c r="B195" s="30" t="s">
        <v>360</v>
      </c>
      <c r="C195" s="30" t="s">
        <v>556</v>
      </c>
      <c r="D195" s="30"/>
      <c r="E195" s="30" t="s">
        <v>519</v>
      </c>
      <c r="F195" s="30" t="s">
        <v>56</v>
      </c>
      <c r="G195" s="31" t="n">
        <v>46188</v>
      </c>
      <c r="H195" s="31" t="n">
        <v>46178</v>
      </c>
      <c r="I195" s="32" t="n">
        <v>-10</v>
      </c>
      <c r="J195" s="30"/>
    </row>
    <row r="196" customFormat="false" ht="15" hidden="false" customHeight="false" outlineLevel="0" collapsed="false">
      <c r="A196" s="30" t="s">
        <v>328</v>
      </c>
      <c r="B196" s="30" t="s">
        <v>360</v>
      </c>
      <c r="C196" s="30" t="s">
        <v>557</v>
      </c>
      <c r="D196" s="30"/>
      <c r="E196" s="30" t="s">
        <v>519</v>
      </c>
      <c r="F196" s="30" t="s">
        <v>56</v>
      </c>
      <c r="G196" s="31" t="n">
        <v>46188</v>
      </c>
      <c r="H196" s="31" t="n">
        <v>46178</v>
      </c>
      <c r="I196" s="32" t="n">
        <v>-10</v>
      </c>
      <c r="J196" s="30"/>
    </row>
    <row r="197" customFormat="false" ht="15" hidden="false" customHeight="false" outlineLevel="0" collapsed="false">
      <c r="A197" s="30" t="s">
        <v>328</v>
      </c>
      <c r="B197" s="30" t="s">
        <v>360</v>
      </c>
      <c r="C197" s="30" t="s">
        <v>558</v>
      </c>
      <c r="D197" s="30"/>
      <c r="E197" s="30" t="s">
        <v>519</v>
      </c>
      <c r="F197" s="30" t="s">
        <v>56</v>
      </c>
      <c r="G197" s="31" t="n">
        <v>46188</v>
      </c>
      <c r="H197" s="31" t="n">
        <v>46178</v>
      </c>
      <c r="I197" s="32" t="n">
        <v>-10</v>
      </c>
      <c r="J197" s="30"/>
    </row>
    <row r="198" customFormat="false" ht="15" hidden="false" customHeight="false" outlineLevel="0" collapsed="false">
      <c r="A198" s="30" t="s">
        <v>328</v>
      </c>
      <c r="B198" s="30" t="s">
        <v>360</v>
      </c>
      <c r="C198" s="30" t="s">
        <v>559</v>
      </c>
      <c r="D198" s="30"/>
      <c r="E198" s="30" t="s">
        <v>519</v>
      </c>
      <c r="F198" s="30" t="s">
        <v>56</v>
      </c>
      <c r="G198" s="31" t="n">
        <v>46188</v>
      </c>
      <c r="H198" s="31" t="n">
        <v>46178</v>
      </c>
      <c r="I198" s="32" t="n">
        <v>-10</v>
      </c>
      <c r="J198" s="30"/>
    </row>
    <row r="199" customFormat="false" ht="15" hidden="false" customHeight="false" outlineLevel="0" collapsed="false">
      <c r="A199" s="30" t="s">
        <v>328</v>
      </c>
      <c r="B199" s="30" t="s">
        <v>560</v>
      </c>
      <c r="C199" s="30" t="s">
        <v>561</v>
      </c>
      <c r="D199" s="30"/>
      <c r="E199" s="30" t="s">
        <v>519</v>
      </c>
      <c r="F199" s="30" t="s">
        <v>56</v>
      </c>
      <c r="G199" s="31" t="n">
        <v>46188</v>
      </c>
      <c r="H199" s="31" t="n">
        <v>46178</v>
      </c>
      <c r="I199" s="32" t="n">
        <v>-10</v>
      </c>
      <c r="J199" s="30"/>
    </row>
    <row r="200" customFormat="false" ht="15" hidden="false" customHeight="false" outlineLevel="0" collapsed="false">
      <c r="A200" s="30" t="s">
        <v>328</v>
      </c>
      <c r="B200" s="30" t="s">
        <v>560</v>
      </c>
      <c r="C200" s="30" t="s">
        <v>562</v>
      </c>
      <c r="D200" s="30"/>
      <c r="E200" s="30" t="s">
        <v>519</v>
      </c>
      <c r="F200" s="30" t="s">
        <v>56</v>
      </c>
      <c r="G200" s="31" t="n">
        <v>46188</v>
      </c>
      <c r="H200" s="31" t="n">
        <v>46178</v>
      </c>
      <c r="I200" s="32" t="n">
        <v>-10</v>
      </c>
      <c r="J200" s="30"/>
    </row>
    <row r="201" customFormat="false" ht="15" hidden="false" customHeight="false" outlineLevel="0" collapsed="false">
      <c r="A201" s="30" t="s">
        <v>328</v>
      </c>
      <c r="B201" s="30" t="s">
        <v>560</v>
      </c>
      <c r="C201" s="30" t="s">
        <v>563</v>
      </c>
      <c r="D201" s="30"/>
      <c r="E201" s="30" t="s">
        <v>519</v>
      </c>
      <c r="F201" s="30" t="s">
        <v>56</v>
      </c>
      <c r="G201" s="31" t="n">
        <v>46188</v>
      </c>
      <c r="H201" s="31" t="n">
        <v>46178</v>
      </c>
      <c r="I201" s="32" t="n">
        <v>-10</v>
      </c>
      <c r="J201" s="30"/>
    </row>
    <row r="202" customFormat="false" ht="15" hidden="false" customHeight="false" outlineLevel="0" collapsed="false">
      <c r="A202" s="30" t="s">
        <v>328</v>
      </c>
      <c r="B202" s="30" t="s">
        <v>560</v>
      </c>
      <c r="C202" s="30" t="s">
        <v>564</v>
      </c>
      <c r="D202" s="30"/>
      <c r="E202" s="30" t="s">
        <v>519</v>
      </c>
      <c r="F202" s="30" t="s">
        <v>56</v>
      </c>
      <c r="G202" s="31" t="n">
        <v>46188</v>
      </c>
      <c r="H202" s="31" t="n">
        <v>46178</v>
      </c>
      <c r="I202" s="32" t="n">
        <v>-10</v>
      </c>
      <c r="J202" s="30"/>
    </row>
    <row r="203" customFormat="false" ht="15" hidden="false" customHeight="false" outlineLevel="0" collapsed="false">
      <c r="A203" s="30" t="s">
        <v>328</v>
      </c>
      <c r="B203" s="30" t="s">
        <v>560</v>
      </c>
      <c r="C203" s="30" t="s">
        <v>565</v>
      </c>
      <c r="D203" s="30"/>
      <c r="E203" s="30" t="s">
        <v>519</v>
      </c>
      <c r="F203" s="30" t="s">
        <v>56</v>
      </c>
      <c r="G203" s="31" t="n">
        <v>46188</v>
      </c>
      <c r="H203" s="31" t="n">
        <v>46178</v>
      </c>
      <c r="I203" s="32" t="n">
        <v>-10</v>
      </c>
      <c r="J203" s="30"/>
    </row>
    <row r="204" customFormat="false" ht="15" hidden="false" customHeight="false" outlineLevel="0" collapsed="false">
      <c r="A204" s="30" t="s">
        <v>328</v>
      </c>
      <c r="B204" s="30" t="s">
        <v>560</v>
      </c>
      <c r="C204" s="30" t="s">
        <v>566</v>
      </c>
      <c r="D204" s="30"/>
      <c r="E204" s="30" t="s">
        <v>519</v>
      </c>
      <c r="F204" s="30" t="s">
        <v>56</v>
      </c>
      <c r="G204" s="31" t="n">
        <v>46188</v>
      </c>
      <c r="H204" s="31" t="n">
        <v>46178</v>
      </c>
      <c r="I204" s="32" t="n">
        <v>-10</v>
      </c>
      <c r="J204" s="30"/>
    </row>
    <row r="205" customFormat="false" ht="15" hidden="false" customHeight="false" outlineLevel="0" collapsed="false">
      <c r="A205" s="30" t="s">
        <v>328</v>
      </c>
      <c r="B205" s="30" t="s">
        <v>560</v>
      </c>
      <c r="C205" s="30" t="s">
        <v>567</v>
      </c>
      <c r="D205" s="30"/>
      <c r="E205" s="30" t="s">
        <v>519</v>
      </c>
      <c r="F205" s="30" t="s">
        <v>56</v>
      </c>
      <c r="G205" s="31" t="n">
        <v>46188</v>
      </c>
      <c r="H205" s="31" t="n">
        <v>46178</v>
      </c>
      <c r="I205" s="32" t="n">
        <v>-10</v>
      </c>
      <c r="J205" s="30"/>
    </row>
    <row r="206" customFormat="false" ht="15" hidden="false" customHeight="false" outlineLevel="0" collapsed="false">
      <c r="A206" s="30" t="s">
        <v>328</v>
      </c>
      <c r="B206" s="30" t="s">
        <v>560</v>
      </c>
      <c r="C206" s="30" t="s">
        <v>568</v>
      </c>
      <c r="D206" s="30"/>
      <c r="E206" s="30" t="s">
        <v>519</v>
      </c>
      <c r="F206" s="30" t="s">
        <v>56</v>
      </c>
      <c r="G206" s="31" t="n">
        <v>46188</v>
      </c>
      <c r="H206" s="31" t="n">
        <v>46178</v>
      </c>
      <c r="I206" s="32" t="n">
        <v>-10</v>
      </c>
      <c r="J206" s="30"/>
    </row>
    <row r="207" customFormat="false" ht="15" hidden="false" customHeight="false" outlineLevel="0" collapsed="false">
      <c r="A207" s="30" t="s">
        <v>328</v>
      </c>
      <c r="B207" s="30" t="s">
        <v>569</v>
      </c>
      <c r="C207" s="30" t="s">
        <v>570</v>
      </c>
      <c r="D207" s="30"/>
      <c r="E207" s="30" t="s">
        <v>423</v>
      </c>
      <c r="F207" s="30" t="s">
        <v>29</v>
      </c>
      <c r="G207" s="31" t="n">
        <v>46178</v>
      </c>
      <c r="H207" s="31" t="n">
        <v>46178</v>
      </c>
      <c r="I207" s="32" t="n">
        <v>0</v>
      </c>
      <c r="J207" s="30"/>
    </row>
    <row r="208" customFormat="false" ht="15" hidden="false" customHeight="false" outlineLevel="0" collapsed="false">
      <c r="A208" s="30" t="s">
        <v>328</v>
      </c>
      <c r="B208" s="30" t="s">
        <v>569</v>
      </c>
      <c r="C208" s="30" t="s">
        <v>571</v>
      </c>
      <c r="D208" s="30"/>
      <c r="E208" s="30" t="s">
        <v>423</v>
      </c>
      <c r="F208" s="30" t="s">
        <v>29</v>
      </c>
      <c r="G208" s="31" t="n">
        <v>46178</v>
      </c>
      <c r="H208" s="31" t="n">
        <v>46178</v>
      </c>
      <c r="I208" s="32" t="n">
        <v>0</v>
      </c>
      <c r="J208" s="30"/>
    </row>
    <row r="209" customFormat="false" ht="15" hidden="false" customHeight="false" outlineLevel="0" collapsed="false">
      <c r="A209" s="30" t="s">
        <v>328</v>
      </c>
      <c r="B209" s="30" t="s">
        <v>569</v>
      </c>
      <c r="C209" s="30" t="s">
        <v>572</v>
      </c>
      <c r="D209" s="30"/>
      <c r="E209" s="30" t="s">
        <v>423</v>
      </c>
      <c r="F209" s="30" t="s">
        <v>29</v>
      </c>
      <c r="G209" s="31" t="n">
        <v>46178</v>
      </c>
      <c r="H209" s="31" t="n">
        <v>46178</v>
      </c>
      <c r="I209" s="32" t="n">
        <v>0</v>
      </c>
      <c r="J209" s="30"/>
    </row>
    <row r="210" customFormat="false" ht="15" hidden="false" customHeight="false" outlineLevel="0" collapsed="false">
      <c r="A210" s="30" t="s">
        <v>328</v>
      </c>
      <c r="B210" s="30" t="s">
        <v>569</v>
      </c>
      <c r="C210" s="30" t="s">
        <v>573</v>
      </c>
      <c r="D210" s="30"/>
      <c r="E210" s="30" t="s">
        <v>423</v>
      </c>
      <c r="F210" s="30" t="s">
        <v>29</v>
      </c>
      <c r="G210" s="31" t="n">
        <v>46178</v>
      </c>
      <c r="H210" s="31" t="n">
        <v>46178</v>
      </c>
      <c r="I210" s="32" t="n">
        <v>0</v>
      </c>
      <c r="J210" s="30"/>
    </row>
    <row r="211" customFormat="false" ht="15" hidden="false" customHeight="false" outlineLevel="0" collapsed="false">
      <c r="A211" s="30" t="s">
        <v>328</v>
      </c>
      <c r="B211" s="30" t="s">
        <v>569</v>
      </c>
      <c r="C211" s="30" t="s">
        <v>574</v>
      </c>
      <c r="D211" s="30"/>
      <c r="E211" s="30" t="s">
        <v>423</v>
      </c>
      <c r="F211" s="30" t="s">
        <v>29</v>
      </c>
      <c r="G211" s="31" t="n">
        <v>46178</v>
      </c>
      <c r="H211" s="31" t="n">
        <v>46178</v>
      </c>
      <c r="I211" s="32" t="n">
        <v>0</v>
      </c>
      <c r="J211" s="30"/>
    </row>
    <row r="212" customFormat="false" ht="15" hidden="false" customHeight="false" outlineLevel="0" collapsed="false">
      <c r="A212" s="30" t="s">
        <v>328</v>
      </c>
      <c r="B212" s="30" t="s">
        <v>569</v>
      </c>
      <c r="C212" s="30" t="s">
        <v>575</v>
      </c>
      <c r="D212" s="30"/>
      <c r="E212" s="30" t="s">
        <v>423</v>
      </c>
      <c r="F212" s="30" t="s">
        <v>29</v>
      </c>
      <c r="G212" s="31" t="n">
        <v>46178</v>
      </c>
      <c r="H212" s="31" t="n">
        <v>46178</v>
      </c>
      <c r="I212" s="32" t="n">
        <v>0</v>
      </c>
      <c r="J212" s="30"/>
    </row>
    <row r="213" customFormat="false" ht="15" hidden="false" customHeight="false" outlineLevel="0" collapsed="false">
      <c r="A213" s="30" t="s">
        <v>328</v>
      </c>
      <c r="B213" s="30" t="s">
        <v>569</v>
      </c>
      <c r="C213" s="30" t="s">
        <v>576</v>
      </c>
      <c r="D213" s="30"/>
      <c r="E213" s="30" t="s">
        <v>423</v>
      </c>
      <c r="F213" s="30" t="s">
        <v>29</v>
      </c>
      <c r="G213" s="31" t="n">
        <v>46178</v>
      </c>
      <c r="H213" s="31" t="n">
        <v>46178</v>
      </c>
      <c r="I213" s="32" t="n">
        <v>0</v>
      </c>
      <c r="J213" s="30"/>
    </row>
    <row r="214" customFormat="false" ht="15" hidden="false" customHeight="false" outlineLevel="0" collapsed="false">
      <c r="A214" s="30" t="s">
        <v>328</v>
      </c>
      <c r="B214" s="30" t="s">
        <v>569</v>
      </c>
      <c r="C214" s="30" t="s">
        <v>577</v>
      </c>
      <c r="D214" s="30"/>
      <c r="E214" s="30" t="s">
        <v>423</v>
      </c>
      <c r="F214" s="30" t="s">
        <v>29</v>
      </c>
      <c r="G214" s="31" t="n">
        <v>46178</v>
      </c>
      <c r="H214" s="31" t="n">
        <v>46178</v>
      </c>
      <c r="I214" s="32" t="n">
        <v>0</v>
      </c>
      <c r="J214" s="30"/>
    </row>
    <row r="215" customFormat="false" ht="15" hidden="false" customHeight="false" outlineLevel="0" collapsed="false">
      <c r="A215" s="30" t="s">
        <v>328</v>
      </c>
      <c r="B215" s="30" t="s">
        <v>569</v>
      </c>
      <c r="C215" s="30" t="s">
        <v>578</v>
      </c>
      <c r="D215" s="30"/>
      <c r="E215" s="30" t="s">
        <v>423</v>
      </c>
      <c r="F215" s="30" t="s">
        <v>29</v>
      </c>
      <c r="G215" s="31" t="n">
        <v>46178</v>
      </c>
      <c r="H215" s="31" t="n">
        <v>46178</v>
      </c>
      <c r="I215" s="32" t="n">
        <v>0</v>
      </c>
      <c r="J215" s="30"/>
    </row>
    <row r="216" customFormat="false" ht="15" hidden="false" customHeight="false" outlineLevel="0" collapsed="false">
      <c r="A216" s="30" t="s">
        <v>328</v>
      </c>
      <c r="B216" s="30" t="s">
        <v>579</v>
      </c>
      <c r="C216" s="30" t="s">
        <v>580</v>
      </c>
      <c r="D216" s="30"/>
      <c r="E216" s="30" t="s">
        <v>423</v>
      </c>
      <c r="F216" s="30" t="s">
        <v>29</v>
      </c>
      <c r="G216" s="31" t="n">
        <v>46178</v>
      </c>
      <c r="H216" s="31" t="n">
        <v>46178</v>
      </c>
      <c r="I216" s="32" t="n">
        <v>0</v>
      </c>
      <c r="J216" s="30"/>
    </row>
    <row r="217" customFormat="false" ht="15" hidden="false" customHeight="false" outlineLevel="0" collapsed="false">
      <c r="A217" s="30" t="s">
        <v>328</v>
      </c>
      <c r="B217" s="30" t="s">
        <v>579</v>
      </c>
      <c r="C217" s="30" t="s">
        <v>581</v>
      </c>
      <c r="D217" s="30"/>
      <c r="E217" s="30" t="s">
        <v>423</v>
      </c>
      <c r="F217" s="30" t="s">
        <v>29</v>
      </c>
      <c r="G217" s="31" t="n">
        <v>46178</v>
      </c>
      <c r="H217" s="31" t="n">
        <v>46178</v>
      </c>
      <c r="I217" s="32" t="n">
        <v>0</v>
      </c>
      <c r="J217" s="30"/>
    </row>
    <row r="218" customFormat="false" ht="15" hidden="false" customHeight="false" outlineLevel="0" collapsed="false">
      <c r="A218" s="30" t="s">
        <v>328</v>
      </c>
      <c r="B218" s="30" t="s">
        <v>579</v>
      </c>
      <c r="C218" s="30" t="s">
        <v>582</v>
      </c>
      <c r="D218" s="30"/>
      <c r="E218" s="30" t="s">
        <v>423</v>
      </c>
      <c r="F218" s="30" t="s">
        <v>29</v>
      </c>
      <c r="G218" s="31" t="n">
        <v>46178</v>
      </c>
      <c r="H218" s="31" t="n">
        <v>46178</v>
      </c>
      <c r="I218" s="32" t="n">
        <v>0</v>
      </c>
      <c r="J218" s="30"/>
    </row>
    <row r="219" customFormat="false" ht="15" hidden="false" customHeight="false" outlineLevel="0" collapsed="false">
      <c r="A219" s="30" t="s">
        <v>328</v>
      </c>
      <c r="B219" s="30" t="s">
        <v>579</v>
      </c>
      <c r="C219" s="30" t="s">
        <v>583</v>
      </c>
      <c r="D219" s="30"/>
      <c r="E219" s="30" t="s">
        <v>423</v>
      </c>
      <c r="F219" s="30" t="s">
        <v>29</v>
      </c>
      <c r="G219" s="31" t="n">
        <v>46178</v>
      </c>
      <c r="H219" s="31" t="n">
        <v>46178</v>
      </c>
      <c r="I219" s="32" t="n">
        <v>0</v>
      </c>
      <c r="J219" s="30"/>
    </row>
    <row r="220" customFormat="false" ht="15" hidden="false" customHeight="false" outlineLevel="0" collapsed="false">
      <c r="A220" s="30" t="s">
        <v>328</v>
      </c>
      <c r="B220" s="30" t="s">
        <v>579</v>
      </c>
      <c r="C220" s="30" t="s">
        <v>584</v>
      </c>
      <c r="D220" s="30"/>
      <c r="E220" s="30" t="s">
        <v>423</v>
      </c>
      <c r="F220" s="30" t="s">
        <v>29</v>
      </c>
      <c r="G220" s="31" t="n">
        <v>46178</v>
      </c>
      <c r="H220" s="31" t="n">
        <v>46178</v>
      </c>
      <c r="I220" s="32" t="n">
        <v>0</v>
      </c>
      <c r="J220" s="30"/>
    </row>
    <row r="221" customFormat="false" ht="15" hidden="false" customHeight="false" outlineLevel="0" collapsed="false">
      <c r="A221" s="30" t="s">
        <v>328</v>
      </c>
      <c r="B221" s="30" t="s">
        <v>579</v>
      </c>
      <c r="C221" s="30" t="s">
        <v>585</v>
      </c>
      <c r="D221" s="30"/>
      <c r="E221" s="30" t="s">
        <v>423</v>
      </c>
      <c r="F221" s="30" t="s">
        <v>29</v>
      </c>
      <c r="G221" s="31" t="n">
        <v>46178</v>
      </c>
      <c r="H221" s="31" t="n">
        <v>46178</v>
      </c>
      <c r="I221" s="32" t="n">
        <v>0</v>
      </c>
      <c r="J221" s="30"/>
    </row>
    <row r="222" customFormat="false" ht="15" hidden="false" customHeight="false" outlineLevel="0" collapsed="false">
      <c r="A222" s="30" t="s">
        <v>328</v>
      </c>
      <c r="B222" s="30" t="s">
        <v>579</v>
      </c>
      <c r="C222" s="30" t="s">
        <v>586</v>
      </c>
      <c r="D222" s="30"/>
      <c r="E222" s="30" t="s">
        <v>423</v>
      </c>
      <c r="F222" s="30" t="s">
        <v>29</v>
      </c>
      <c r="G222" s="31" t="n">
        <v>46178</v>
      </c>
      <c r="H222" s="31" t="n">
        <v>46178</v>
      </c>
      <c r="I222" s="32" t="n">
        <v>0</v>
      </c>
      <c r="J222" s="30"/>
    </row>
    <row r="223" customFormat="false" ht="15" hidden="false" customHeight="false" outlineLevel="0" collapsed="false">
      <c r="A223" s="30" t="s">
        <v>328</v>
      </c>
      <c r="B223" s="30" t="s">
        <v>579</v>
      </c>
      <c r="C223" s="30" t="s">
        <v>587</v>
      </c>
      <c r="D223" s="30"/>
      <c r="E223" s="30" t="s">
        <v>423</v>
      </c>
      <c r="F223" s="30" t="s">
        <v>29</v>
      </c>
      <c r="G223" s="31" t="n">
        <v>46178</v>
      </c>
      <c r="H223" s="31" t="n">
        <v>46178</v>
      </c>
      <c r="I223" s="32" t="n">
        <v>0</v>
      </c>
      <c r="J223" s="30"/>
    </row>
    <row r="224" customFormat="false" ht="15" hidden="false" customHeight="false" outlineLevel="0" collapsed="false">
      <c r="A224" s="30" t="s">
        <v>328</v>
      </c>
      <c r="B224" s="30" t="s">
        <v>579</v>
      </c>
      <c r="C224" s="30" t="s">
        <v>588</v>
      </c>
      <c r="D224" s="30"/>
      <c r="E224" s="30" t="s">
        <v>423</v>
      </c>
      <c r="F224" s="30" t="s">
        <v>29</v>
      </c>
      <c r="G224" s="31" t="n">
        <v>46178</v>
      </c>
      <c r="H224" s="31" t="n">
        <v>46178</v>
      </c>
      <c r="I224" s="32" t="n">
        <v>0</v>
      </c>
      <c r="J224" s="30"/>
    </row>
    <row r="225" customFormat="false" ht="15" hidden="false" customHeight="false" outlineLevel="0" collapsed="false">
      <c r="A225" s="30" t="s">
        <v>328</v>
      </c>
      <c r="B225" s="30" t="s">
        <v>579</v>
      </c>
      <c r="C225" s="30" t="s">
        <v>589</v>
      </c>
      <c r="D225" s="30"/>
      <c r="E225" s="30" t="s">
        <v>423</v>
      </c>
      <c r="F225" s="30" t="s">
        <v>29</v>
      </c>
      <c r="G225" s="31" t="n">
        <v>46178</v>
      </c>
      <c r="H225" s="31" t="n">
        <v>46178</v>
      </c>
      <c r="I225" s="32" t="n">
        <v>0</v>
      </c>
      <c r="J225" s="30"/>
    </row>
    <row r="226" customFormat="false" ht="15" hidden="false" customHeight="false" outlineLevel="0" collapsed="false">
      <c r="A226" s="30" t="s">
        <v>328</v>
      </c>
      <c r="B226" s="30" t="s">
        <v>579</v>
      </c>
      <c r="C226" s="30" t="s">
        <v>590</v>
      </c>
      <c r="D226" s="30"/>
      <c r="E226" s="30" t="s">
        <v>423</v>
      </c>
      <c r="F226" s="30" t="s">
        <v>29</v>
      </c>
      <c r="G226" s="31" t="n">
        <v>46178</v>
      </c>
      <c r="H226" s="31" t="n">
        <v>46178</v>
      </c>
      <c r="I226" s="32" t="n">
        <v>0</v>
      </c>
      <c r="J226" s="30"/>
    </row>
    <row r="227" customFormat="false" ht="15" hidden="false" customHeight="false" outlineLevel="0" collapsed="false">
      <c r="A227" s="30" t="s">
        <v>328</v>
      </c>
      <c r="B227" s="30" t="s">
        <v>579</v>
      </c>
      <c r="C227" s="30" t="s">
        <v>591</v>
      </c>
      <c r="D227" s="30"/>
      <c r="E227" s="30" t="s">
        <v>423</v>
      </c>
      <c r="F227" s="30" t="s">
        <v>29</v>
      </c>
      <c r="G227" s="31" t="n">
        <v>46178</v>
      </c>
      <c r="H227" s="31" t="n">
        <v>46178</v>
      </c>
      <c r="I227" s="32" t="n">
        <v>0</v>
      </c>
      <c r="J227" s="30"/>
    </row>
    <row r="228" customFormat="false" ht="15" hidden="false" customHeight="false" outlineLevel="0" collapsed="false">
      <c r="A228" s="30" t="s">
        <v>328</v>
      </c>
      <c r="B228" s="30" t="s">
        <v>579</v>
      </c>
      <c r="C228" s="30" t="s">
        <v>592</v>
      </c>
      <c r="D228" s="30"/>
      <c r="E228" s="30" t="s">
        <v>423</v>
      </c>
      <c r="F228" s="30" t="s">
        <v>29</v>
      </c>
      <c r="G228" s="31" t="n">
        <v>46178</v>
      </c>
      <c r="H228" s="31" t="n">
        <v>46178</v>
      </c>
      <c r="I228" s="32" t="n">
        <v>0</v>
      </c>
      <c r="J228" s="30"/>
    </row>
    <row r="229" customFormat="false" ht="15" hidden="false" customHeight="false" outlineLevel="0" collapsed="false">
      <c r="A229" s="30" t="s">
        <v>328</v>
      </c>
      <c r="B229" s="30" t="s">
        <v>579</v>
      </c>
      <c r="C229" s="30" t="s">
        <v>593</v>
      </c>
      <c r="D229" s="30"/>
      <c r="E229" s="30" t="s">
        <v>423</v>
      </c>
      <c r="F229" s="30" t="s">
        <v>29</v>
      </c>
      <c r="G229" s="31" t="n">
        <v>46178</v>
      </c>
      <c r="H229" s="31" t="n">
        <v>46178</v>
      </c>
      <c r="I229" s="32" t="n">
        <v>0</v>
      </c>
      <c r="J229" s="30"/>
    </row>
    <row r="230" customFormat="false" ht="15" hidden="false" customHeight="false" outlineLevel="0" collapsed="false">
      <c r="A230" s="30" t="s">
        <v>328</v>
      </c>
      <c r="B230" s="30" t="s">
        <v>579</v>
      </c>
      <c r="C230" s="30" t="s">
        <v>594</v>
      </c>
      <c r="D230" s="30"/>
      <c r="E230" s="30" t="s">
        <v>423</v>
      </c>
      <c r="F230" s="30" t="s">
        <v>29</v>
      </c>
      <c r="G230" s="31" t="n">
        <v>46178</v>
      </c>
      <c r="H230" s="31" t="n">
        <v>46178</v>
      </c>
      <c r="I230" s="32" t="n">
        <v>0</v>
      </c>
      <c r="J230" s="30"/>
    </row>
    <row r="231" customFormat="false" ht="15" hidden="false" customHeight="false" outlineLevel="0" collapsed="false">
      <c r="A231" s="30" t="s">
        <v>328</v>
      </c>
      <c r="B231" s="30" t="s">
        <v>579</v>
      </c>
      <c r="C231" s="30" t="s">
        <v>595</v>
      </c>
      <c r="D231" s="30"/>
      <c r="E231" s="30" t="s">
        <v>423</v>
      </c>
      <c r="F231" s="30" t="s">
        <v>29</v>
      </c>
      <c r="G231" s="31" t="n">
        <v>46178</v>
      </c>
      <c r="H231" s="31" t="n">
        <v>46178</v>
      </c>
      <c r="I231" s="32" t="n">
        <v>0</v>
      </c>
      <c r="J231" s="30"/>
    </row>
    <row r="232" customFormat="false" ht="15" hidden="false" customHeight="false" outlineLevel="0" collapsed="false">
      <c r="A232" s="30" t="s">
        <v>328</v>
      </c>
      <c r="B232" s="30" t="s">
        <v>579</v>
      </c>
      <c r="C232" s="30" t="s">
        <v>596</v>
      </c>
      <c r="D232" s="30"/>
      <c r="E232" s="30" t="s">
        <v>423</v>
      </c>
      <c r="F232" s="30" t="s">
        <v>29</v>
      </c>
      <c r="G232" s="31" t="n">
        <v>46178</v>
      </c>
      <c r="H232" s="31" t="n">
        <v>46178</v>
      </c>
      <c r="I232" s="32" t="n">
        <v>0</v>
      </c>
      <c r="J232" s="30"/>
    </row>
    <row r="233" customFormat="false" ht="15" hidden="false" customHeight="false" outlineLevel="0" collapsed="false">
      <c r="A233" s="30" t="s">
        <v>328</v>
      </c>
      <c r="B233" s="30" t="s">
        <v>579</v>
      </c>
      <c r="C233" s="30" t="s">
        <v>597</v>
      </c>
      <c r="D233" s="30"/>
      <c r="E233" s="30" t="s">
        <v>423</v>
      </c>
      <c r="F233" s="30" t="s">
        <v>29</v>
      </c>
      <c r="G233" s="31" t="n">
        <v>46178</v>
      </c>
      <c r="H233" s="31" t="n">
        <v>46178</v>
      </c>
      <c r="I233" s="32" t="n">
        <v>0</v>
      </c>
      <c r="J233" s="30"/>
    </row>
    <row r="234" customFormat="false" ht="15" hidden="false" customHeight="false" outlineLevel="0" collapsed="false">
      <c r="A234" s="30" t="s">
        <v>328</v>
      </c>
      <c r="B234" s="30" t="s">
        <v>579</v>
      </c>
      <c r="C234" s="30" t="s">
        <v>598</v>
      </c>
      <c r="D234" s="30"/>
      <c r="E234" s="30" t="s">
        <v>423</v>
      </c>
      <c r="F234" s="30" t="s">
        <v>29</v>
      </c>
      <c r="G234" s="31" t="n">
        <v>46178</v>
      </c>
      <c r="H234" s="31" t="n">
        <v>46178</v>
      </c>
      <c r="I234" s="32" t="n">
        <v>0</v>
      </c>
      <c r="J234" s="30"/>
    </row>
    <row r="235" customFormat="false" ht="15" hidden="false" customHeight="false" outlineLevel="0" collapsed="false">
      <c r="A235" s="30" t="s">
        <v>362</v>
      </c>
      <c r="B235" s="30" t="s">
        <v>360</v>
      </c>
      <c r="C235" s="30" t="s">
        <v>599</v>
      </c>
      <c r="D235" s="30"/>
      <c r="E235" s="30" t="s">
        <v>519</v>
      </c>
      <c r="F235" s="30" t="s">
        <v>29</v>
      </c>
      <c r="G235" s="31" t="n">
        <v>46178</v>
      </c>
      <c r="H235" s="31" t="n">
        <v>46178</v>
      </c>
      <c r="I235" s="32" t="n">
        <v>0</v>
      </c>
      <c r="J235" s="30"/>
    </row>
    <row r="236" customFormat="false" ht="15" hidden="false" customHeight="false" outlineLevel="0" collapsed="false">
      <c r="A236" s="30" t="s">
        <v>362</v>
      </c>
      <c r="B236" s="30" t="s">
        <v>360</v>
      </c>
      <c r="C236" s="30" t="s">
        <v>600</v>
      </c>
      <c r="D236" s="30"/>
      <c r="E236" s="30" t="s">
        <v>519</v>
      </c>
      <c r="F236" s="30" t="s">
        <v>29</v>
      </c>
      <c r="G236" s="31" t="n">
        <v>46178</v>
      </c>
      <c r="H236" s="31" t="n">
        <v>46178</v>
      </c>
      <c r="I236" s="32" t="n">
        <v>0</v>
      </c>
      <c r="J236" s="30"/>
    </row>
    <row r="237" customFormat="false" ht="15" hidden="false" customHeight="false" outlineLevel="0" collapsed="false">
      <c r="A237" s="30" t="s">
        <v>362</v>
      </c>
      <c r="B237" s="30" t="s">
        <v>360</v>
      </c>
      <c r="C237" s="30" t="s">
        <v>601</v>
      </c>
      <c r="D237" s="30"/>
      <c r="E237" s="30" t="s">
        <v>519</v>
      </c>
      <c r="F237" s="30" t="s">
        <v>29</v>
      </c>
      <c r="G237" s="31" t="n">
        <v>46178</v>
      </c>
      <c r="H237" s="31" t="n">
        <v>46178</v>
      </c>
      <c r="I237" s="32" t="n">
        <v>0</v>
      </c>
      <c r="J237" s="30"/>
    </row>
    <row r="238" customFormat="false" ht="15" hidden="false" customHeight="false" outlineLevel="0" collapsed="false">
      <c r="A238" s="30" t="s">
        <v>362</v>
      </c>
      <c r="B238" s="30" t="s">
        <v>360</v>
      </c>
      <c r="C238" s="30" t="s">
        <v>602</v>
      </c>
      <c r="D238" s="30"/>
      <c r="E238" s="30" t="s">
        <v>519</v>
      </c>
      <c r="F238" s="30" t="s">
        <v>29</v>
      </c>
      <c r="G238" s="31" t="n">
        <v>46178</v>
      </c>
      <c r="H238" s="31" t="n">
        <v>46178</v>
      </c>
      <c r="I238" s="32" t="n">
        <v>0</v>
      </c>
      <c r="J238" s="30"/>
    </row>
    <row r="239" customFormat="false" ht="15" hidden="false" customHeight="false" outlineLevel="0" collapsed="false">
      <c r="A239" s="30" t="s">
        <v>362</v>
      </c>
      <c r="B239" s="30" t="s">
        <v>360</v>
      </c>
      <c r="C239" s="30" t="s">
        <v>603</v>
      </c>
      <c r="D239" s="30"/>
      <c r="E239" s="30" t="s">
        <v>519</v>
      </c>
      <c r="F239" s="30" t="s">
        <v>29</v>
      </c>
      <c r="G239" s="31" t="n">
        <v>46178</v>
      </c>
      <c r="H239" s="31" t="n">
        <v>46178</v>
      </c>
      <c r="I239" s="32" t="n">
        <v>0</v>
      </c>
      <c r="J239" s="30"/>
    </row>
    <row r="240" customFormat="false" ht="15" hidden="false" customHeight="false" outlineLevel="0" collapsed="false">
      <c r="A240" s="30" t="s">
        <v>362</v>
      </c>
      <c r="B240" s="30" t="s">
        <v>360</v>
      </c>
      <c r="C240" s="30" t="s">
        <v>604</v>
      </c>
      <c r="D240" s="30"/>
      <c r="E240" s="30" t="s">
        <v>519</v>
      </c>
      <c r="F240" s="30" t="s">
        <v>29</v>
      </c>
      <c r="G240" s="31" t="n">
        <v>46178</v>
      </c>
      <c r="H240" s="31" t="n">
        <v>46178</v>
      </c>
      <c r="I240" s="32" t="n">
        <v>0</v>
      </c>
      <c r="J240" s="30"/>
    </row>
    <row r="241" customFormat="false" ht="15" hidden="false" customHeight="false" outlineLevel="0" collapsed="false">
      <c r="A241" s="30" t="s">
        <v>362</v>
      </c>
      <c r="B241" s="30" t="s">
        <v>360</v>
      </c>
      <c r="C241" s="30" t="s">
        <v>605</v>
      </c>
      <c r="D241" s="30"/>
      <c r="E241" s="30" t="s">
        <v>519</v>
      </c>
      <c r="F241" s="30" t="s">
        <v>29</v>
      </c>
      <c r="G241" s="31" t="n">
        <v>46178</v>
      </c>
      <c r="H241" s="31" t="n">
        <v>46178</v>
      </c>
      <c r="I241" s="32" t="n">
        <v>0</v>
      </c>
      <c r="J241" s="30"/>
    </row>
    <row r="242" customFormat="false" ht="15" hidden="false" customHeight="false" outlineLevel="0" collapsed="false">
      <c r="A242" s="30" t="s">
        <v>362</v>
      </c>
      <c r="B242" s="30" t="s">
        <v>360</v>
      </c>
      <c r="C242" s="30" t="s">
        <v>606</v>
      </c>
      <c r="D242" s="30"/>
      <c r="E242" s="30" t="s">
        <v>519</v>
      </c>
      <c r="F242" s="30" t="s">
        <v>29</v>
      </c>
      <c r="G242" s="31" t="n">
        <v>46178</v>
      </c>
      <c r="H242" s="31" t="n">
        <v>46178</v>
      </c>
      <c r="I242" s="32" t="n">
        <v>0</v>
      </c>
      <c r="J242" s="30"/>
    </row>
    <row r="243" customFormat="false" ht="15" hidden="false" customHeight="false" outlineLevel="0" collapsed="false">
      <c r="A243" s="30" t="s">
        <v>362</v>
      </c>
      <c r="B243" s="30" t="s">
        <v>360</v>
      </c>
      <c r="C243" s="30" t="s">
        <v>607</v>
      </c>
      <c r="D243" s="30"/>
      <c r="E243" s="30" t="s">
        <v>519</v>
      </c>
      <c r="F243" s="30" t="s">
        <v>29</v>
      </c>
      <c r="G243" s="31" t="n">
        <v>46178</v>
      </c>
      <c r="H243" s="31" t="n">
        <v>46178</v>
      </c>
      <c r="I243" s="32" t="n">
        <v>0</v>
      </c>
      <c r="J243" s="30"/>
    </row>
    <row r="244" customFormat="false" ht="15" hidden="false" customHeight="false" outlineLevel="0" collapsed="false">
      <c r="A244" s="30" t="s">
        <v>362</v>
      </c>
      <c r="B244" s="30" t="s">
        <v>360</v>
      </c>
      <c r="C244" s="30" t="s">
        <v>608</v>
      </c>
      <c r="D244" s="30"/>
      <c r="E244" s="30" t="s">
        <v>519</v>
      </c>
      <c r="F244" s="30" t="s">
        <v>29</v>
      </c>
      <c r="G244" s="31" t="n">
        <v>46178</v>
      </c>
      <c r="H244" s="31" t="n">
        <v>46178</v>
      </c>
      <c r="I244" s="32" t="n">
        <v>0</v>
      </c>
      <c r="J244" s="30"/>
    </row>
    <row r="245" customFormat="false" ht="15" hidden="false" customHeight="false" outlineLevel="0" collapsed="false">
      <c r="A245" s="30" t="s">
        <v>362</v>
      </c>
      <c r="B245" s="30" t="s">
        <v>609</v>
      </c>
      <c r="C245" s="30" t="s">
        <v>610</v>
      </c>
      <c r="D245" s="30"/>
      <c r="E245" s="30" t="s">
        <v>519</v>
      </c>
      <c r="F245" s="30" t="s">
        <v>29</v>
      </c>
      <c r="G245" s="31" t="n">
        <v>46178</v>
      </c>
      <c r="H245" s="31" t="n">
        <v>46178</v>
      </c>
      <c r="I245" s="32" t="n">
        <v>0</v>
      </c>
      <c r="J245" s="30"/>
    </row>
    <row r="246" customFormat="false" ht="15" hidden="false" customHeight="false" outlineLevel="0" collapsed="false">
      <c r="A246" s="30" t="s">
        <v>362</v>
      </c>
      <c r="B246" s="30" t="s">
        <v>609</v>
      </c>
      <c r="C246" s="30" t="s">
        <v>611</v>
      </c>
      <c r="D246" s="30"/>
      <c r="E246" s="30" t="s">
        <v>519</v>
      </c>
      <c r="F246" s="30" t="s">
        <v>29</v>
      </c>
      <c r="G246" s="31" t="n">
        <v>46178</v>
      </c>
      <c r="H246" s="31" t="n">
        <v>46178</v>
      </c>
      <c r="I246" s="32" t="n">
        <v>0</v>
      </c>
      <c r="J246" s="30"/>
    </row>
    <row r="247" customFormat="false" ht="15" hidden="false" customHeight="false" outlineLevel="0" collapsed="false">
      <c r="A247" s="30" t="s">
        <v>362</v>
      </c>
      <c r="B247" s="30" t="s">
        <v>609</v>
      </c>
      <c r="C247" s="30" t="s">
        <v>612</v>
      </c>
      <c r="D247" s="30"/>
      <c r="E247" s="30" t="s">
        <v>519</v>
      </c>
      <c r="F247" s="30" t="s">
        <v>29</v>
      </c>
      <c r="G247" s="31" t="n">
        <v>46178</v>
      </c>
      <c r="H247" s="31" t="n">
        <v>46178</v>
      </c>
      <c r="I247" s="32" t="n">
        <v>0</v>
      </c>
      <c r="J247" s="30"/>
    </row>
    <row r="248" customFormat="false" ht="15" hidden="false" customHeight="false" outlineLevel="0" collapsed="false">
      <c r="A248" s="30" t="s">
        <v>362</v>
      </c>
      <c r="B248" s="30" t="s">
        <v>609</v>
      </c>
      <c r="C248" s="30" t="s">
        <v>613</v>
      </c>
      <c r="D248" s="30"/>
      <c r="E248" s="30" t="s">
        <v>519</v>
      </c>
      <c r="F248" s="30" t="s">
        <v>29</v>
      </c>
      <c r="G248" s="31" t="n">
        <v>46178</v>
      </c>
      <c r="H248" s="31" t="n">
        <v>46178</v>
      </c>
      <c r="I248" s="32" t="n">
        <v>0</v>
      </c>
      <c r="J248" s="30"/>
    </row>
    <row r="249" customFormat="false" ht="15" hidden="false" customHeight="false" outlineLevel="0" collapsed="false">
      <c r="A249" s="30" t="s">
        <v>362</v>
      </c>
      <c r="B249" s="30" t="s">
        <v>609</v>
      </c>
      <c r="C249" s="30" t="s">
        <v>614</v>
      </c>
      <c r="D249" s="30"/>
      <c r="E249" s="30" t="s">
        <v>519</v>
      </c>
      <c r="F249" s="30" t="s">
        <v>29</v>
      </c>
      <c r="G249" s="31" t="n">
        <v>46178</v>
      </c>
      <c r="H249" s="31" t="n">
        <v>46178</v>
      </c>
      <c r="I249" s="32" t="n">
        <v>0</v>
      </c>
      <c r="J249" s="30"/>
    </row>
    <row r="250" customFormat="false" ht="15" hidden="false" customHeight="false" outlineLevel="0" collapsed="false">
      <c r="A250" s="30" t="s">
        <v>362</v>
      </c>
      <c r="B250" s="30" t="s">
        <v>609</v>
      </c>
      <c r="C250" s="30" t="s">
        <v>615</v>
      </c>
      <c r="D250" s="30"/>
      <c r="E250" s="30" t="s">
        <v>519</v>
      </c>
      <c r="F250" s="30" t="s">
        <v>29</v>
      </c>
      <c r="G250" s="31" t="n">
        <v>46178</v>
      </c>
      <c r="H250" s="31" t="n">
        <v>46178</v>
      </c>
      <c r="I250" s="32" t="n">
        <v>0</v>
      </c>
      <c r="J250" s="30"/>
    </row>
    <row r="251" customFormat="false" ht="15" hidden="false" customHeight="false" outlineLevel="0" collapsed="false">
      <c r="A251" s="30" t="s">
        <v>362</v>
      </c>
      <c r="B251" s="30" t="s">
        <v>609</v>
      </c>
      <c r="C251" s="30" t="s">
        <v>616</v>
      </c>
      <c r="D251" s="30"/>
      <c r="E251" s="30" t="s">
        <v>519</v>
      </c>
      <c r="F251" s="30" t="s">
        <v>29</v>
      </c>
      <c r="G251" s="31" t="n">
        <v>46178</v>
      </c>
      <c r="H251" s="31" t="n">
        <v>46178</v>
      </c>
      <c r="I251" s="32" t="n">
        <v>0</v>
      </c>
      <c r="J251" s="30"/>
    </row>
    <row r="252" customFormat="false" ht="15" hidden="false" customHeight="false" outlineLevel="0" collapsed="false">
      <c r="A252" s="30" t="s">
        <v>362</v>
      </c>
      <c r="B252" s="30" t="s">
        <v>609</v>
      </c>
      <c r="C252" s="30" t="s">
        <v>617</v>
      </c>
      <c r="D252" s="30"/>
      <c r="E252" s="30" t="s">
        <v>519</v>
      </c>
      <c r="F252" s="30" t="s">
        <v>29</v>
      </c>
      <c r="G252" s="31" t="n">
        <v>46178</v>
      </c>
      <c r="H252" s="31" t="n">
        <v>46178</v>
      </c>
      <c r="I252" s="32" t="n">
        <v>0</v>
      </c>
      <c r="J252" s="30"/>
    </row>
    <row r="253" customFormat="false" ht="15" hidden="false" customHeight="false" outlineLevel="0" collapsed="false">
      <c r="A253" s="30" t="s">
        <v>362</v>
      </c>
      <c r="B253" s="30" t="s">
        <v>609</v>
      </c>
      <c r="C253" s="30" t="s">
        <v>618</v>
      </c>
      <c r="D253" s="30"/>
      <c r="E253" s="30" t="s">
        <v>519</v>
      </c>
      <c r="F253" s="30" t="s">
        <v>29</v>
      </c>
      <c r="G253" s="31" t="n">
        <v>46178</v>
      </c>
      <c r="H253" s="31" t="n">
        <v>46178</v>
      </c>
      <c r="I253" s="32" t="n">
        <v>0</v>
      </c>
      <c r="J253" s="30"/>
    </row>
    <row r="254" customFormat="false" ht="15" hidden="false" customHeight="false" outlineLevel="0" collapsed="false">
      <c r="A254" s="30" t="s">
        <v>362</v>
      </c>
      <c r="B254" s="30" t="s">
        <v>609</v>
      </c>
      <c r="C254" s="30" t="s">
        <v>619</v>
      </c>
      <c r="D254" s="30"/>
      <c r="E254" s="30" t="s">
        <v>519</v>
      </c>
      <c r="F254" s="30" t="s">
        <v>29</v>
      </c>
      <c r="G254" s="31" t="n">
        <v>46178</v>
      </c>
      <c r="H254" s="31" t="n">
        <v>46178</v>
      </c>
      <c r="I254" s="32" t="n">
        <v>0</v>
      </c>
      <c r="J254" s="30"/>
    </row>
    <row r="255" customFormat="false" ht="15" hidden="false" customHeight="false" outlineLevel="0" collapsed="false">
      <c r="A255" s="30" t="s">
        <v>362</v>
      </c>
      <c r="B255" s="30" t="s">
        <v>609</v>
      </c>
      <c r="C255" s="30" t="s">
        <v>620</v>
      </c>
      <c r="D255" s="30"/>
      <c r="E255" s="30" t="s">
        <v>519</v>
      </c>
      <c r="F255" s="30" t="s">
        <v>29</v>
      </c>
      <c r="G255" s="31" t="n">
        <v>46178</v>
      </c>
      <c r="H255" s="31" t="n">
        <v>46178</v>
      </c>
      <c r="I255" s="32" t="n">
        <v>0</v>
      </c>
      <c r="J255" s="30"/>
    </row>
    <row r="256" customFormat="false" ht="15" hidden="false" customHeight="false" outlineLevel="0" collapsed="false">
      <c r="A256" s="30" t="s">
        <v>362</v>
      </c>
      <c r="B256" s="30" t="s">
        <v>609</v>
      </c>
      <c r="C256" s="30" t="s">
        <v>621</v>
      </c>
      <c r="D256" s="30"/>
      <c r="E256" s="30" t="s">
        <v>519</v>
      </c>
      <c r="F256" s="30" t="s">
        <v>29</v>
      </c>
      <c r="G256" s="31" t="n">
        <v>46178</v>
      </c>
      <c r="H256" s="31" t="n">
        <v>46178</v>
      </c>
      <c r="I256" s="32" t="n">
        <v>0</v>
      </c>
      <c r="J256" s="30"/>
    </row>
    <row r="257" customFormat="false" ht="15" hidden="false" customHeight="false" outlineLevel="0" collapsed="false">
      <c r="A257" s="30" t="s">
        <v>362</v>
      </c>
      <c r="B257" s="30" t="s">
        <v>609</v>
      </c>
      <c r="C257" s="30" t="s">
        <v>622</v>
      </c>
      <c r="D257" s="30"/>
      <c r="E257" s="30" t="s">
        <v>519</v>
      </c>
      <c r="F257" s="30" t="s">
        <v>29</v>
      </c>
      <c r="G257" s="31" t="n">
        <v>46178</v>
      </c>
      <c r="H257" s="31" t="n">
        <v>46178</v>
      </c>
      <c r="I257" s="32" t="n">
        <v>0</v>
      </c>
      <c r="J257" s="30"/>
    </row>
    <row r="258" customFormat="false" ht="15" hidden="false" customHeight="false" outlineLevel="0" collapsed="false">
      <c r="A258" s="30" t="s">
        <v>362</v>
      </c>
      <c r="B258" s="30" t="s">
        <v>609</v>
      </c>
      <c r="C258" s="30" t="s">
        <v>623</v>
      </c>
      <c r="D258" s="30"/>
      <c r="E258" s="30" t="s">
        <v>519</v>
      </c>
      <c r="F258" s="30" t="s">
        <v>29</v>
      </c>
      <c r="G258" s="31" t="n">
        <v>46178</v>
      </c>
      <c r="H258" s="31" t="n">
        <v>46178</v>
      </c>
      <c r="I258" s="32" t="n">
        <v>0</v>
      </c>
      <c r="J258" s="30"/>
    </row>
    <row r="259" customFormat="false" ht="15" hidden="false" customHeight="false" outlineLevel="0" collapsed="false">
      <c r="A259" s="30" t="s">
        <v>362</v>
      </c>
      <c r="B259" s="30" t="s">
        <v>329</v>
      </c>
      <c r="C259" s="30" t="s">
        <v>624</v>
      </c>
      <c r="D259" s="30"/>
      <c r="E259" s="30" t="s">
        <v>519</v>
      </c>
      <c r="F259" s="30" t="s">
        <v>29</v>
      </c>
      <c r="G259" s="31" t="n">
        <v>46178</v>
      </c>
      <c r="H259" s="31" t="n">
        <v>46178</v>
      </c>
      <c r="I259" s="32" t="n">
        <v>0</v>
      </c>
      <c r="J259" s="30"/>
    </row>
    <row r="260" customFormat="false" ht="15" hidden="false" customHeight="false" outlineLevel="0" collapsed="false">
      <c r="A260" s="30" t="s">
        <v>362</v>
      </c>
      <c r="B260" s="30" t="s">
        <v>329</v>
      </c>
      <c r="C260" s="30" t="s">
        <v>625</v>
      </c>
      <c r="D260" s="30"/>
      <c r="E260" s="30" t="s">
        <v>519</v>
      </c>
      <c r="F260" s="30" t="s">
        <v>29</v>
      </c>
      <c r="G260" s="31" t="n">
        <v>46178</v>
      </c>
      <c r="H260" s="31" t="n">
        <v>46178</v>
      </c>
      <c r="I260" s="32" t="n">
        <v>0</v>
      </c>
      <c r="J260" s="30"/>
    </row>
    <row r="261" customFormat="false" ht="15" hidden="false" customHeight="false" outlineLevel="0" collapsed="false">
      <c r="A261" s="30" t="s">
        <v>626</v>
      </c>
      <c r="B261" s="30" t="s">
        <v>627</v>
      </c>
      <c r="C261" s="30" t="s">
        <v>628</v>
      </c>
      <c r="D261" s="30"/>
      <c r="E261" s="30" t="s">
        <v>89</v>
      </c>
      <c r="F261" s="30" t="s">
        <v>29</v>
      </c>
      <c r="G261" s="31" t="n">
        <v>46188</v>
      </c>
      <c r="H261" s="31" t="n">
        <v>46178</v>
      </c>
      <c r="I261" s="32" t="n">
        <v>-10</v>
      </c>
      <c r="J261" s="30"/>
    </row>
    <row r="262" customFormat="false" ht="15" hidden="false" customHeight="false" outlineLevel="0" collapsed="false">
      <c r="A262" s="30" t="s">
        <v>626</v>
      </c>
      <c r="B262" s="30" t="s">
        <v>627</v>
      </c>
      <c r="C262" s="30" t="s">
        <v>629</v>
      </c>
      <c r="D262" s="30"/>
      <c r="E262" s="30" t="s">
        <v>89</v>
      </c>
      <c r="F262" s="30" t="s">
        <v>29</v>
      </c>
      <c r="G262" s="31" t="n">
        <v>46188</v>
      </c>
      <c r="H262" s="31" t="n">
        <v>46178</v>
      </c>
      <c r="I262" s="32" t="n">
        <v>-10</v>
      </c>
      <c r="J262" s="30"/>
    </row>
    <row r="263" customFormat="false" ht="15" hidden="false" customHeight="false" outlineLevel="0" collapsed="false">
      <c r="A263" s="30" t="s">
        <v>626</v>
      </c>
      <c r="B263" s="30" t="s">
        <v>627</v>
      </c>
      <c r="C263" s="30" t="s">
        <v>630</v>
      </c>
      <c r="D263" s="30"/>
      <c r="E263" s="30" t="s">
        <v>89</v>
      </c>
      <c r="F263" s="30" t="s">
        <v>29</v>
      </c>
      <c r="G263" s="31" t="n">
        <v>46188</v>
      </c>
      <c r="H263" s="31" t="n">
        <v>46178</v>
      </c>
      <c r="I263" s="32" t="n">
        <v>-10</v>
      </c>
      <c r="J263" s="30"/>
    </row>
    <row r="264" customFormat="false" ht="15" hidden="false" customHeight="false" outlineLevel="0" collapsed="false">
      <c r="A264" s="30" t="s">
        <v>626</v>
      </c>
      <c r="B264" s="30" t="s">
        <v>627</v>
      </c>
      <c r="C264" s="30" t="s">
        <v>631</v>
      </c>
      <c r="D264" s="30"/>
      <c r="E264" s="30" t="s">
        <v>89</v>
      </c>
      <c r="F264" s="30" t="s">
        <v>29</v>
      </c>
      <c r="G264" s="31" t="n">
        <v>46188</v>
      </c>
      <c r="H264" s="31" t="n">
        <v>46178</v>
      </c>
      <c r="I264" s="32" t="n">
        <v>-10</v>
      </c>
      <c r="J264" s="30"/>
    </row>
    <row r="265" customFormat="false" ht="15" hidden="false" customHeight="false" outlineLevel="0" collapsed="false">
      <c r="A265" s="30" t="s">
        <v>626</v>
      </c>
      <c r="B265" s="30" t="s">
        <v>627</v>
      </c>
      <c r="C265" s="30" t="s">
        <v>632</v>
      </c>
      <c r="D265" s="30"/>
      <c r="E265" s="30" t="s">
        <v>89</v>
      </c>
      <c r="F265" s="30" t="s">
        <v>29</v>
      </c>
      <c r="G265" s="31" t="n">
        <v>46188</v>
      </c>
      <c r="H265" s="31" t="n">
        <v>46178</v>
      </c>
      <c r="I265" s="32" t="n">
        <v>-10</v>
      </c>
      <c r="J265" s="30"/>
    </row>
    <row r="266" customFormat="false" ht="15" hidden="false" customHeight="false" outlineLevel="0" collapsed="false">
      <c r="A266" s="30" t="s">
        <v>626</v>
      </c>
      <c r="B266" s="30" t="s">
        <v>627</v>
      </c>
      <c r="C266" s="30" t="s">
        <v>633</v>
      </c>
      <c r="D266" s="30"/>
      <c r="E266" s="30" t="s">
        <v>89</v>
      </c>
      <c r="F266" s="30" t="s">
        <v>29</v>
      </c>
      <c r="G266" s="31" t="n">
        <v>46188</v>
      </c>
      <c r="H266" s="31" t="n">
        <v>46178</v>
      </c>
      <c r="I266" s="32" t="n">
        <v>-10</v>
      </c>
      <c r="J266" s="30"/>
    </row>
    <row r="267" customFormat="false" ht="15" hidden="false" customHeight="false" outlineLevel="0" collapsed="false">
      <c r="A267" s="30" t="s">
        <v>626</v>
      </c>
      <c r="B267" s="30" t="s">
        <v>627</v>
      </c>
      <c r="C267" s="30" t="s">
        <v>634</v>
      </c>
      <c r="D267" s="30"/>
      <c r="E267" s="30" t="s">
        <v>89</v>
      </c>
      <c r="F267" s="30" t="s">
        <v>29</v>
      </c>
      <c r="G267" s="31" t="n">
        <v>46188</v>
      </c>
      <c r="H267" s="31" t="n">
        <v>46178</v>
      </c>
      <c r="I267" s="32" t="n">
        <v>-10</v>
      </c>
      <c r="J267" s="30"/>
    </row>
    <row r="268" customFormat="false" ht="15" hidden="false" customHeight="false" outlineLevel="0" collapsed="false">
      <c r="A268" s="30" t="s">
        <v>626</v>
      </c>
      <c r="B268" s="30" t="s">
        <v>627</v>
      </c>
      <c r="C268" s="30" t="s">
        <v>635</v>
      </c>
      <c r="D268" s="30"/>
      <c r="E268" s="30" t="s">
        <v>89</v>
      </c>
      <c r="F268" s="30" t="s">
        <v>29</v>
      </c>
      <c r="G268" s="31" t="n">
        <v>46188</v>
      </c>
      <c r="H268" s="31" t="n">
        <v>46178</v>
      </c>
      <c r="I268" s="32" t="n">
        <v>-10</v>
      </c>
      <c r="J268" s="30"/>
    </row>
    <row r="269" customFormat="false" ht="15" hidden="false" customHeight="false" outlineLevel="0" collapsed="false">
      <c r="A269" s="30" t="s">
        <v>626</v>
      </c>
      <c r="B269" s="30" t="s">
        <v>627</v>
      </c>
      <c r="C269" s="30" t="s">
        <v>636</v>
      </c>
      <c r="D269" s="30"/>
      <c r="E269" s="30" t="s">
        <v>89</v>
      </c>
      <c r="F269" s="30" t="s">
        <v>29</v>
      </c>
      <c r="G269" s="31" t="n">
        <v>46188</v>
      </c>
      <c r="H269" s="31" t="n">
        <v>46178</v>
      </c>
      <c r="I269" s="32" t="n">
        <v>-10</v>
      </c>
      <c r="J269" s="30"/>
    </row>
    <row r="270" customFormat="false" ht="15" hidden="false" customHeight="false" outlineLevel="0" collapsed="false">
      <c r="A270" s="30" t="s">
        <v>626</v>
      </c>
      <c r="B270" s="30" t="s">
        <v>337</v>
      </c>
      <c r="C270" s="30" t="s">
        <v>637</v>
      </c>
      <c r="D270" s="30"/>
      <c r="E270" s="30" t="s">
        <v>89</v>
      </c>
      <c r="F270" s="30" t="s">
        <v>29</v>
      </c>
      <c r="G270" s="31" t="n">
        <v>46188</v>
      </c>
      <c r="H270" s="31" t="n">
        <v>46178</v>
      </c>
      <c r="I270" s="32" t="n">
        <v>-10</v>
      </c>
      <c r="J270" s="30"/>
    </row>
    <row r="271" customFormat="false" ht="15" hidden="false" customHeight="false" outlineLevel="0" collapsed="false">
      <c r="A271" s="30" t="s">
        <v>626</v>
      </c>
      <c r="B271" s="30" t="s">
        <v>337</v>
      </c>
      <c r="C271" s="30" t="s">
        <v>638</v>
      </c>
      <c r="D271" s="30"/>
      <c r="E271" s="30" t="s">
        <v>89</v>
      </c>
      <c r="F271" s="30" t="s">
        <v>29</v>
      </c>
      <c r="G271" s="31" t="n">
        <v>46188</v>
      </c>
      <c r="H271" s="31" t="n">
        <v>46178</v>
      </c>
      <c r="I271" s="32" t="n">
        <v>-10</v>
      </c>
      <c r="J271" s="30"/>
    </row>
    <row r="272" customFormat="false" ht="15" hidden="false" customHeight="false" outlineLevel="0" collapsed="false">
      <c r="A272" s="30" t="s">
        <v>626</v>
      </c>
      <c r="B272" s="30" t="s">
        <v>337</v>
      </c>
      <c r="C272" s="30" t="s">
        <v>639</v>
      </c>
      <c r="D272" s="30"/>
      <c r="E272" s="30" t="s">
        <v>89</v>
      </c>
      <c r="F272" s="30" t="s">
        <v>29</v>
      </c>
      <c r="G272" s="31" t="n">
        <v>46188</v>
      </c>
      <c r="H272" s="31" t="n">
        <v>46178</v>
      </c>
      <c r="I272" s="32" t="n">
        <v>-10</v>
      </c>
      <c r="J272" s="30"/>
    </row>
    <row r="273" customFormat="false" ht="15" hidden="false" customHeight="false" outlineLevel="0" collapsed="false">
      <c r="A273" s="30" t="s">
        <v>51</v>
      </c>
      <c r="B273" s="30" t="s">
        <v>353</v>
      </c>
      <c r="C273" s="30" t="s">
        <v>640</v>
      </c>
      <c r="D273" s="30"/>
      <c r="E273" s="30" t="s">
        <v>355</v>
      </c>
      <c r="F273" s="30" t="s">
        <v>56</v>
      </c>
      <c r="G273" s="31" t="n">
        <v>46188</v>
      </c>
      <c r="H273" s="31" t="n">
        <v>46178</v>
      </c>
      <c r="I273" s="32" t="n">
        <v>-10</v>
      </c>
      <c r="J273" s="30"/>
    </row>
    <row r="274" customFormat="false" ht="15" hidden="false" customHeight="false" outlineLevel="0" collapsed="false">
      <c r="A274" s="30" t="s">
        <v>51</v>
      </c>
      <c r="B274" s="30" t="s">
        <v>353</v>
      </c>
      <c r="C274" s="30" t="s">
        <v>641</v>
      </c>
      <c r="D274" s="30"/>
      <c r="E274" s="30" t="s">
        <v>355</v>
      </c>
      <c r="F274" s="30" t="s">
        <v>56</v>
      </c>
      <c r="G274" s="31" t="n">
        <v>46188</v>
      </c>
      <c r="H274" s="31" t="n">
        <v>46178</v>
      </c>
      <c r="I274" s="32" t="n">
        <v>-10</v>
      </c>
      <c r="J274" s="30"/>
    </row>
    <row r="275" customFormat="false" ht="15" hidden="false" customHeight="false" outlineLevel="0" collapsed="false">
      <c r="A275" s="30" t="s">
        <v>51</v>
      </c>
      <c r="B275" s="30" t="s">
        <v>353</v>
      </c>
      <c r="C275" s="30" t="s">
        <v>642</v>
      </c>
      <c r="D275" s="30"/>
      <c r="E275" s="30" t="s">
        <v>355</v>
      </c>
      <c r="F275" s="30" t="s">
        <v>56</v>
      </c>
      <c r="G275" s="31" t="n">
        <v>46188</v>
      </c>
      <c r="H275" s="31" t="n">
        <v>46178</v>
      </c>
      <c r="I275" s="32" t="n">
        <v>-10</v>
      </c>
      <c r="J275" s="30"/>
    </row>
    <row r="276" customFormat="false" ht="15" hidden="false" customHeight="false" outlineLevel="0" collapsed="false">
      <c r="A276" s="30" t="s">
        <v>25</v>
      </c>
      <c r="B276" s="30" t="s">
        <v>515</v>
      </c>
      <c r="C276" s="30" t="s">
        <v>643</v>
      </c>
      <c r="D276" s="30"/>
      <c r="E276" s="30" t="s">
        <v>341</v>
      </c>
      <c r="F276" s="30" t="s">
        <v>29</v>
      </c>
      <c r="G276" s="31" t="n">
        <v>46178</v>
      </c>
      <c r="H276" s="31" t="n">
        <v>46178</v>
      </c>
      <c r="I276" s="32" t="n">
        <v>0</v>
      </c>
      <c r="J276" s="30"/>
    </row>
    <row r="277" customFormat="false" ht="15" hidden="false" customHeight="false" outlineLevel="0" collapsed="false">
      <c r="A277" s="30" t="s">
        <v>25</v>
      </c>
      <c r="B277" s="30" t="s">
        <v>515</v>
      </c>
      <c r="C277" s="30" t="s">
        <v>644</v>
      </c>
      <c r="D277" s="30"/>
      <c r="E277" s="30" t="s">
        <v>341</v>
      </c>
      <c r="F277" s="30" t="s">
        <v>29</v>
      </c>
      <c r="G277" s="31" t="n">
        <v>46178</v>
      </c>
      <c r="H277" s="31" t="n">
        <v>46178</v>
      </c>
      <c r="I277" s="32" t="n">
        <v>0</v>
      </c>
      <c r="J277" s="30"/>
    </row>
    <row r="278" customFormat="false" ht="15" hidden="false" customHeight="false" outlineLevel="0" collapsed="false">
      <c r="A278" s="30" t="s">
        <v>25</v>
      </c>
      <c r="B278" s="30" t="s">
        <v>515</v>
      </c>
      <c r="C278" s="30" t="s">
        <v>645</v>
      </c>
      <c r="D278" s="30"/>
      <c r="E278" s="30" t="s">
        <v>341</v>
      </c>
      <c r="F278" s="30" t="s">
        <v>29</v>
      </c>
      <c r="G278" s="31" t="n">
        <v>46178</v>
      </c>
      <c r="H278" s="31" t="n">
        <v>46178</v>
      </c>
      <c r="I278" s="32" t="n">
        <v>0</v>
      </c>
      <c r="J278" s="30"/>
    </row>
    <row r="279" customFormat="false" ht="15" hidden="false" customHeight="false" outlineLevel="0" collapsed="false">
      <c r="A279" s="30" t="s">
        <v>25</v>
      </c>
      <c r="B279" s="30" t="s">
        <v>515</v>
      </c>
      <c r="C279" s="30" t="s">
        <v>646</v>
      </c>
      <c r="D279" s="30"/>
      <c r="E279" s="30" t="s">
        <v>341</v>
      </c>
      <c r="F279" s="30" t="s">
        <v>29</v>
      </c>
      <c r="G279" s="31" t="n">
        <v>46178</v>
      </c>
      <c r="H279" s="31" t="n">
        <v>46178</v>
      </c>
      <c r="I279" s="32" t="n">
        <v>0</v>
      </c>
      <c r="J279" s="30"/>
    </row>
    <row r="280" customFormat="false" ht="15" hidden="false" customHeight="false" outlineLevel="0" collapsed="false">
      <c r="A280" s="30" t="s">
        <v>25</v>
      </c>
      <c r="B280" s="30" t="s">
        <v>515</v>
      </c>
      <c r="C280" s="30" t="s">
        <v>647</v>
      </c>
      <c r="D280" s="30"/>
      <c r="E280" s="30" t="s">
        <v>341</v>
      </c>
      <c r="F280" s="30" t="s">
        <v>29</v>
      </c>
      <c r="G280" s="31" t="n">
        <v>46178</v>
      </c>
      <c r="H280" s="31" t="n">
        <v>46178</v>
      </c>
      <c r="I280" s="32" t="n">
        <v>0</v>
      </c>
      <c r="J280" s="30"/>
    </row>
    <row r="281" customFormat="false" ht="15" hidden="false" customHeight="false" outlineLevel="0" collapsed="false">
      <c r="A281" s="30" t="s">
        <v>25</v>
      </c>
      <c r="B281" s="30" t="s">
        <v>515</v>
      </c>
      <c r="C281" s="30" t="s">
        <v>648</v>
      </c>
      <c r="D281" s="30"/>
      <c r="E281" s="30" t="s">
        <v>341</v>
      </c>
      <c r="F281" s="30" t="s">
        <v>29</v>
      </c>
      <c r="G281" s="31" t="n">
        <v>46178</v>
      </c>
      <c r="H281" s="31" t="n">
        <v>46178</v>
      </c>
      <c r="I281" s="32" t="n">
        <v>0</v>
      </c>
      <c r="J281" s="30"/>
    </row>
    <row r="282" customFormat="false" ht="15" hidden="false" customHeight="false" outlineLevel="0" collapsed="false">
      <c r="A282" s="30" t="s">
        <v>25</v>
      </c>
      <c r="B282" s="30" t="s">
        <v>515</v>
      </c>
      <c r="C282" s="30" t="s">
        <v>649</v>
      </c>
      <c r="D282" s="30"/>
      <c r="E282" s="30" t="s">
        <v>341</v>
      </c>
      <c r="F282" s="30" t="s">
        <v>29</v>
      </c>
      <c r="G282" s="31" t="n">
        <v>46178</v>
      </c>
      <c r="H282" s="31" t="n">
        <v>46178</v>
      </c>
      <c r="I282" s="32" t="n">
        <v>0</v>
      </c>
      <c r="J282" s="30"/>
    </row>
    <row r="283" customFormat="false" ht="15" hidden="false" customHeight="false" outlineLevel="0" collapsed="false">
      <c r="A283" s="30" t="s">
        <v>25</v>
      </c>
      <c r="B283" s="30" t="s">
        <v>515</v>
      </c>
      <c r="C283" s="30" t="s">
        <v>650</v>
      </c>
      <c r="D283" s="30"/>
      <c r="E283" s="30" t="s">
        <v>341</v>
      </c>
      <c r="F283" s="30" t="s">
        <v>29</v>
      </c>
      <c r="G283" s="31" t="n">
        <v>46178</v>
      </c>
      <c r="H283" s="31" t="n">
        <v>46178</v>
      </c>
      <c r="I283" s="32" t="n">
        <v>0</v>
      </c>
      <c r="J283" s="30"/>
    </row>
    <row r="284" customFormat="false" ht="15" hidden="false" customHeight="false" outlineLevel="0" collapsed="false">
      <c r="A284" s="30" t="s">
        <v>25</v>
      </c>
      <c r="B284" s="30" t="s">
        <v>515</v>
      </c>
      <c r="C284" s="30" t="s">
        <v>651</v>
      </c>
      <c r="D284" s="30"/>
      <c r="E284" s="30" t="s">
        <v>341</v>
      </c>
      <c r="F284" s="30" t="s">
        <v>29</v>
      </c>
      <c r="G284" s="31" t="n">
        <v>46178</v>
      </c>
      <c r="H284" s="31" t="n">
        <v>46178</v>
      </c>
      <c r="I284" s="32" t="n">
        <v>0</v>
      </c>
      <c r="J284" s="30"/>
    </row>
    <row r="285" customFormat="false" ht="15" hidden="false" customHeight="false" outlineLevel="0" collapsed="false">
      <c r="A285" s="30" t="s">
        <v>25</v>
      </c>
      <c r="B285" s="30" t="s">
        <v>515</v>
      </c>
      <c r="C285" s="30" t="s">
        <v>652</v>
      </c>
      <c r="D285" s="30"/>
      <c r="E285" s="30" t="s">
        <v>341</v>
      </c>
      <c r="F285" s="30" t="s">
        <v>29</v>
      </c>
      <c r="G285" s="31" t="n">
        <v>46178</v>
      </c>
      <c r="H285" s="31" t="n">
        <v>46178</v>
      </c>
      <c r="I285" s="32" t="n">
        <v>0</v>
      </c>
      <c r="J285" s="30"/>
    </row>
    <row r="286" customFormat="false" ht="15" hidden="false" customHeight="false" outlineLevel="0" collapsed="false">
      <c r="A286" s="30" t="s">
        <v>25</v>
      </c>
      <c r="B286" s="30" t="s">
        <v>515</v>
      </c>
      <c r="C286" s="30" t="s">
        <v>653</v>
      </c>
      <c r="D286" s="30"/>
      <c r="E286" s="30" t="s">
        <v>341</v>
      </c>
      <c r="F286" s="30" t="s">
        <v>29</v>
      </c>
      <c r="G286" s="31" t="n">
        <v>46178</v>
      </c>
      <c r="H286" s="31" t="n">
        <v>46178</v>
      </c>
      <c r="I286" s="32" t="n">
        <v>0</v>
      </c>
      <c r="J286" s="30"/>
    </row>
    <row r="287" customFormat="false" ht="15" hidden="false" customHeight="false" outlineLevel="0" collapsed="false">
      <c r="A287" s="30" t="s">
        <v>25</v>
      </c>
      <c r="B287" s="30" t="s">
        <v>515</v>
      </c>
      <c r="C287" s="30" t="s">
        <v>654</v>
      </c>
      <c r="D287" s="30"/>
      <c r="E287" s="30" t="s">
        <v>341</v>
      </c>
      <c r="F287" s="30" t="s">
        <v>29</v>
      </c>
      <c r="G287" s="31" t="n">
        <v>46178</v>
      </c>
      <c r="H287" s="31" t="n">
        <v>46178</v>
      </c>
      <c r="I287" s="32" t="n">
        <v>0</v>
      </c>
      <c r="J287" s="30"/>
    </row>
    <row r="288" customFormat="false" ht="15" hidden="false" customHeight="false" outlineLevel="0" collapsed="false">
      <c r="A288" s="30" t="s">
        <v>25</v>
      </c>
      <c r="B288" s="30" t="s">
        <v>515</v>
      </c>
      <c r="C288" s="30" t="s">
        <v>655</v>
      </c>
      <c r="D288" s="30"/>
      <c r="E288" s="30" t="s">
        <v>341</v>
      </c>
      <c r="F288" s="30" t="s">
        <v>29</v>
      </c>
      <c r="G288" s="31" t="n">
        <v>46178</v>
      </c>
      <c r="H288" s="31" t="n">
        <v>46178</v>
      </c>
      <c r="I288" s="32" t="n">
        <v>0</v>
      </c>
      <c r="J288" s="30"/>
    </row>
    <row r="289" customFormat="false" ht="15" hidden="false" customHeight="false" outlineLevel="0" collapsed="false">
      <c r="A289" s="30" t="s">
        <v>25</v>
      </c>
      <c r="B289" s="30" t="s">
        <v>515</v>
      </c>
      <c r="C289" s="30" t="s">
        <v>656</v>
      </c>
      <c r="D289" s="30"/>
      <c r="E289" s="30" t="s">
        <v>341</v>
      </c>
      <c r="F289" s="30" t="s">
        <v>29</v>
      </c>
      <c r="G289" s="31" t="n">
        <v>46178</v>
      </c>
      <c r="H289" s="31" t="n">
        <v>46178</v>
      </c>
      <c r="I289" s="32" t="n">
        <v>0</v>
      </c>
      <c r="J289" s="30"/>
    </row>
    <row r="290" customFormat="false" ht="15" hidden="false" customHeight="false" outlineLevel="0" collapsed="false">
      <c r="A290" s="30" t="s">
        <v>25</v>
      </c>
      <c r="B290" s="30" t="s">
        <v>515</v>
      </c>
      <c r="C290" s="30" t="s">
        <v>657</v>
      </c>
      <c r="D290" s="30"/>
      <c r="E290" s="30" t="s">
        <v>341</v>
      </c>
      <c r="F290" s="30" t="s">
        <v>29</v>
      </c>
      <c r="G290" s="31" t="n">
        <v>46178</v>
      </c>
      <c r="H290" s="31" t="n">
        <v>46178</v>
      </c>
      <c r="I290" s="32" t="n">
        <v>0</v>
      </c>
      <c r="J290" s="30"/>
    </row>
    <row r="291" customFormat="false" ht="15" hidden="false" customHeight="false" outlineLevel="0" collapsed="false">
      <c r="A291" s="30" t="s">
        <v>25</v>
      </c>
      <c r="B291" s="30" t="s">
        <v>515</v>
      </c>
      <c r="C291" s="30" t="s">
        <v>658</v>
      </c>
      <c r="D291" s="30"/>
      <c r="E291" s="30" t="s">
        <v>341</v>
      </c>
      <c r="F291" s="30" t="s">
        <v>29</v>
      </c>
      <c r="G291" s="31" t="n">
        <v>46178</v>
      </c>
      <c r="H291" s="31" t="n">
        <v>46178</v>
      </c>
      <c r="I291" s="32" t="n">
        <v>0</v>
      </c>
      <c r="J291" s="30"/>
    </row>
    <row r="292" customFormat="false" ht="15" hidden="false" customHeight="false" outlineLevel="0" collapsed="false">
      <c r="A292" s="30" t="s">
        <v>25</v>
      </c>
      <c r="B292" s="30" t="s">
        <v>515</v>
      </c>
      <c r="C292" s="30" t="s">
        <v>659</v>
      </c>
      <c r="D292" s="30"/>
      <c r="E292" s="30" t="s">
        <v>341</v>
      </c>
      <c r="F292" s="30" t="s">
        <v>29</v>
      </c>
      <c r="G292" s="31" t="n">
        <v>46178</v>
      </c>
      <c r="H292" s="31" t="n">
        <v>46178</v>
      </c>
      <c r="I292" s="32" t="n">
        <v>0</v>
      </c>
      <c r="J292" s="30"/>
    </row>
    <row r="293" customFormat="false" ht="15" hidden="false" customHeight="false" outlineLevel="0" collapsed="false">
      <c r="A293" s="30" t="s">
        <v>25</v>
      </c>
      <c r="B293" s="30" t="s">
        <v>515</v>
      </c>
      <c r="C293" s="30" t="s">
        <v>660</v>
      </c>
      <c r="D293" s="30"/>
      <c r="E293" s="30" t="s">
        <v>341</v>
      </c>
      <c r="F293" s="30" t="s">
        <v>29</v>
      </c>
      <c r="G293" s="31" t="n">
        <v>46178</v>
      </c>
      <c r="H293" s="31" t="n">
        <v>46178</v>
      </c>
      <c r="I293" s="32" t="n">
        <v>0</v>
      </c>
      <c r="J293" s="30"/>
    </row>
    <row r="294" customFormat="false" ht="15" hidden="false" customHeight="false" outlineLevel="0" collapsed="false">
      <c r="A294" s="30" t="s">
        <v>25</v>
      </c>
      <c r="B294" s="30" t="s">
        <v>515</v>
      </c>
      <c r="C294" s="30" t="s">
        <v>661</v>
      </c>
      <c r="D294" s="30"/>
      <c r="E294" s="30" t="s">
        <v>341</v>
      </c>
      <c r="F294" s="30" t="s">
        <v>29</v>
      </c>
      <c r="G294" s="31" t="n">
        <v>46178</v>
      </c>
      <c r="H294" s="31" t="n">
        <v>46178</v>
      </c>
      <c r="I294" s="32" t="n">
        <v>0</v>
      </c>
      <c r="J294" s="30"/>
    </row>
    <row r="295" customFormat="false" ht="15" hidden="false" customHeight="false" outlineLevel="0" collapsed="false">
      <c r="A295" s="30" t="s">
        <v>25</v>
      </c>
      <c r="B295" s="30" t="s">
        <v>515</v>
      </c>
      <c r="C295" s="30" t="s">
        <v>662</v>
      </c>
      <c r="D295" s="30"/>
      <c r="E295" s="30" t="s">
        <v>341</v>
      </c>
      <c r="F295" s="30" t="s">
        <v>29</v>
      </c>
      <c r="G295" s="31" t="n">
        <v>46178</v>
      </c>
      <c r="H295" s="31" t="n">
        <v>46178</v>
      </c>
      <c r="I295" s="32" t="n">
        <v>0</v>
      </c>
      <c r="J295" s="30"/>
    </row>
    <row r="296" customFormat="false" ht="15" hidden="false" customHeight="false" outlineLevel="0" collapsed="false">
      <c r="A296" s="30" t="s">
        <v>25</v>
      </c>
      <c r="B296" s="30" t="s">
        <v>515</v>
      </c>
      <c r="C296" s="30" t="s">
        <v>663</v>
      </c>
      <c r="D296" s="30"/>
      <c r="E296" s="30" t="s">
        <v>341</v>
      </c>
      <c r="F296" s="30" t="s">
        <v>29</v>
      </c>
      <c r="G296" s="31" t="n">
        <v>46178</v>
      </c>
      <c r="H296" s="31" t="n">
        <v>46178</v>
      </c>
      <c r="I296" s="32" t="n">
        <v>0</v>
      </c>
      <c r="J296" s="30"/>
    </row>
    <row r="297" customFormat="false" ht="15" hidden="false" customHeight="false" outlineLevel="0" collapsed="false">
      <c r="A297" s="30" t="s">
        <v>25</v>
      </c>
      <c r="B297" s="30" t="s">
        <v>515</v>
      </c>
      <c r="C297" s="30" t="s">
        <v>664</v>
      </c>
      <c r="D297" s="30"/>
      <c r="E297" s="30" t="s">
        <v>341</v>
      </c>
      <c r="F297" s="30" t="s">
        <v>29</v>
      </c>
      <c r="G297" s="31" t="n">
        <v>46178</v>
      </c>
      <c r="H297" s="31" t="n">
        <v>46178</v>
      </c>
      <c r="I297" s="32" t="n">
        <v>0</v>
      </c>
      <c r="J297" s="30"/>
    </row>
    <row r="298" customFormat="false" ht="15" hidden="false" customHeight="false" outlineLevel="0" collapsed="false">
      <c r="A298" s="30" t="s">
        <v>25</v>
      </c>
      <c r="B298" s="30" t="s">
        <v>515</v>
      </c>
      <c r="C298" s="30" t="s">
        <v>665</v>
      </c>
      <c r="D298" s="30"/>
      <c r="E298" s="30" t="s">
        <v>341</v>
      </c>
      <c r="F298" s="30" t="s">
        <v>29</v>
      </c>
      <c r="G298" s="31" t="n">
        <v>46178</v>
      </c>
      <c r="H298" s="31" t="n">
        <v>46178</v>
      </c>
      <c r="I298" s="32" t="n">
        <v>0</v>
      </c>
      <c r="J298" s="30"/>
    </row>
    <row r="299" customFormat="false" ht="15" hidden="false" customHeight="false" outlineLevel="0" collapsed="false">
      <c r="A299" s="30" t="s">
        <v>25</v>
      </c>
      <c r="B299" s="30" t="s">
        <v>515</v>
      </c>
      <c r="C299" s="30" t="s">
        <v>666</v>
      </c>
      <c r="D299" s="30"/>
      <c r="E299" s="30" t="s">
        <v>341</v>
      </c>
      <c r="F299" s="30" t="s">
        <v>29</v>
      </c>
      <c r="G299" s="31" t="n">
        <v>46178</v>
      </c>
      <c r="H299" s="31" t="n">
        <v>46178</v>
      </c>
      <c r="I299" s="32" t="n">
        <v>0</v>
      </c>
      <c r="J299" s="30"/>
    </row>
    <row r="300" customFormat="false" ht="15" hidden="false" customHeight="false" outlineLevel="0" collapsed="false">
      <c r="A300" s="30" t="s">
        <v>25</v>
      </c>
      <c r="B300" s="30" t="s">
        <v>515</v>
      </c>
      <c r="C300" s="30" t="s">
        <v>667</v>
      </c>
      <c r="D300" s="30"/>
      <c r="E300" s="30" t="s">
        <v>341</v>
      </c>
      <c r="F300" s="30" t="s">
        <v>29</v>
      </c>
      <c r="G300" s="31" t="n">
        <v>46178</v>
      </c>
      <c r="H300" s="31" t="n">
        <v>46178</v>
      </c>
      <c r="I300" s="32" t="n">
        <v>0</v>
      </c>
      <c r="J300" s="30"/>
    </row>
    <row r="301" customFormat="false" ht="15" hidden="false" customHeight="false" outlineLevel="0" collapsed="false">
      <c r="A301" s="30" t="s">
        <v>25</v>
      </c>
      <c r="B301" s="30" t="s">
        <v>515</v>
      </c>
      <c r="C301" s="30" t="s">
        <v>668</v>
      </c>
      <c r="D301" s="30"/>
      <c r="E301" s="30" t="s">
        <v>341</v>
      </c>
      <c r="F301" s="30" t="s">
        <v>29</v>
      </c>
      <c r="G301" s="31" t="n">
        <v>46178</v>
      </c>
      <c r="H301" s="31" t="n">
        <v>46178</v>
      </c>
      <c r="I301" s="32" t="n">
        <v>0</v>
      </c>
      <c r="J301" s="30"/>
    </row>
    <row r="302" customFormat="false" ht="15" hidden="false" customHeight="false" outlineLevel="0" collapsed="false">
      <c r="A302" s="30" t="s">
        <v>25</v>
      </c>
      <c r="B302" s="30" t="s">
        <v>515</v>
      </c>
      <c r="C302" s="30" t="s">
        <v>669</v>
      </c>
      <c r="D302" s="30"/>
      <c r="E302" s="30" t="s">
        <v>341</v>
      </c>
      <c r="F302" s="30" t="s">
        <v>29</v>
      </c>
      <c r="G302" s="31" t="n">
        <v>46178</v>
      </c>
      <c r="H302" s="31" t="n">
        <v>46178</v>
      </c>
      <c r="I302" s="32" t="n">
        <v>0</v>
      </c>
      <c r="J302" s="30"/>
    </row>
    <row r="303" customFormat="false" ht="15" hidden="false" customHeight="false" outlineLevel="0" collapsed="false">
      <c r="A303" s="30" t="s">
        <v>25</v>
      </c>
      <c r="B303" s="30" t="s">
        <v>515</v>
      </c>
      <c r="C303" s="30" t="s">
        <v>670</v>
      </c>
      <c r="D303" s="30"/>
      <c r="E303" s="30" t="s">
        <v>341</v>
      </c>
      <c r="F303" s="30" t="s">
        <v>29</v>
      </c>
      <c r="G303" s="31" t="n">
        <v>46178</v>
      </c>
      <c r="H303" s="31" t="n">
        <v>46178</v>
      </c>
      <c r="I303" s="32" t="n">
        <v>0</v>
      </c>
      <c r="J303" s="30"/>
    </row>
    <row r="304" customFormat="false" ht="15" hidden="false" customHeight="false" outlineLevel="0" collapsed="false">
      <c r="A304" s="30" t="s">
        <v>25</v>
      </c>
      <c r="B304" s="30" t="s">
        <v>515</v>
      </c>
      <c r="C304" s="30" t="s">
        <v>671</v>
      </c>
      <c r="D304" s="30"/>
      <c r="E304" s="30" t="s">
        <v>341</v>
      </c>
      <c r="F304" s="30" t="s">
        <v>29</v>
      </c>
      <c r="G304" s="31" t="n">
        <v>46178</v>
      </c>
      <c r="H304" s="31" t="n">
        <v>46178</v>
      </c>
      <c r="I304" s="32" t="n">
        <v>0</v>
      </c>
      <c r="J304" s="30"/>
    </row>
    <row r="305" customFormat="false" ht="15" hidden="false" customHeight="false" outlineLevel="0" collapsed="false">
      <c r="A305" s="30" t="s">
        <v>25</v>
      </c>
      <c r="B305" s="30" t="s">
        <v>515</v>
      </c>
      <c r="C305" s="30" t="s">
        <v>672</v>
      </c>
      <c r="D305" s="30"/>
      <c r="E305" s="30" t="s">
        <v>341</v>
      </c>
      <c r="F305" s="30" t="s">
        <v>29</v>
      </c>
      <c r="G305" s="31" t="n">
        <v>46178</v>
      </c>
      <c r="H305" s="31" t="n">
        <v>46178</v>
      </c>
      <c r="I305" s="32" t="n">
        <v>0</v>
      </c>
      <c r="J305" s="30"/>
    </row>
    <row r="306" customFormat="false" ht="15" hidden="false" customHeight="false" outlineLevel="0" collapsed="false">
      <c r="A306" s="30" t="s">
        <v>25</v>
      </c>
      <c r="B306" s="30" t="s">
        <v>515</v>
      </c>
      <c r="C306" s="30" t="s">
        <v>673</v>
      </c>
      <c r="D306" s="30"/>
      <c r="E306" s="30" t="s">
        <v>341</v>
      </c>
      <c r="F306" s="30" t="s">
        <v>29</v>
      </c>
      <c r="G306" s="31" t="n">
        <v>46178</v>
      </c>
      <c r="H306" s="31" t="n">
        <v>46178</v>
      </c>
      <c r="I306" s="32" t="n">
        <v>0</v>
      </c>
      <c r="J306" s="30"/>
    </row>
    <row r="307" customFormat="false" ht="15" hidden="false" customHeight="false" outlineLevel="0" collapsed="false">
      <c r="A307" s="30" t="s">
        <v>25</v>
      </c>
      <c r="B307" s="30" t="s">
        <v>515</v>
      </c>
      <c r="C307" s="30" t="s">
        <v>674</v>
      </c>
      <c r="D307" s="30"/>
      <c r="E307" s="30" t="s">
        <v>341</v>
      </c>
      <c r="F307" s="30" t="s">
        <v>29</v>
      </c>
      <c r="G307" s="31" t="n">
        <v>46178</v>
      </c>
      <c r="H307" s="31" t="n">
        <v>46178</v>
      </c>
      <c r="I307" s="32" t="n">
        <v>0</v>
      </c>
      <c r="J307" s="30"/>
    </row>
    <row r="308" customFormat="false" ht="15" hidden="false" customHeight="false" outlineLevel="0" collapsed="false">
      <c r="A308" s="30" t="s">
        <v>25</v>
      </c>
      <c r="B308" s="30" t="s">
        <v>349</v>
      </c>
      <c r="C308" s="30" t="s">
        <v>675</v>
      </c>
      <c r="D308" s="30"/>
      <c r="E308" s="30" t="s">
        <v>28</v>
      </c>
      <c r="F308" s="30" t="s">
        <v>29</v>
      </c>
      <c r="G308" s="31" t="n">
        <v>46178</v>
      </c>
      <c r="H308" s="31" t="n">
        <v>46178</v>
      </c>
      <c r="I308" s="32" t="n">
        <v>0</v>
      </c>
      <c r="J308" s="30"/>
    </row>
    <row r="309" customFormat="false" ht="15" hidden="false" customHeight="false" outlineLevel="0" collapsed="false">
      <c r="A309" s="30" t="s">
        <v>25</v>
      </c>
      <c r="B309" s="30" t="s">
        <v>349</v>
      </c>
      <c r="C309" s="30" t="s">
        <v>676</v>
      </c>
      <c r="D309" s="30"/>
      <c r="E309" s="30" t="s">
        <v>28</v>
      </c>
      <c r="F309" s="30" t="s">
        <v>29</v>
      </c>
      <c r="G309" s="31" t="n">
        <v>46178</v>
      </c>
      <c r="H309" s="31" t="n">
        <v>46178</v>
      </c>
      <c r="I309" s="32" t="n">
        <v>0</v>
      </c>
      <c r="J309" s="30"/>
    </row>
    <row r="310" customFormat="false" ht="15" hidden="false" customHeight="false" outlineLevel="0" collapsed="false">
      <c r="A310" s="30" t="s">
        <v>25</v>
      </c>
      <c r="B310" s="30" t="s">
        <v>349</v>
      </c>
      <c r="C310" s="30" t="s">
        <v>677</v>
      </c>
      <c r="D310" s="30"/>
      <c r="E310" s="30" t="s">
        <v>28</v>
      </c>
      <c r="F310" s="30" t="s">
        <v>29</v>
      </c>
      <c r="G310" s="31" t="n">
        <v>46178</v>
      </c>
      <c r="H310" s="31" t="n">
        <v>46178</v>
      </c>
      <c r="I310" s="32" t="n">
        <v>0</v>
      </c>
      <c r="J310" s="30"/>
    </row>
    <row r="311" customFormat="false" ht="15" hidden="false" customHeight="false" outlineLevel="0" collapsed="false">
      <c r="A311" s="30" t="s">
        <v>25</v>
      </c>
      <c r="B311" s="30" t="s">
        <v>349</v>
      </c>
      <c r="C311" s="30" t="s">
        <v>678</v>
      </c>
      <c r="D311" s="30"/>
      <c r="E311" s="30" t="s">
        <v>28</v>
      </c>
      <c r="F311" s="30" t="s">
        <v>29</v>
      </c>
      <c r="G311" s="31" t="n">
        <v>46178</v>
      </c>
      <c r="H311" s="31" t="n">
        <v>46178</v>
      </c>
      <c r="I311" s="32" t="n">
        <v>0</v>
      </c>
      <c r="J311" s="30"/>
    </row>
    <row r="312" customFormat="false" ht="15" hidden="false" customHeight="false" outlineLevel="0" collapsed="false">
      <c r="A312" s="30" t="s">
        <v>25</v>
      </c>
      <c r="B312" s="30" t="s">
        <v>349</v>
      </c>
      <c r="C312" s="30" t="s">
        <v>679</v>
      </c>
      <c r="D312" s="30"/>
      <c r="E312" s="30" t="s">
        <v>28</v>
      </c>
      <c r="F312" s="30" t="s">
        <v>29</v>
      </c>
      <c r="G312" s="31" t="n">
        <v>46178</v>
      </c>
      <c r="H312" s="31" t="n">
        <v>46178</v>
      </c>
      <c r="I312" s="32" t="n">
        <v>0</v>
      </c>
      <c r="J312" s="30"/>
    </row>
    <row r="313" customFormat="false" ht="15" hidden="false" customHeight="false" outlineLevel="0" collapsed="false">
      <c r="A313" s="30" t="s">
        <v>25</v>
      </c>
      <c r="B313" s="30" t="s">
        <v>349</v>
      </c>
      <c r="C313" s="30" t="s">
        <v>680</v>
      </c>
      <c r="D313" s="30"/>
      <c r="E313" s="30" t="s">
        <v>28</v>
      </c>
      <c r="F313" s="30" t="s">
        <v>29</v>
      </c>
      <c r="G313" s="31" t="n">
        <v>46178</v>
      </c>
      <c r="H313" s="31" t="n">
        <v>46178</v>
      </c>
      <c r="I313" s="32" t="n">
        <v>0</v>
      </c>
      <c r="J313" s="30"/>
    </row>
    <row r="314" customFormat="false" ht="15" hidden="false" customHeight="false" outlineLevel="0" collapsed="false">
      <c r="A314" s="30" t="s">
        <v>25</v>
      </c>
      <c r="B314" s="30" t="s">
        <v>349</v>
      </c>
      <c r="C314" s="30" t="s">
        <v>681</v>
      </c>
      <c r="D314" s="30"/>
      <c r="E314" s="30" t="s">
        <v>28</v>
      </c>
      <c r="F314" s="30" t="s">
        <v>29</v>
      </c>
      <c r="G314" s="31" t="n">
        <v>46178</v>
      </c>
      <c r="H314" s="31" t="n">
        <v>46178</v>
      </c>
      <c r="I314" s="32" t="n">
        <v>0</v>
      </c>
      <c r="J314" s="30"/>
    </row>
    <row r="315" customFormat="false" ht="15" hidden="false" customHeight="false" outlineLevel="0" collapsed="false">
      <c r="A315" s="30" t="s">
        <v>25</v>
      </c>
      <c r="B315" s="30" t="s">
        <v>349</v>
      </c>
      <c r="C315" s="30" t="s">
        <v>682</v>
      </c>
      <c r="D315" s="30"/>
      <c r="E315" s="30" t="s">
        <v>28</v>
      </c>
      <c r="F315" s="30" t="s">
        <v>29</v>
      </c>
      <c r="G315" s="31" t="n">
        <v>46178</v>
      </c>
      <c r="H315" s="31" t="n">
        <v>46178</v>
      </c>
      <c r="I315" s="32" t="n">
        <v>0</v>
      </c>
      <c r="J315" s="30"/>
    </row>
    <row r="316" customFormat="false" ht="15" hidden="false" customHeight="false" outlineLevel="0" collapsed="false">
      <c r="A316" s="30" t="s">
        <v>25</v>
      </c>
      <c r="B316" s="30" t="s">
        <v>349</v>
      </c>
      <c r="C316" s="30" t="s">
        <v>683</v>
      </c>
      <c r="D316" s="30"/>
      <c r="E316" s="30" t="s">
        <v>28</v>
      </c>
      <c r="F316" s="30" t="s">
        <v>29</v>
      </c>
      <c r="G316" s="31" t="n">
        <v>46178</v>
      </c>
      <c r="H316" s="31" t="n">
        <v>46178</v>
      </c>
      <c r="I316" s="32" t="n">
        <v>0</v>
      </c>
      <c r="J316" s="30"/>
    </row>
    <row r="317" customFormat="false" ht="15" hidden="false" customHeight="false" outlineLevel="0" collapsed="false">
      <c r="A317" s="30" t="s">
        <v>25</v>
      </c>
      <c r="B317" s="30" t="s">
        <v>349</v>
      </c>
      <c r="C317" s="30" t="s">
        <v>684</v>
      </c>
      <c r="D317" s="30"/>
      <c r="E317" s="30" t="s">
        <v>28</v>
      </c>
      <c r="F317" s="30" t="s">
        <v>29</v>
      </c>
      <c r="G317" s="31" t="n">
        <v>46178</v>
      </c>
      <c r="H317" s="31" t="n">
        <v>46178</v>
      </c>
      <c r="I317" s="32" t="n">
        <v>0</v>
      </c>
      <c r="J317" s="30"/>
    </row>
    <row r="318" customFormat="false" ht="15" hidden="false" customHeight="false" outlineLevel="0" collapsed="false">
      <c r="A318" s="30" t="s">
        <v>25</v>
      </c>
      <c r="B318" s="30" t="s">
        <v>349</v>
      </c>
      <c r="C318" s="30" t="s">
        <v>685</v>
      </c>
      <c r="D318" s="30"/>
      <c r="E318" s="30" t="s">
        <v>28</v>
      </c>
      <c r="F318" s="30" t="s">
        <v>29</v>
      </c>
      <c r="G318" s="31" t="n">
        <v>46178</v>
      </c>
      <c r="H318" s="31" t="n">
        <v>46178</v>
      </c>
      <c r="I318" s="32" t="n">
        <v>0</v>
      </c>
      <c r="J318" s="30"/>
    </row>
    <row r="319" customFormat="false" ht="15" hidden="false" customHeight="false" outlineLevel="0" collapsed="false">
      <c r="A319" s="30" t="s">
        <v>25</v>
      </c>
      <c r="B319" s="30" t="s">
        <v>349</v>
      </c>
      <c r="C319" s="30" t="s">
        <v>686</v>
      </c>
      <c r="D319" s="30"/>
      <c r="E319" s="30" t="s">
        <v>28</v>
      </c>
      <c r="F319" s="30" t="s">
        <v>29</v>
      </c>
      <c r="G319" s="31" t="n">
        <v>46178</v>
      </c>
      <c r="H319" s="31" t="n">
        <v>46178</v>
      </c>
      <c r="I319" s="32" t="n">
        <v>0</v>
      </c>
      <c r="J319" s="30"/>
    </row>
    <row r="320" customFormat="false" ht="15" hidden="false" customHeight="false" outlineLevel="0" collapsed="false">
      <c r="A320" s="30" t="s">
        <v>25</v>
      </c>
      <c r="B320" s="30" t="s">
        <v>349</v>
      </c>
      <c r="C320" s="30" t="s">
        <v>687</v>
      </c>
      <c r="D320" s="30"/>
      <c r="E320" s="30" t="s">
        <v>28</v>
      </c>
      <c r="F320" s="30" t="s">
        <v>29</v>
      </c>
      <c r="G320" s="31" t="n">
        <v>46178</v>
      </c>
      <c r="H320" s="31" t="n">
        <v>46178</v>
      </c>
      <c r="I320" s="32" t="n">
        <v>0</v>
      </c>
      <c r="J320" s="30"/>
    </row>
    <row r="321" customFormat="false" ht="15" hidden="false" customHeight="false" outlineLevel="0" collapsed="false">
      <c r="A321" s="30" t="s">
        <v>25</v>
      </c>
      <c r="B321" s="30" t="s">
        <v>349</v>
      </c>
      <c r="C321" s="30" t="s">
        <v>688</v>
      </c>
      <c r="D321" s="30"/>
      <c r="E321" s="30" t="s">
        <v>28</v>
      </c>
      <c r="F321" s="30" t="s">
        <v>29</v>
      </c>
      <c r="G321" s="31" t="n">
        <v>46178</v>
      </c>
      <c r="H321" s="31" t="n">
        <v>46178</v>
      </c>
      <c r="I321" s="32" t="n">
        <v>0</v>
      </c>
      <c r="J321" s="30"/>
    </row>
    <row r="322" customFormat="false" ht="15" hidden="false" customHeight="false" outlineLevel="0" collapsed="false">
      <c r="A322" s="30" t="s">
        <v>25</v>
      </c>
      <c r="B322" s="30" t="s">
        <v>349</v>
      </c>
      <c r="C322" s="30" t="s">
        <v>689</v>
      </c>
      <c r="D322" s="30"/>
      <c r="E322" s="30" t="s">
        <v>28</v>
      </c>
      <c r="F322" s="30" t="s">
        <v>29</v>
      </c>
      <c r="G322" s="31" t="n">
        <v>46178</v>
      </c>
      <c r="H322" s="31" t="n">
        <v>46178</v>
      </c>
      <c r="I322" s="32" t="n">
        <v>0</v>
      </c>
      <c r="J322" s="30"/>
    </row>
    <row r="323" customFormat="false" ht="15" hidden="false" customHeight="false" outlineLevel="0" collapsed="false">
      <c r="A323" s="30" t="s">
        <v>25</v>
      </c>
      <c r="B323" s="30" t="s">
        <v>349</v>
      </c>
      <c r="C323" s="30" t="s">
        <v>690</v>
      </c>
      <c r="D323" s="30"/>
      <c r="E323" s="30" t="s">
        <v>28</v>
      </c>
      <c r="F323" s="30" t="s">
        <v>29</v>
      </c>
      <c r="G323" s="31" t="n">
        <v>46178</v>
      </c>
      <c r="H323" s="31" t="n">
        <v>46178</v>
      </c>
      <c r="I323" s="32" t="n">
        <v>0</v>
      </c>
      <c r="J323" s="30"/>
    </row>
    <row r="324" customFormat="false" ht="15" hidden="false" customHeight="false" outlineLevel="0" collapsed="false">
      <c r="A324" s="30" t="s">
        <v>25</v>
      </c>
      <c r="B324" s="30" t="s">
        <v>349</v>
      </c>
      <c r="C324" s="30" t="s">
        <v>691</v>
      </c>
      <c r="D324" s="30"/>
      <c r="E324" s="30" t="s">
        <v>28</v>
      </c>
      <c r="F324" s="30" t="s">
        <v>29</v>
      </c>
      <c r="G324" s="31" t="n">
        <v>46178</v>
      </c>
      <c r="H324" s="31" t="n">
        <v>46178</v>
      </c>
      <c r="I324" s="32" t="n">
        <v>0</v>
      </c>
      <c r="J324" s="30"/>
    </row>
    <row r="325" customFormat="false" ht="15" hidden="false" customHeight="false" outlineLevel="0" collapsed="false">
      <c r="A325" s="30" t="s">
        <v>25</v>
      </c>
      <c r="B325" s="30" t="s">
        <v>349</v>
      </c>
      <c r="C325" s="30" t="s">
        <v>692</v>
      </c>
      <c r="D325" s="30"/>
      <c r="E325" s="30" t="s">
        <v>28</v>
      </c>
      <c r="F325" s="30" t="s">
        <v>29</v>
      </c>
      <c r="G325" s="31" t="n">
        <v>46178</v>
      </c>
      <c r="H325" s="31" t="n">
        <v>46178</v>
      </c>
      <c r="I325" s="32" t="n">
        <v>0</v>
      </c>
      <c r="J325" s="30"/>
    </row>
    <row r="326" customFormat="false" ht="15" hidden="false" customHeight="false" outlineLevel="0" collapsed="false">
      <c r="A326" s="30" t="s">
        <v>25</v>
      </c>
      <c r="B326" s="30" t="s">
        <v>349</v>
      </c>
      <c r="C326" s="30" t="s">
        <v>693</v>
      </c>
      <c r="D326" s="30"/>
      <c r="E326" s="30" t="s">
        <v>28</v>
      </c>
      <c r="F326" s="30" t="s">
        <v>29</v>
      </c>
      <c r="G326" s="31" t="n">
        <v>46178</v>
      </c>
      <c r="H326" s="31" t="n">
        <v>46178</v>
      </c>
      <c r="I326" s="32" t="n">
        <v>0</v>
      </c>
      <c r="J326" s="30"/>
    </row>
    <row r="327" customFormat="false" ht="15" hidden="false" customHeight="false" outlineLevel="0" collapsed="false">
      <c r="A327" s="30" t="s">
        <v>25</v>
      </c>
      <c r="B327" s="30" t="s">
        <v>349</v>
      </c>
      <c r="C327" s="30" t="s">
        <v>694</v>
      </c>
      <c r="D327" s="30"/>
      <c r="E327" s="30" t="s">
        <v>28</v>
      </c>
      <c r="F327" s="30" t="s">
        <v>29</v>
      </c>
      <c r="G327" s="31" t="n">
        <v>46178</v>
      </c>
      <c r="H327" s="31" t="n">
        <v>46178</v>
      </c>
      <c r="I327" s="32" t="n">
        <v>0</v>
      </c>
      <c r="J327" s="30"/>
    </row>
    <row r="328" customFormat="false" ht="15" hidden="false" customHeight="false" outlineLevel="0" collapsed="false">
      <c r="A328" s="30" t="s">
        <v>369</v>
      </c>
      <c r="B328" s="30" t="s">
        <v>370</v>
      </c>
      <c r="C328" s="30" t="s">
        <v>695</v>
      </c>
      <c r="D328" s="30"/>
      <c r="E328" s="30" t="s">
        <v>64</v>
      </c>
      <c r="F328" s="30" t="s">
        <v>66</v>
      </c>
      <c r="G328" s="31" t="n">
        <v>46171</v>
      </c>
      <c r="H328" s="31" t="n">
        <v>46178</v>
      </c>
      <c r="I328" s="32" t="n">
        <v>7</v>
      </c>
      <c r="J328" s="30"/>
    </row>
    <row r="329" customFormat="false" ht="15" hidden="false" customHeight="false" outlineLevel="0" collapsed="false">
      <c r="A329" s="30" t="s">
        <v>369</v>
      </c>
      <c r="B329" s="30" t="s">
        <v>370</v>
      </c>
      <c r="C329" s="30" t="s">
        <v>696</v>
      </c>
      <c r="D329" s="30"/>
      <c r="E329" s="30" t="s">
        <v>64</v>
      </c>
      <c r="F329" s="30" t="s">
        <v>66</v>
      </c>
      <c r="G329" s="31" t="n">
        <v>46171</v>
      </c>
      <c r="H329" s="31" t="n">
        <v>46178</v>
      </c>
      <c r="I329" s="32" t="n">
        <v>7</v>
      </c>
      <c r="J329" s="30"/>
    </row>
    <row r="330" customFormat="false" ht="15" hidden="false" customHeight="false" outlineLevel="0" collapsed="false">
      <c r="A330" s="30" t="s">
        <v>369</v>
      </c>
      <c r="B330" s="30" t="s">
        <v>370</v>
      </c>
      <c r="C330" s="30" t="s">
        <v>697</v>
      </c>
      <c r="D330" s="30"/>
      <c r="E330" s="30" t="s">
        <v>64</v>
      </c>
      <c r="F330" s="30" t="s">
        <v>66</v>
      </c>
      <c r="G330" s="31" t="n">
        <v>46171</v>
      </c>
      <c r="H330" s="31" t="n">
        <v>46178</v>
      </c>
      <c r="I330" s="32" t="n">
        <v>7</v>
      </c>
      <c r="J330" s="30"/>
    </row>
    <row r="331" customFormat="false" ht="15" hidden="false" customHeight="false" outlineLevel="0" collapsed="false">
      <c r="A331" s="30" t="s">
        <v>369</v>
      </c>
      <c r="B331" s="30" t="s">
        <v>370</v>
      </c>
      <c r="C331" s="30" t="s">
        <v>698</v>
      </c>
      <c r="D331" s="30"/>
      <c r="E331" s="30" t="s">
        <v>64</v>
      </c>
      <c r="F331" s="30" t="s">
        <v>66</v>
      </c>
      <c r="G331" s="31" t="n">
        <v>46171</v>
      </c>
      <c r="H331" s="31" t="n">
        <v>46178</v>
      </c>
      <c r="I331" s="32" t="n">
        <v>7</v>
      </c>
      <c r="J331" s="30"/>
    </row>
    <row r="332" customFormat="false" ht="15" hidden="false" customHeight="false" outlineLevel="0" collapsed="false">
      <c r="A332" s="30" t="s">
        <v>369</v>
      </c>
      <c r="B332" s="30" t="s">
        <v>370</v>
      </c>
      <c r="C332" s="30" t="s">
        <v>699</v>
      </c>
      <c r="D332" s="30"/>
      <c r="E332" s="30" t="s">
        <v>64</v>
      </c>
      <c r="F332" s="30" t="s">
        <v>66</v>
      </c>
      <c r="G332" s="31" t="n">
        <v>46171</v>
      </c>
      <c r="H332" s="31" t="n">
        <v>46178</v>
      </c>
      <c r="I332" s="32" t="n">
        <v>7</v>
      </c>
      <c r="J332" s="30"/>
    </row>
    <row r="333" customFormat="false" ht="15" hidden="false" customHeight="false" outlineLevel="0" collapsed="false">
      <c r="A333" s="30" t="s">
        <v>369</v>
      </c>
      <c r="B333" s="30" t="s">
        <v>370</v>
      </c>
      <c r="C333" s="30" t="s">
        <v>700</v>
      </c>
      <c r="D333" s="30"/>
      <c r="E333" s="30" t="s">
        <v>64</v>
      </c>
      <c r="F333" s="30" t="s">
        <v>66</v>
      </c>
      <c r="G333" s="31" t="n">
        <v>46171</v>
      </c>
      <c r="H333" s="31" t="n">
        <v>46178</v>
      </c>
      <c r="I333" s="32" t="n">
        <v>7</v>
      </c>
      <c r="J333" s="30"/>
    </row>
    <row r="334" customFormat="false" ht="15" hidden="false" customHeight="false" outlineLevel="0" collapsed="false">
      <c r="A334" s="30" t="s">
        <v>369</v>
      </c>
      <c r="B334" s="30" t="s">
        <v>370</v>
      </c>
      <c r="C334" s="30" t="s">
        <v>701</v>
      </c>
      <c r="D334" s="30"/>
      <c r="E334" s="30" t="s">
        <v>64</v>
      </c>
      <c r="F334" s="30" t="s">
        <v>66</v>
      </c>
      <c r="G334" s="31" t="n">
        <v>46171</v>
      </c>
      <c r="H334" s="31" t="n">
        <v>46178</v>
      </c>
      <c r="I334" s="32" t="n">
        <v>7</v>
      </c>
      <c r="J334" s="30"/>
    </row>
    <row r="335" customFormat="false" ht="15" hidden="false" customHeight="false" outlineLevel="0" collapsed="false">
      <c r="A335" s="30" t="s">
        <v>369</v>
      </c>
      <c r="B335" s="30" t="s">
        <v>370</v>
      </c>
      <c r="C335" s="30" t="s">
        <v>702</v>
      </c>
      <c r="D335" s="30"/>
      <c r="E335" s="30" t="s">
        <v>64</v>
      </c>
      <c r="F335" s="30" t="s">
        <v>66</v>
      </c>
      <c r="G335" s="31" t="n">
        <v>46171</v>
      </c>
      <c r="H335" s="31" t="n">
        <v>46178</v>
      </c>
      <c r="I335" s="32" t="n">
        <v>7</v>
      </c>
      <c r="J335" s="30"/>
    </row>
    <row r="336" customFormat="false" ht="15" hidden="false" customHeight="false" outlineLevel="0" collapsed="false">
      <c r="A336" s="30" t="s">
        <v>369</v>
      </c>
      <c r="B336" s="30" t="s">
        <v>370</v>
      </c>
      <c r="C336" s="30" t="s">
        <v>703</v>
      </c>
      <c r="D336" s="30"/>
      <c r="E336" s="30" t="s">
        <v>64</v>
      </c>
      <c r="F336" s="30" t="s">
        <v>66</v>
      </c>
      <c r="G336" s="31" t="n">
        <v>46171</v>
      </c>
      <c r="H336" s="31" t="n">
        <v>46178</v>
      </c>
      <c r="I336" s="32" t="n">
        <v>7</v>
      </c>
      <c r="J336" s="30"/>
    </row>
    <row r="337" customFormat="false" ht="15" hidden="false" customHeight="false" outlineLevel="0" collapsed="false">
      <c r="A337" s="30" t="s">
        <v>369</v>
      </c>
      <c r="B337" s="30" t="s">
        <v>370</v>
      </c>
      <c r="C337" s="30" t="s">
        <v>704</v>
      </c>
      <c r="D337" s="30"/>
      <c r="E337" s="30" t="s">
        <v>64</v>
      </c>
      <c r="F337" s="30" t="s">
        <v>66</v>
      </c>
      <c r="G337" s="31" t="n">
        <v>46171</v>
      </c>
      <c r="H337" s="31" t="n">
        <v>46178</v>
      </c>
      <c r="I337" s="32" t="n">
        <v>7</v>
      </c>
      <c r="J337" s="30"/>
    </row>
    <row r="338" customFormat="false" ht="15" hidden="false" customHeight="false" outlineLevel="0" collapsed="false">
      <c r="A338" s="30" t="s">
        <v>369</v>
      </c>
      <c r="B338" s="30" t="s">
        <v>370</v>
      </c>
      <c r="C338" s="30" t="s">
        <v>705</v>
      </c>
      <c r="D338" s="30"/>
      <c r="E338" s="30" t="s">
        <v>64</v>
      </c>
      <c r="F338" s="30" t="s">
        <v>66</v>
      </c>
      <c r="G338" s="31" t="n">
        <v>46171</v>
      </c>
      <c r="H338" s="31" t="n">
        <v>46178</v>
      </c>
      <c r="I338" s="32" t="n">
        <v>7</v>
      </c>
      <c r="J338" s="30"/>
    </row>
    <row r="339" customFormat="false" ht="15" hidden="false" customHeight="false" outlineLevel="0" collapsed="false">
      <c r="A339" s="30" t="s">
        <v>369</v>
      </c>
      <c r="B339" s="30" t="s">
        <v>370</v>
      </c>
      <c r="C339" s="30" t="s">
        <v>706</v>
      </c>
      <c r="D339" s="30"/>
      <c r="E339" s="30" t="s">
        <v>64</v>
      </c>
      <c r="F339" s="30" t="s">
        <v>66</v>
      </c>
      <c r="G339" s="31" t="n">
        <v>46171</v>
      </c>
      <c r="H339" s="31" t="n">
        <v>46178</v>
      </c>
      <c r="I339" s="32" t="n">
        <v>7</v>
      </c>
      <c r="J339" s="30"/>
    </row>
    <row r="340" customFormat="false" ht="15" hidden="false" customHeight="false" outlineLevel="0" collapsed="false">
      <c r="A340" s="30" t="s">
        <v>369</v>
      </c>
      <c r="B340" s="30" t="s">
        <v>370</v>
      </c>
      <c r="C340" s="30" t="s">
        <v>707</v>
      </c>
      <c r="D340" s="30"/>
      <c r="E340" s="30" t="s">
        <v>64</v>
      </c>
      <c r="F340" s="30" t="s">
        <v>66</v>
      </c>
      <c r="G340" s="31" t="n">
        <v>46171</v>
      </c>
      <c r="H340" s="31" t="n">
        <v>46178</v>
      </c>
      <c r="I340" s="32" t="n">
        <v>7</v>
      </c>
      <c r="J340" s="30"/>
    </row>
    <row r="341" customFormat="false" ht="15" hidden="false" customHeight="false" outlineLevel="0" collapsed="false">
      <c r="A341" s="30" t="s">
        <v>369</v>
      </c>
      <c r="B341" s="30" t="s">
        <v>370</v>
      </c>
      <c r="C341" s="30" t="s">
        <v>708</v>
      </c>
      <c r="D341" s="30"/>
      <c r="E341" s="30" t="s">
        <v>64</v>
      </c>
      <c r="F341" s="30" t="s">
        <v>66</v>
      </c>
      <c r="G341" s="31" t="n">
        <v>46171</v>
      </c>
      <c r="H341" s="31" t="n">
        <v>46178</v>
      </c>
      <c r="I341" s="32" t="n">
        <v>7</v>
      </c>
      <c r="J341" s="30"/>
    </row>
    <row r="342" customFormat="false" ht="15" hidden="false" customHeight="false" outlineLevel="0" collapsed="false">
      <c r="A342" s="30" t="s">
        <v>369</v>
      </c>
      <c r="B342" s="30" t="s">
        <v>370</v>
      </c>
      <c r="C342" s="30" t="s">
        <v>709</v>
      </c>
      <c r="D342" s="30"/>
      <c r="E342" s="30" t="s">
        <v>64</v>
      </c>
      <c r="F342" s="30" t="s">
        <v>66</v>
      </c>
      <c r="G342" s="31" t="n">
        <v>46171</v>
      </c>
      <c r="H342" s="31" t="n">
        <v>46178</v>
      </c>
      <c r="I342" s="32" t="n">
        <v>7</v>
      </c>
      <c r="J342" s="30"/>
    </row>
    <row r="343" customFormat="false" ht="15" hidden="false" customHeight="false" outlineLevel="0" collapsed="false">
      <c r="A343" s="30" t="s">
        <v>369</v>
      </c>
      <c r="B343" s="30" t="s">
        <v>370</v>
      </c>
      <c r="C343" s="30" t="s">
        <v>710</v>
      </c>
      <c r="D343" s="30"/>
      <c r="E343" s="30" t="s">
        <v>64</v>
      </c>
      <c r="F343" s="30" t="s">
        <v>66</v>
      </c>
      <c r="G343" s="31" t="n">
        <v>46171</v>
      </c>
      <c r="H343" s="31" t="n">
        <v>46178</v>
      </c>
      <c r="I343" s="32" t="n">
        <v>7</v>
      </c>
      <c r="J343" s="30"/>
    </row>
    <row r="344" customFormat="false" ht="15" hidden="false" customHeight="false" outlineLevel="0" collapsed="false">
      <c r="A344" s="30" t="s">
        <v>369</v>
      </c>
      <c r="B344" s="30" t="s">
        <v>370</v>
      </c>
      <c r="C344" s="30" t="s">
        <v>711</v>
      </c>
      <c r="D344" s="30"/>
      <c r="E344" s="30" t="s">
        <v>64</v>
      </c>
      <c r="F344" s="30" t="s">
        <v>66</v>
      </c>
      <c r="G344" s="31" t="n">
        <v>46171</v>
      </c>
      <c r="H344" s="31" t="n">
        <v>46178</v>
      </c>
      <c r="I344" s="32" t="n">
        <v>7</v>
      </c>
      <c r="J344" s="30"/>
    </row>
    <row r="345" customFormat="false" ht="15" hidden="false" customHeight="false" outlineLevel="0" collapsed="false">
      <c r="A345" s="30" t="s">
        <v>328</v>
      </c>
      <c r="B345" s="30" t="s">
        <v>579</v>
      </c>
      <c r="C345" s="30" t="s">
        <v>712</v>
      </c>
      <c r="D345" s="30"/>
      <c r="E345" s="30" t="s">
        <v>423</v>
      </c>
      <c r="F345" s="30" t="s">
        <v>29</v>
      </c>
      <c r="G345" s="31" t="n">
        <v>46178</v>
      </c>
      <c r="H345" s="31" t="n">
        <v>46178</v>
      </c>
      <c r="I345" s="32" t="n">
        <v>0</v>
      </c>
      <c r="J345" s="30"/>
    </row>
    <row r="346" customFormat="false" ht="15" hidden="false" customHeight="false" outlineLevel="0" collapsed="false">
      <c r="A346" s="30" t="s">
        <v>328</v>
      </c>
      <c r="B346" s="30" t="s">
        <v>579</v>
      </c>
      <c r="C346" s="30" t="s">
        <v>713</v>
      </c>
      <c r="D346" s="30"/>
      <c r="E346" s="30" t="s">
        <v>423</v>
      </c>
      <c r="F346" s="30" t="s">
        <v>29</v>
      </c>
      <c r="G346" s="31" t="n">
        <v>46178</v>
      </c>
      <c r="H346" s="31" t="n">
        <v>46178</v>
      </c>
      <c r="I346" s="32" t="n">
        <v>0</v>
      </c>
      <c r="J346" s="30"/>
    </row>
    <row r="347" customFormat="false" ht="15" hidden="false" customHeight="false" outlineLevel="0" collapsed="false">
      <c r="A347" s="30" t="s">
        <v>328</v>
      </c>
      <c r="B347" s="30" t="s">
        <v>579</v>
      </c>
      <c r="C347" s="30" t="s">
        <v>714</v>
      </c>
      <c r="D347" s="30"/>
      <c r="E347" s="30" t="s">
        <v>423</v>
      </c>
      <c r="F347" s="30" t="s">
        <v>29</v>
      </c>
      <c r="G347" s="31" t="n">
        <v>46178</v>
      </c>
      <c r="H347" s="31" t="n">
        <v>46178</v>
      </c>
      <c r="I347" s="32" t="n">
        <v>0</v>
      </c>
      <c r="J347" s="30"/>
    </row>
    <row r="348" customFormat="false" ht="15" hidden="false" customHeight="false" outlineLevel="0" collapsed="false">
      <c r="A348" s="30" t="s">
        <v>328</v>
      </c>
      <c r="B348" s="30" t="s">
        <v>579</v>
      </c>
      <c r="C348" s="30" t="s">
        <v>715</v>
      </c>
      <c r="D348" s="30"/>
      <c r="E348" s="30" t="s">
        <v>423</v>
      </c>
      <c r="F348" s="30" t="s">
        <v>29</v>
      </c>
      <c r="G348" s="31" t="n">
        <v>46178</v>
      </c>
      <c r="H348" s="31" t="n">
        <v>46178</v>
      </c>
      <c r="I348" s="32" t="n">
        <v>0</v>
      </c>
      <c r="J348" s="30"/>
    </row>
    <row r="349" customFormat="false" ht="15" hidden="false" customHeight="false" outlineLevel="0" collapsed="false">
      <c r="A349" s="30" t="s">
        <v>328</v>
      </c>
      <c r="B349" s="30" t="s">
        <v>579</v>
      </c>
      <c r="C349" s="30" t="s">
        <v>716</v>
      </c>
      <c r="D349" s="30"/>
      <c r="E349" s="30" t="s">
        <v>423</v>
      </c>
      <c r="F349" s="30" t="s">
        <v>29</v>
      </c>
      <c r="G349" s="31" t="n">
        <v>46178</v>
      </c>
      <c r="H349" s="31" t="n">
        <v>46178</v>
      </c>
      <c r="I349" s="32" t="n">
        <v>0</v>
      </c>
      <c r="J349" s="30"/>
    </row>
    <row r="350" customFormat="false" ht="15" hidden="false" customHeight="false" outlineLevel="0" collapsed="false">
      <c r="A350" s="30" t="s">
        <v>717</v>
      </c>
      <c r="B350" s="30" t="s">
        <v>717</v>
      </c>
      <c r="C350" s="30" t="s">
        <v>718</v>
      </c>
      <c r="D350" s="30"/>
      <c r="E350" s="30" t="s">
        <v>719</v>
      </c>
      <c r="F350" s="30" t="s">
        <v>29</v>
      </c>
      <c r="G350" s="31" t="n">
        <v>46184</v>
      </c>
      <c r="H350" s="31" t="n">
        <v>46178</v>
      </c>
      <c r="I350" s="32" t="n">
        <v>-6</v>
      </c>
      <c r="J350" s="30"/>
    </row>
    <row r="351" customFormat="false" ht="15" hidden="false" customHeight="false" outlineLevel="0" collapsed="false">
      <c r="A351" s="30" t="s">
        <v>717</v>
      </c>
      <c r="B351" s="30" t="s">
        <v>717</v>
      </c>
      <c r="C351" s="30" t="s">
        <v>720</v>
      </c>
      <c r="D351" s="30"/>
      <c r="E351" s="30" t="s">
        <v>719</v>
      </c>
      <c r="F351" s="30" t="s">
        <v>29</v>
      </c>
      <c r="G351" s="31" t="n">
        <v>46184</v>
      </c>
      <c r="H351" s="31" t="n">
        <v>46178</v>
      </c>
      <c r="I351" s="32" t="n">
        <v>-6</v>
      </c>
      <c r="J351" s="30"/>
    </row>
    <row r="352" customFormat="false" ht="15" hidden="false" customHeight="false" outlineLevel="0" collapsed="false">
      <c r="A352" s="30" t="s">
        <v>717</v>
      </c>
      <c r="B352" s="30" t="s">
        <v>717</v>
      </c>
      <c r="C352" s="30" t="s">
        <v>721</v>
      </c>
      <c r="D352" s="30"/>
      <c r="E352" s="30" t="s">
        <v>719</v>
      </c>
      <c r="F352" s="30" t="s">
        <v>29</v>
      </c>
      <c r="G352" s="31" t="n">
        <v>46184</v>
      </c>
      <c r="H352" s="31" t="n">
        <v>46178</v>
      </c>
      <c r="I352" s="32" t="n">
        <v>-6</v>
      </c>
      <c r="J352" s="30"/>
    </row>
    <row r="353" customFormat="false" ht="15" hidden="false" customHeight="false" outlineLevel="0" collapsed="false">
      <c r="A353" s="30" t="s">
        <v>717</v>
      </c>
      <c r="B353" s="30" t="s">
        <v>717</v>
      </c>
      <c r="C353" s="30" t="s">
        <v>722</v>
      </c>
      <c r="D353" s="30"/>
      <c r="E353" s="30" t="s">
        <v>719</v>
      </c>
      <c r="F353" s="30" t="s">
        <v>29</v>
      </c>
      <c r="G353" s="31" t="n">
        <v>46184</v>
      </c>
      <c r="H353" s="31" t="n">
        <v>46178</v>
      </c>
      <c r="I353" s="32" t="n">
        <v>-6</v>
      </c>
      <c r="J353" s="30"/>
    </row>
    <row r="354" customFormat="false" ht="15" hidden="false" customHeight="false" outlineLevel="0" collapsed="false">
      <c r="A354" s="30" t="s">
        <v>717</v>
      </c>
      <c r="B354" s="30" t="s">
        <v>717</v>
      </c>
      <c r="C354" s="30" t="s">
        <v>723</v>
      </c>
      <c r="D354" s="30"/>
      <c r="E354" s="30" t="s">
        <v>719</v>
      </c>
      <c r="F354" s="30" t="s">
        <v>29</v>
      </c>
      <c r="G354" s="31" t="n">
        <v>46184</v>
      </c>
      <c r="H354" s="31" t="n">
        <v>46178</v>
      </c>
      <c r="I354" s="32" t="n">
        <v>-6</v>
      </c>
      <c r="J354" s="30"/>
    </row>
    <row r="355" customFormat="false" ht="15" hidden="false" customHeight="false" outlineLevel="0" collapsed="false">
      <c r="A355" s="30" t="s">
        <v>333</v>
      </c>
      <c r="B355" s="30" t="s">
        <v>334</v>
      </c>
      <c r="C355" s="30" t="s">
        <v>724</v>
      </c>
      <c r="D355" s="30"/>
      <c r="E355" s="30" t="s">
        <v>725</v>
      </c>
      <c r="F355" s="30" t="s">
        <v>29</v>
      </c>
      <c r="G355" s="31" t="n">
        <v>46178</v>
      </c>
      <c r="H355" s="31" t="n">
        <v>46178</v>
      </c>
      <c r="I355" s="32" t="n">
        <v>0</v>
      </c>
      <c r="J355" s="30"/>
    </row>
    <row r="356" customFormat="false" ht="15" hidden="false" customHeight="false" outlineLevel="0" collapsed="false">
      <c r="A356" s="30" t="s">
        <v>333</v>
      </c>
      <c r="B356" s="30" t="s">
        <v>334</v>
      </c>
      <c r="C356" s="30" t="s">
        <v>726</v>
      </c>
      <c r="D356" s="30"/>
      <c r="E356" s="30" t="s">
        <v>725</v>
      </c>
      <c r="F356" s="30" t="s">
        <v>29</v>
      </c>
      <c r="G356" s="31" t="n">
        <v>46178</v>
      </c>
      <c r="H356" s="31" t="n">
        <v>46178</v>
      </c>
      <c r="I356" s="32" t="n">
        <v>0</v>
      </c>
      <c r="J356" s="30"/>
    </row>
    <row r="357" customFormat="false" ht="15" hidden="false" customHeight="false" outlineLevel="0" collapsed="false">
      <c r="A357" s="30" t="s">
        <v>336</v>
      </c>
      <c r="B357" s="30" t="s">
        <v>727</v>
      </c>
      <c r="C357" s="30" t="s">
        <v>728</v>
      </c>
      <c r="D357" s="30"/>
      <c r="E357" s="30" t="s">
        <v>729</v>
      </c>
      <c r="F357" s="30" t="s">
        <v>29</v>
      </c>
      <c r="G357" s="31" t="n">
        <v>46178</v>
      </c>
      <c r="H357" s="31" t="n">
        <v>46178</v>
      </c>
      <c r="I357" s="32" t="n">
        <v>0</v>
      </c>
      <c r="J357" s="30"/>
    </row>
    <row r="358" customFormat="false" ht="15" hidden="false" customHeight="false" outlineLevel="0" collapsed="false">
      <c r="A358" s="30" t="s">
        <v>336</v>
      </c>
      <c r="B358" s="30" t="s">
        <v>727</v>
      </c>
      <c r="C358" s="30" t="s">
        <v>730</v>
      </c>
      <c r="D358" s="30"/>
      <c r="E358" s="30" t="s">
        <v>729</v>
      </c>
      <c r="F358" s="30" t="s">
        <v>29</v>
      </c>
      <c r="G358" s="31" t="n">
        <v>46178</v>
      </c>
      <c r="H358" s="31" t="n">
        <v>46178</v>
      </c>
      <c r="I358" s="32" t="n">
        <v>0</v>
      </c>
      <c r="J358" s="30"/>
    </row>
    <row r="359" customFormat="false" ht="15" hidden="false" customHeight="false" outlineLevel="0" collapsed="false">
      <c r="A359" s="30" t="s">
        <v>336</v>
      </c>
      <c r="B359" s="30" t="s">
        <v>727</v>
      </c>
      <c r="C359" s="30" t="s">
        <v>731</v>
      </c>
      <c r="D359" s="30"/>
      <c r="E359" s="30" t="s">
        <v>729</v>
      </c>
      <c r="F359" s="30" t="s">
        <v>29</v>
      </c>
      <c r="G359" s="31" t="n">
        <v>46178</v>
      </c>
      <c r="H359" s="31" t="n">
        <v>46178</v>
      </c>
      <c r="I359" s="32" t="n">
        <v>0</v>
      </c>
      <c r="J359" s="30"/>
    </row>
    <row r="360" customFormat="false" ht="15" hidden="false" customHeight="false" outlineLevel="0" collapsed="false">
      <c r="A360" s="30" t="s">
        <v>336</v>
      </c>
      <c r="B360" s="30" t="s">
        <v>727</v>
      </c>
      <c r="C360" s="30" t="s">
        <v>732</v>
      </c>
      <c r="D360" s="30"/>
      <c r="E360" s="30" t="s">
        <v>729</v>
      </c>
      <c r="F360" s="30" t="s">
        <v>29</v>
      </c>
      <c r="G360" s="31" t="n">
        <v>46178</v>
      </c>
      <c r="H360" s="31" t="n">
        <v>46178</v>
      </c>
      <c r="I360" s="32" t="n">
        <v>0</v>
      </c>
      <c r="J360" s="30"/>
    </row>
    <row r="361" customFormat="false" ht="15" hidden="false" customHeight="false" outlineLevel="0" collapsed="false">
      <c r="A361" s="30" t="s">
        <v>336</v>
      </c>
      <c r="B361" s="30" t="s">
        <v>727</v>
      </c>
      <c r="C361" s="30" t="s">
        <v>733</v>
      </c>
      <c r="D361" s="30"/>
      <c r="E361" s="30" t="s">
        <v>729</v>
      </c>
      <c r="F361" s="30" t="s">
        <v>29</v>
      </c>
      <c r="G361" s="31" t="n">
        <v>46178</v>
      </c>
      <c r="H361" s="31" t="n">
        <v>46178</v>
      </c>
      <c r="I361" s="32" t="n">
        <v>0</v>
      </c>
      <c r="J361" s="30"/>
    </row>
    <row r="362" customFormat="false" ht="15" hidden="false" customHeight="false" outlineLevel="0" collapsed="false">
      <c r="A362" s="30" t="s">
        <v>336</v>
      </c>
      <c r="B362" s="30" t="s">
        <v>727</v>
      </c>
      <c r="C362" s="30" t="s">
        <v>734</v>
      </c>
      <c r="D362" s="30"/>
      <c r="E362" s="30" t="s">
        <v>729</v>
      </c>
      <c r="F362" s="30" t="s">
        <v>29</v>
      </c>
      <c r="G362" s="31" t="n">
        <v>46178</v>
      </c>
      <c r="H362" s="31" t="n">
        <v>46178</v>
      </c>
      <c r="I362" s="32" t="n">
        <v>0</v>
      </c>
      <c r="J362" s="30"/>
    </row>
    <row r="363" customFormat="false" ht="15" hidden="false" customHeight="false" outlineLevel="0" collapsed="false">
      <c r="A363" s="30" t="s">
        <v>336</v>
      </c>
      <c r="B363" s="30" t="s">
        <v>727</v>
      </c>
      <c r="C363" s="30" t="s">
        <v>735</v>
      </c>
      <c r="D363" s="30"/>
      <c r="E363" s="30" t="s">
        <v>729</v>
      </c>
      <c r="F363" s="30" t="s">
        <v>29</v>
      </c>
      <c r="G363" s="31" t="n">
        <v>46178</v>
      </c>
      <c r="H363" s="31" t="n">
        <v>46178</v>
      </c>
      <c r="I363" s="32" t="n">
        <v>0</v>
      </c>
      <c r="J363" s="30"/>
    </row>
    <row r="364" customFormat="false" ht="15" hidden="false" customHeight="false" outlineLevel="0" collapsed="false">
      <c r="A364" s="30" t="s">
        <v>336</v>
      </c>
      <c r="B364" s="30" t="s">
        <v>727</v>
      </c>
      <c r="C364" s="30" t="s">
        <v>736</v>
      </c>
      <c r="D364" s="30"/>
      <c r="E364" s="30" t="s">
        <v>729</v>
      </c>
      <c r="F364" s="30" t="s">
        <v>29</v>
      </c>
      <c r="G364" s="31" t="n">
        <v>46178</v>
      </c>
      <c r="H364" s="31" t="n">
        <v>46178</v>
      </c>
      <c r="I364" s="32" t="n">
        <v>0</v>
      </c>
      <c r="J364" s="30"/>
    </row>
    <row r="365" customFormat="false" ht="15" hidden="false" customHeight="false" outlineLevel="0" collapsed="false">
      <c r="A365" s="30" t="s">
        <v>336</v>
      </c>
      <c r="B365" s="30" t="s">
        <v>727</v>
      </c>
      <c r="C365" s="30" t="s">
        <v>737</v>
      </c>
      <c r="D365" s="30"/>
      <c r="E365" s="30" t="s">
        <v>729</v>
      </c>
      <c r="F365" s="30" t="s">
        <v>29</v>
      </c>
      <c r="G365" s="31" t="n">
        <v>46178</v>
      </c>
      <c r="H365" s="31" t="n">
        <v>46178</v>
      </c>
      <c r="I365" s="32" t="n">
        <v>0</v>
      </c>
      <c r="J365" s="30"/>
    </row>
    <row r="366" customFormat="false" ht="15" hidden="false" customHeight="false" outlineLevel="0" collapsed="false">
      <c r="A366" s="30" t="s">
        <v>336</v>
      </c>
      <c r="B366" s="30" t="s">
        <v>727</v>
      </c>
      <c r="C366" s="30" t="s">
        <v>738</v>
      </c>
      <c r="D366" s="30"/>
      <c r="E366" s="30" t="s">
        <v>729</v>
      </c>
      <c r="F366" s="30" t="s">
        <v>29</v>
      </c>
      <c r="G366" s="31" t="n">
        <v>46178</v>
      </c>
      <c r="H366" s="31" t="n">
        <v>46178</v>
      </c>
      <c r="I366" s="32" t="n">
        <v>0</v>
      </c>
      <c r="J366" s="30"/>
    </row>
    <row r="367" customFormat="false" ht="15" hidden="false" customHeight="false" outlineLevel="0" collapsed="false">
      <c r="A367" s="30" t="s">
        <v>336</v>
      </c>
      <c r="B367" s="30" t="s">
        <v>727</v>
      </c>
      <c r="C367" s="30" t="s">
        <v>739</v>
      </c>
      <c r="D367" s="30"/>
      <c r="E367" s="30" t="s">
        <v>729</v>
      </c>
      <c r="F367" s="30" t="s">
        <v>29</v>
      </c>
      <c r="G367" s="31" t="n">
        <v>46178</v>
      </c>
      <c r="H367" s="31" t="n">
        <v>46178</v>
      </c>
      <c r="I367" s="32" t="n">
        <v>0</v>
      </c>
      <c r="J367" s="30"/>
    </row>
    <row r="368" customFormat="false" ht="15" hidden="false" customHeight="false" outlineLevel="0" collapsed="false">
      <c r="A368" s="30" t="s">
        <v>336</v>
      </c>
      <c r="B368" s="30" t="s">
        <v>727</v>
      </c>
      <c r="C368" s="30" t="s">
        <v>740</v>
      </c>
      <c r="D368" s="30"/>
      <c r="E368" s="30" t="s">
        <v>729</v>
      </c>
      <c r="F368" s="30" t="s">
        <v>29</v>
      </c>
      <c r="G368" s="31" t="n">
        <v>46178</v>
      </c>
      <c r="H368" s="31" t="n">
        <v>46178</v>
      </c>
      <c r="I368" s="32" t="n">
        <v>0</v>
      </c>
      <c r="J368" s="30"/>
    </row>
    <row r="369" customFormat="false" ht="15" hidden="false" customHeight="false" outlineLevel="0" collapsed="false">
      <c r="A369" s="30" t="s">
        <v>336</v>
      </c>
      <c r="B369" s="30" t="s">
        <v>727</v>
      </c>
      <c r="C369" s="30" t="s">
        <v>741</v>
      </c>
      <c r="D369" s="30"/>
      <c r="E369" s="30" t="s">
        <v>729</v>
      </c>
      <c r="F369" s="30" t="s">
        <v>29</v>
      </c>
      <c r="G369" s="31" t="n">
        <v>46178</v>
      </c>
      <c r="H369" s="31" t="n">
        <v>46178</v>
      </c>
      <c r="I369" s="32" t="n">
        <v>0</v>
      </c>
      <c r="J369" s="30"/>
    </row>
    <row r="370" customFormat="false" ht="15" hidden="false" customHeight="false" outlineLevel="0" collapsed="false">
      <c r="A370" s="30" t="s">
        <v>336</v>
      </c>
      <c r="B370" s="30" t="s">
        <v>727</v>
      </c>
      <c r="C370" s="30" t="s">
        <v>742</v>
      </c>
      <c r="D370" s="30"/>
      <c r="E370" s="30" t="s">
        <v>729</v>
      </c>
      <c r="F370" s="30" t="s">
        <v>29</v>
      </c>
      <c r="G370" s="31" t="n">
        <v>46178</v>
      </c>
      <c r="H370" s="31" t="n">
        <v>46178</v>
      </c>
      <c r="I370" s="32" t="n">
        <v>0</v>
      </c>
      <c r="J370" s="30"/>
    </row>
    <row r="371" customFormat="false" ht="15" hidden="false" customHeight="false" outlineLevel="0" collapsed="false">
      <c r="A371" s="30" t="s">
        <v>336</v>
      </c>
      <c r="B371" s="30" t="s">
        <v>727</v>
      </c>
      <c r="C371" s="30" t="s">
        <v>743</v>
      </c>
      <c r="D371" s="30"/>
      <c r="E371" s="30" t="s">
        <v>729</v>
      </c>
      <c r="F371" s="30" t="s">
        <v>29</v>
      </c>
      <c r="G371" s="31" t="n">
        <v>46178</v>
      </c>
      <c r="H371" s="31" t="n">
        <v>46178</v>
      </c>
      <c r="I371" s="32" t="n">
        <v>0</v>
      </c>
      <c r="J371" s="30"/>
    </row>
    <row r="372" customFormat="false" ht="15" hidden="false" customHeight="false" outlineLevel="0" collapsed="false">
      <c r="A372" s="30" t="s">
        <v>336</v>
      </c>
      <c r="B372" s="30" t="s">
        <v>727</v>
      </c>
      <c r="C372" s="30" t="s">
        <v>744</v>
      </c>
      <c r="D372" s="30"/>
      <c r="E372" s="30" t="s">
        <v>729</v>
      </c>
      <c r="F372" s="30" t="s">
        <v>29</v>
      </c>
      <c r="G372" s="31" t="n">
        <v>46178</v>
      </c>
      <c r="H372" s="31" t="n">
        <v>46178</v>
      </c>
      <c r="I372" s="32" t="n">
        <v>0</v>
      </c>
      <c r="J372" s="30"/>
    </row>
    <row r="373" customFormat="false" ht="15" hidden="false" customHeight="false" outlineLevel="0" collapsed="false">
      <c r="A373" s="30" t="s">
        <v>336</v>
      </c>
      <c r="B373" s="30" t="s">
        <v>727</v>
      </c>
      <c r="C373" s="30" t="s">
        <v>745</v>
      </c>
      <c r="D373" s="30"/>
      <c r="E373" s="30" t="s">
        <v>729</v>
      </c>
      <c r="F373" s="30" t="s">
        <v>29</v>
      </c>
      <c r="G373" s="31" t="n">
        <v>46178</v>
      </c>
      <c r="H373" s="31" t="n">
        <v>46178</v>
      </c>
      <c r="I373" s="32" t="n">
        <v>0</v>
      </c>
      <c r="J373" s="30"/>
    </row>
    <row r="374" customFormat="false" ht="15" hidden="false" customHeight="false" outlineLevel="0" collapsed="false">
      <c r="A374" s="30" t="s">
        <v>336</v>
      </c>
      <c r="B374" s="30" t="s">
        <v>727</v>
      </c>
      <c r="C374" s="30" t="s">
        <v>746</v>
      </c>
      <c r="D374" s="30"/>
      <c r="E374" s="30" t="s">
        <v>729</v>
      </c>
      <c r="F374" s="30" t="s">
        <v>29</v>
      </c>
      <c r="G374" s="31" t="n">
        <v>46178</v>
      </c>
      <c r="H374" s="31" t="n">
        <v>46178</v>
      </c>
      <c r="I374" s="32" t="n">
        <v>0</v>
      </c>
      <c r="J374" s="30"/>
    </row>
    <row r="375" customFormat="false" ht="15" hidden="false" customHeight="false" outlineLevel="0" collapsed="false">
      <c r="A375" s="30" t="s">
        <v>336</v>
      </c>
      <c r="B375" s="30" t="s">
        <v>727</v>
      </c>
      <c r="C375" s="30" t="s">
        <v>747</v>
      </c>
      <c r="D375" s="30"/>
      <c r="E375" s="30" t="s">
        <v>729</v>
      </c>
      <c r="F375" s="30" t="s">
        <v>29</v>
      </c>
      <c r="G375" s="31" t="n">
        <v>46178</v>
      </c>
      <c r="H375" s="31" t="n">
        <v>46178</v>
      </c>
      <c r="I375" s="32" t="n">
        <v>0</v>
      </c>
      <c r="J375" s="30"/>
    </row>
    <row r="376" customFormat="false" ht="15" hidden="false" customHeight="false" outlineLevel="0" collapsed="false">
      <c r="A376" s="30" t="s">
        <v>336</v>
      </c>
      <c r="B376" s="30" t="s">
        <v>727</v>
      </c>
      <c r="C376" s="30" t="s">
        <v>748</v>
      </c>
      <c r="D376" s="30"/>
      <c r="E376" s="30" t="s">
        <v>729</v>
      </c>
      <c r="F376" s="30" t="s">
        <v>29</v>
      </c>
      <c r="G376" s="31" t="n">
        <v>46178</v>
      </c>
      <c r="H376" s="31" t="n">
        <v>46178</v>
      </c>
      <c r="I376" s="32" t="n">
        <v>0</v>
      </c>
      <c r="J376" s="30"/>
    </row>
    <row r="377" customFormat="false" ht="15" hidden="false" customHeight="false" outlineLevel="0" collapsed="false">
      <c r="A377" s="30" t="s">
        <v>328</v>
      </c>
      <c r="B377" s="30" t="s">
        <v>329</v>
      </c>
      <c r="C377" s="30" t="s">
        <v>749</v>
      </c>
      <c r="D377" s="30"/>
      <c r="E377" s="30" t="s">
        <v>331</v>
      </c>
      <c r="F377" s="30" t="s">
        <v>56</v>
      </c>
      <c r="G377" s="31" t="n">
        <v>46203</v>
      </c>
      <c r="H377" s="31" t="n">
        <v>46203</v>
      </c>
      <c r="I377" s="32" t="n">
        <v>0</v>
      </c>
      <c r="J377" s="30"/>
    </row>
  </sheetData>
  <autoFilter ref="A1:J377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87878"/>
    <pageSetUpPr fitToPage="false"/>
  </sheetPr>
  <dimension ref="A1:J46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72"/>
    <col collapsed="false" customWidth="true" hidden="false" outlineLevel="0" max="2" min="2" style="0" width="20.71"/>
    <col collapsed="false" customWidth="true" hidden="false" outlineLevel="0" max="3" min="3" style="0" width="23.71"/>
    <col collapsed="false" customWidth="true" hidden="false" outlineLevel="0" max="5" min="4" style="0" width="17.71"/>
    <col collapsed="false" customWidth="true" hidden="false" outlineLevel="0" max="6" min="6" style="0" width="15.72"/>
    <col collapsed="false" customWidth="true" hidden="false" outlineLevel="0" max="7" min="7" style="0" width="14.72"/>
    <col collapsed="false" customWidth="true" hidden="false" outlineLevel="0" max="9" min="8" style="0" width="15.72"/>
    <col collapsed="false" customWidth="true" hidden="false" outlineLevel="0" max="10" min="10" style="0" width="32.72"/>
  </cols>
  <sheetData>
    <row r="1" customFormat="false" ht="24" hidden="false" customHeight="true" outlineLevel="0" collapsed="false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customFormat="false" ht="15" hidden="false" customHeight="false" outlineLevel="0" collapsed="false">
      <c r="A2" s="30" t="s">
        <v>103</v>
      </c>
      <c r="B2" s="30" t="s">
        <v>750</v>
      </c>
      <c r="C2" s="30" t="s">
        <v>751</v>
      </c>
      <c r="D2" s="30" t="s">
        <v>752</v>
      </c>
      <c r="E2" s="30" t="s">
        <v>106</v>
      </c>
      <c r="F2" s="30" t="s">
        <v>29</v>
      </c>
      <c r="G2" s="31" t="n">
        <v>46212</v>
      </c>
      <c r="H2" s="31" t="n">
        <v>46212</v>
      </c>
      <c r="I2" s="32" t="n">
        <v>0</v>
      </c>
      <c r="J2" s="30"/>
    </row>
    <row r="3" customFormat="false" ht="15" hidden="false" customHeight="false" outlineLevel="0" collapsed="false">
      <c r="A3" s="30" t="s">
        <v>103</v>
      </c>
      <c r="B3" s="30" t="s">
        <v>750</v>
      </c>
      <c r="C3" s="30" t="s">
        <v>753</v>
      </c>
      <c r="D3" s="30" t="s">
        <v>754</v>
      </c>
      <c r="E3" s="30" t="s">
        <v>106</v>
      </c>
      <c r="F3" s="30" t="s">
        <v>29</v>
      </c>
      <c r="G3" s="31" t="n">
        <v>46212</v>
      </c>
      <c r="H3" s="31" t="n">
        <v>46213</v>
      </c>
      <c r="I3" s="32" t="n">
        <v>1</v>
      </c>
      <c r="J3" s="30"/>
    </row>
    <row r="4" customFormat="false" ht="15" hidden="false" customHeight="false" outlineLevel="0" collapsed="false">
      <c r="A4" s="30" t="s">
        <v>103</v>
      </c>
      <c r="B4" s="30" t="s">
        <v>750</v>
      </c>
      <c r="C4" s="30" t="s">
        <v>755</v>
      </c>
      <c r="D4" s="30" t="s">
        <v>756</v>
      </c>
      <c r="E4" s="30" t="s">
        <v>106</v>
      </c>
      <c r="F4" s="30" t="s">
        <v>29</v>
      </c>
      <c r="G4" s="31" t="n">
        <v>46212</v>
      </c>
      <c r="H4" s="31" t="n">
        <v>46212</v>
      </c>
      <c r="I4" s="32" t="n">
        <v>0</v>
      </c>
      <c r="J4" s="30"/>
    </row>
    <row r="5" customFormat="false" ht="15" hidden="false" customHeight="false" outlineLevel="0" collapsed="false">
      <c r="A5" s="30" t="s">
        <v>103</v>
      </c>
      <c r="B5" s="30" t="s">
        <v>750</v>
      </c>
      <c r="C5" s="30" t="s">
        <v>757</v>
      </c>
      <c r="D5" s="30" t="s">
        <v>758</v>
      </c>
      <c r="E5" s="30" t="s">
        <v>106</v>
      </c>
      <c r="F5" s="30" t="s">
        <v>29</v>
      </c>
      <c r="G5" s="31" t="n">
        <v>46212</v>
      </c>
      <c r="H5" s="31" t="n">
        <v>46212</v>
      </c>
      <c r="I5" s="32" t="n">
        <v>0</v>
      </c>
      <c r="J5" s="30"/>
    </row>
    <row r="6" customFormat="false" ht="15" hidden="false" customHeight="false" outlineLevel="0" collapsed="false">
      <c r="A6" s="30" t="s">
        <v>103</v>
      </c>
      <c r="B6" s="30" t="s">
        <v>750</v>
      </c>
      <c r="C6" s="30" t="s">
        <v>759</v>
      </c>
      <c r="D6" s="30" t="s">
        <v>760</v>
      </c>
      <c r="E6" s="30" t="s">
        <v>106</v>
      </c>
      <c r="F6" s="30" t="s">
        <v>29</v>
      </c>
      <c r="G6" s="31" t="n">
        <v>46212</v>
      </c>
      <c r="H6" s="31" t="n">
        <v>46212</v>
      </c>
      <c r="I6" s="32" t="n">
        <v>0</v>
      </c>
      <c r="J6" s="30"/>
    </row>
    <row r="7" customFormat="false" ht="15" hidden="false" customHeight="false" outlineLevel="0" collapsed="false">
      <c r="A7" s="30" t="s">
        <v>103</v>
      </c>
      <c r="B7" s="30" t="s">
        <v>750</v>
      </c>
      <c r="C7" s="30" t="s">
        <v>761</v>
      </c>
      <c r="D7" s="30" t="s">
        <v>762</v>
      </c>
      <c r="E7" s="30" t="s">
        <v>106</v>
      </c>
      <c r="F7" s="30" t="s">
        <v>29</v>
      </c>
      <c r="G7" s="31" t="n">
        <v>46212</v>
      </c>
      <c r="H7" s="31" t="n">
        <v>46212</v>
      </c>
      <c r="I7" s="32" t="n">
        <v>0</v>
      </c>
      <c r="J7" s="30"/>
    </row>
    <row r="8" customFormat="false" ht="15" hidden="false" customHeight="false" outlineLevel="0" collapsed="false">
      <c r="A8" s="30" t="s">
        <v>103</v>
      </c>
      <c r="B8" s="30" t="s">
        <v>750</v>
      </c>
      <c r="C8" s="30" t="s">
        <v>763</v>
      </c>
      <c r="D8" s="30" t="s">
        <v>764</v>
      </c>
      <c r="E8" s="30" t="s">
        <v>106</v>
      </c>
      <c r="F8" s="30" t="s">
        <v>29</v>
      </c>
      <c r="G8" s="31" t="n">
        <v>46212</v>
      </c>
      <c r="H8" s="31" t="n">
        <v>46212</v>
      </c>
      <c r="I8" s="32" t="n">
        <v>0</v>
      </c>
      <c r="J8" s="30"/>
    </row>
    <row r="9" customFormat="false" ht="15" hidden="false" customHeight="false" outlineLevel="0" collapsed="false">
      <c r="A9" s="30" t="s">
        <v>103</v>
      </c>
      <c r="B9" s="30" t="s">
        <v>750</v>
      </c>
      <c r="C9" s="30" t="s">
        <v>765</v>
      </c>
      <c r="D9" s="30" t="s">
        <v>766</v>
      </c>
      <c r="E9" s="30" t="s">
        <v>106</v>
      </c>
      <c r="F9" s="30" t="s">
        <v>29</v>
      </c>
      <c r="G9" s="31" t="n">
        <v>46212</v>
      </c>
      <c r="H9" s="31" t="n">
        <v>46212</v>
      </c>
      <c r="I9" s="32" t="n">
        <v>0</v>
      </c>
      <c r="J9" s="30"/>
    </row>
    <row r="10" customFormat="false" ht="15" hidden="false" customHeight="false" outlineLevel="0" collapsed="false">
      <c r="A10" s="30" t="s">
        <v>103</v>
      </c>
      <c r="B10" s="30" t="s">
        <v>750</v>
      </c>
      <c r="C10" s="30" t="s">
        <v>767</v>
      </c>
      <c r="D10" s="30" t="s">
        <v>768</v>
      </c>
      <c r="E10" s="30" t="s">
        <v>106</v>
      </c>
      <c r="F10" s="30" t="s">
        <v>29</v>
      </c>
      <c r="G10" s="31" t="n">
        <v>46212</v>
      </c>
      <c r="H10" s="31" t="n">
        <v>46212</v>
      </c>
      <c r="I10" s="32" t="n">
        <v>0</v>
      </c>
      <c r="J10" s="30"/>
    </row>
    <row r="11" customFormat="false" ht="15" hidden="false" customHeight="false" outlineLevel="0" collapsed="false">
      <c r="A11" s="30" t="s">
        <v>103</v>
      </c>
      <c r="B11" s="30" t="s">
        <v>750</v>
      </c>
      <c r="C11" s="30" t="s">
        <v>769</v>
      </c>
      <c r="D11" s="30" t="s">
        <v>770</v>
      </c>
      <c r="E11" s="30" t="s">
        <v>106</v>
      </c>
      <c r="F11" s="30" t="s">
        <v>29</v>
      </c>
      <c r="G11" s="31" t="n">
        <v>46212</v>
      </c>
      <c r="H11" s="31" t="n">
        <v>46212</v>
      </c>
      <c r="I11" s="32" t="n">
        <v>0</v>
      </c>
      <c r="J11" s="30"/>
    </row>
    <row r="12" customFormat="false" ht="15" hidden="false" customHeight="false" outlineLevel="0" collapsed="false">
      <c r="A12" s="30" t="s">
        <v>103</v>
      </c>
      <c r="B12" s="30" t="s">
        <v>750</v>
      </c>
      <c r="C12" s="30" t="s">
        <v>771</v>
      </c>
      <c r="D12" s="30" t="s">
        <v>772</v>
      </c>
      <c r="E12" s="30" t="s">
        <v>106</v>
      </c>
      <c r="F12" s="30" t="s">
        <v>29</v>
      </c>
      <c r="G12" s="31" t="n">
        <v>46212</v>
      </c>
      <c r="H12" s="31" t="n">
        <v>46212</v>
      </c>
      <c r="I12" s="32" t="n">
        <v>0</v>
      </c>
      <c r="J12" s="30"/>
    </row>
    <row r="13" customFormat="false" ht="15" hidden="false" customHeight="false" outlineLevel="0" collapsed="false">
      <c r="A13" s="30" t="s">
        <v>103</v>
      </c>
      <c r="B13" s="30" t="s">
        <v>750</v>
      </c>
      <c r="C13" s="30" t="s">
        <v>773</v>
      </c>
      <c r="D13" s="30" t="s">
        <v>774</v>
      </c>
      <c r="E13" s="30" t="s">
        <v>106</v>
      </c>
      <c r="F13" s="30" t="s">
        <v>29</v>
      </c>
      <c r="G13" s="31" t="n">
        <v>46212</v>
      </c>
      <c r="H13" s="31" t="n">
        <v>46213</v>
      </c>
      <c r="I13" s="32" t="n">
        <v>1</v>
      </c>
      <c r="J13" s="30"/>
    </row>
    <row r="14" customFormat="false" ht="15" hidden="false" customHeight="false" outlineLevel="0" collapsed="false">
      <c r="A14" s="30" t="s">
        <v>103</v>
      </c>
      <c r="B14" s="30" t="s">
        <v>750</v>
      </c>
      <c r="C14" s="30" t="s">
        <v>775</v>
      </c>
      <c r="D14" s="30" t="s">
        <v>776</v>
      </c>
      <c r="E14" s="30" t="s">
        <v>106</v>
      </c>
      <c r="F14" s="30" t="s">
        <v>29</v>
      </c>
      <c r="G14" s="31" t="n">
        <v>46212</v>
      </c>
      <c r="H14" s="31" t="n">
        <v>46213</v>
      </c>
      <c r="I14" s="32" t="n">
        <v>1</v>
      </c>
      <c r="J14" s="30"/>
    </row>
    <row r="15" customFormat="false" ht="15" hidden="false" customHeight="false" outlineLevel="0" collapsed="false">
      <c r="A15" s="30" t="s">
        <v>103</v>
      </c>
      <c r="B15" s="30" t="s">
        <v>750</v>
      </c>
      <c r="C15" s="30" t="s">
        <v>777</v>
      </c>
      <c r="D15" s="30" t="s">
        <v>778</v>
      </c>
      <c r="E15" s="30" t="s">
        <v>106</v>
      </c>
      <c r="F15" s="30" t="s">
        <v>29</v>
      </c>
      <c r="G15" s="31" t="n">
        <v>46212</v>
      </c>
      <c r="H15" s="31" t="n">
        <v>46213</v>
      </c>
      <c r="I15" s="32" t="n">
        <v>1</v>
      </c>
      <c r="J15" s="30"/>
    </row>
    <row r="16" customFormat="false" ht="15" hidden="false" customHeight="false" outlineLevel="0" collapsed="false">
      <c r="A16" s="30" t="s">
        <v>103</v>
      </c>
      <c r="B16" s="30" t="s">
        <v>750</v>
      </c>
      <c r="C16" s="30" t="s">
        <v>779</v>
      </c>
      <c r="D16" s="30" t="s">
        <v>780</v>
      </c>
      <c r="E16" s="30" t="s">
        <v>106</v>
      </c>
      <c r="F16" s="30" t="s">
        <v>29</v>
      </c>
      <c r="G16" s="31" t="n">
        <v>46212</v>
      </c>
      <c r="H16" s="31" t="n">
        <v>46213</v>
      </c>
      <c r="I16" s="32" t="n">
        <v>1</v>
      </c>
      <c r="J16" s="30"/>
    </row>
    <row r="17" customFormat="false" ht="15" hidden="false" customHeight="false" outlineLevel="0" collapsed="false">
      <c r="A17" s="30" t="s">
        <v>103</v>
      </c>
      <c r="B17" s="30" t="s">
        <v>750</v>
      </c>
      <c r="C17" s="30" t="s">
        <v>781</v>
      </c>
      <c r="D17" s="30" t="s">
        <v>782</v>
      </c>
      <c r="E17" s="30" t="s">
        <v>106</v>
      </c>
      <c r="F17" s="30" t="s">
        <v>29</v>
      </c>
      <c r="G17" s="31" t="n">
        <v>46212</v>
      </c>
      <c r="H17" s="31" t="n">
        <v>46213</v>
      </c>
      <c r="I17" s="32" t="n">
        <v>1</v>
      </c>
      <c r="J17" s="30"/>
    </row>
    <row r="18" customFormat="false" ht="15" hidden="false" customHeight="false" outlineLevel="0" collapsed="false">
      <c r="A18" s="30" t="s">
        <v>103</v>
      </c>
      <c r="B18" s="30" t="s">
        <v>750</v>
      </c>
      <c r="C18" s="30" t="s">
        <v>783</v>
      </c>
      <c r="D18" s="30" t="s">
        <v>784</v>
      </c>
      <c r="E18" s="30" t="s">
        <v>106</v>
      </c>
      <c r="F18" s="30" t="s">
        <v>29</v>
      </c>
      <c r="G18" s="31" t="n">
        <v>46212</v>
      </c>
      <c r="H18" s="31" t="n">
        <v>46213</v>
      </c>
      <c r="I18" s="32" t="n">
        <v>1</v>
      </c>
      <c r="J18" s="30"/>
    </row>
    <row r="19" customFormat="false" ht="15" hidden="false" customHeight="false" outlineLevel="0" collapsed="false">
      <c r="A19" s="30" t="s">
        <v>103</v>
      </c>
      <c r="B19" s="30" t="s">
        <v>104</v>
      </c>
      <c r="C19" s="30" t="s">
        <v>785</v>
      </c>
      <c r="D19" s="30"/>
      <c r="E19" s="30" t="s">
        <v>106</v>
      </c>
      <c r="F19" s="30" t="s">
        <v>29</v>
      </c>
      <c r="G19" s="31" t="n">
        <v>46233</v>
      </c>
      <c r="H19" s="31" t="n">
        <v>46233</v>
      </c>
      <c r="I19" s="32" t="n">
        <v>0</v>
      </c>
      <c r="J19" s="30"/>
    </row>
    <row r="20" customFormat="false" ht="15" hidden="false" customHeight="false" outlineLevel="0" collapsed="false">
      <c r="A20" s="30" t="s">
        <v>61</v>
      </c>
      <c r="B20" s="30" t="s">
        <v>786</v>
      </c>
      <c r="C20" s="30" t="s">
        <v>787</v>
      </c>
      <c r="D20" s="30"/>
      <c r="E20" s="30" t="s">
        <v>64</v>
      </c>
      <c r="F20" s="30" t="s">
        <v>56</v>
      </c>
      <c r="G20" s="31" t="n">
        <v>46227</v>
      </c>
      <c r="H20" s="31" t="n">
        <v>46233</v>
      </c>
      <c r="I20" s="32" t="n">
        <v>6</v>
      </c>
      <c r="J20" s="30"/>
    </row>
    <row r="21" customFormat="false" ht="15" hidden="false" customHeight="false" outlineLevel="0" collapsed="false">
      <c r="A21" s="30" t="s">
        <v>61</v>
      </c>
      <c r="B21" s="30" t="s">
        <v>786</v>
      </c>
      <c r="C21" s="30" t="s">
        <v>788</v>
      </c>
      <c r="D21" s="30"/>
      <c r="E21" s="30" t="s">
        <v>64</v>
      </c>
      <c r="F21" s="30" t="s">
        <v>56</v>
      </c>
      <c r="G21" s="31" t="n">
        <v>46227</v>
      </c>
      <c r="H21" s="31" t="n">
        <v>46233</v>
      </c>
      <c r="I21" s="32" t="n">
        <v>6</v>
      </c>
      <c r="J21" s="30"/>
    </row>
    <row r="22" customFormat="false" ht="15" hidden="false" customHeight="false" outlineLevel="0" collapsed="false">
      <c r="A22" s="30" t="s">
        <v>61</v>
      </c>
      <c r="B22" s="30" t="s">
        <v>789</v>
      </c>
      <c r="C22" s="30" t="s">
        <v>790</v>
      </c>
      <c r="D22" s="30"/>
      <c r="E22" s="30" t="s">
        <v>64</v>
      </c>
      <c r="F22" s="30" t="s">
        <v>56</v>
      </c>
      <c r="G22" s="31" t="n">
        <v>46227</v>
      </c>
      <c r="H22" s="31" t="n">
        <v>46233</v>
      </c>
      <c r="I22" s="32" t="n">
        <v>6</v>
      </c>
      <c r="J22" s="30"/>
    </row>
    <row r="23" customFormat="false" ht="15" hidden="false" customHeight="false" outlineLevel="0" collapsed="false">
      <c r="A23" s="30" t="s">
        <v>61</v>
      </c>
      <c r="B23" s="30" t="s">
        <v>786</v>
      </c>
      <c r="C23" s="30" t="s">
        <v>791</v>
      </c>
      <c r="D23" s="30"/>
      <c r="E23" s="30" t="s">
        <v>64</v>
      </c>
      <c r="F23" s="30" t="s">
        <v>56</v>
      </c>
      <c r="G23" s="31" t="n">
        <v>46227</v>
      </c>
      <c r="H23" s="31" t="n">
        <v>46233</v>
      </c>
      <c r="I23" s="32" t="n">
        <v>6</v>
      </c>
      <c r="J23" s="30"/>
    </row>
    <row r="24" customFormat="false" ht="15" hidden="false" customHeight="false" outlineLevel="0" collapsed="false">
      <c r="A24" s="30" t="s">
        <v>61</v>
      </c>
      <c r="B24" s="30" t="s">
        <v>792</v>
      </c>
      <c r="C24" s="30" t="s">
        <v>81</v>
      </c>
      <c r="D24" s="30"/>
      <c r="E24" s="30" t="s">
        <v>64</v>
      </c>
      <c r="F24" s="30" t="s">
        <v>56</v>
      </c>
      <c r="G24" s="31" t="n">
        <v>46227</v>
      </c>
      <c r="H24" s="31" t="n">
        <v>46233</v>
      </c>
      <c r="I24" s="32" t="n">
        <v>6</v>
      </c>
      <c r="J24" s="30"/>
    </row>
    <row r="25" customFormat="false" ht="15" hidden="false" customHeight="false" outlineLevel="0" collapsed="false">
      <c r="A25" s="30" t="s">
        <v>51</v>
      </c>
      <c r="B25" s="30" t="s">
        <v>793</v>
      </c>
      <c r="C25" s="30" t="s">
        <v>794</v>
      </c>
      <c r="D25" s="30"/>
      <c r="E25" s="30" t="s">
        <v>719</v>
      </c>
      <c r="F25" s="30" t="s">
        <v>29</v>
      </c>
      <c r="G25" s="31" t="n">
        <v>46219</v>
      </c>
      <c r="H25" s="31" t="n">
        <v>46233</v>
      </c>
      <c r="I25" s="32" t="n">
        <v>14</v>
      </c>
      <c r="J25" s="30"/>
    </row>
    <row r="26" customFormat="false" ht="15" hidden="false" customHeight="false" outlineLevel="0" collapsed="false">
      <c r="A26" s="30" t="s">
        <v>51</v>
      </c>
      <c r="B26" s="30" t="s">
        <v>793</v>
      </c>
      <c r="C26" s="30" t="s">
        <v>795</v>
      </c>
      <c r="D26" s="30"/>
      <c r="E26" s="30" t="s">
        <v>719</v>
      </c>
      <c r="F26" s="30" t="s">
        <v>29</v>
      </c>
      <c r="G26" s="31" t="n">
        <v>46219</v>
      </c>
      <c r="H26" s="31" t="n">
        <v>46233</v>
      </c>
      <c r="I26" s="32" t="n">
        <v>14</v>
      </c>
      <c r="J26" s="30"/>
    </row>
    <row r="27" customFormat="false" ht="15" hidden="false" customHeight="false" outlineLevel="0" collapsed="false">
      <c r="A27" s="30" t="s">
        <v>51</v>
      </c>
      <c r="B27" s="30" t="s">
        <v>793</v>
      </c>
      <c r="C27" s="30" t="s">
        <v>796</v>
      </c>
      <c r="D27" s="30"/>
      <c r="E27" s="30" t="s">
        <v>719</v>
      </c>
      <c r="F27" s="30" t="s">
        <v>29</v>
      </c>
      <c r="G27" s="31" t="n">
        <v>46219</v>
      </c>
      <c r="H27" s="31" t="n">
        <v>46233</v>
      </c>
      <c r="I27" s="32" t="n">
        <v>14</v>
      </c>
      <c r="J27" s="30"/>
    </row>
    <row r="28" customFormat="false" ht="15" hidden="false" customHeight="false" outlineLevel="0" collapsed="false">
      <c r="A28" s="30" t="s">
        <v>86</v>
      </c>
      <c r="B28" s="30" t="s">
        <v>129</v>
      </c>
      <c r="C28" s="30" t="s">
        <v>182</v>
      </c>
      <c r="D28" s="30"/>
      <c r="E28" s="30" t="s">
        <v>89</v>
      </c>
      <c r="F28" s="30" t="s">
        <v>29</v>
      </c>
      <c r="G28" s="31" t="n">
        <v>46231</v>
      </c>
      <c r="H28" s="31" t="n">
        <v>46233</v>
      </c>
      <c r="I28" s="32" t="n">
        <v>2</v>
      </c>
      <c r="J28" s="30"/>
    </row>
    <row r="29" customFormat="false" ht="15" hidden="false" customHeight="false" outlineLevel="0" collapsed="false">
      <c r="A29" s="30" t="s">
        <v>86</v>
      </c>
      <c r="B29" s="30" t="s">
        <v>129</v>
      </c>
      <c r="C29" s="30" t="s">
        <v>190</v>
      </c>
      <c r="D29" s="30"/>
      <c r="E29" s="30" t="s">
        <v>89</v>
      </c>
      <c r="F29" s="30" t="s">
        <v>29</v>
      </c>
      <c r="G29" s="31" t="n">
        <v>46231</v>
      </c>
      <c r="H29" s="31" t="n">
        <v>46233</v>
      </c>
      <c r="I29" s="32" t="n">
        <v>2</v>
      </c>
      <c r="J29" s="30"/>
    </row>
    <row r="30" customFormat="false" ht="15" hidden="false" customHeight="false" outlineLevel="0" collapsed="false">
      <c r="A30" s="30" t="s">
        <v>86</v>
      </c>
      <c r="B30" s="30" t="s">
        <v>129</v>
      </c>
      <c r="C30" s="30" t="s">
        <v>194</v>
      </c>
      <c r="D30" s="30"/>
      <c r="E30" s="30" t="s">
        <v>89</v>
      </c>
      <c r="F30" s="30" t="s">
        <v>29</v>
      </c>
      <c r="G30" s="31" t="n">
        <v>46231</v>
      </c>
      <c r="H30" s="31" t="n">
        <v>46233</v>
      </c>
      <c r="I30" s="32" t="n">
        <v>2</v>
      </c>
      <c r="J30" s="30"/>
    </row>
    <row r="31" customFormat="false" ht="15" hidden="false" customHeight="false" outlineLevel="0" collapsed="false">
      <c r="A31" s="30" t="s">
        <v>86</v>
      </c>
      <c r="B31" s="30" t="s">
        <v>129</v>
      </c>
      <c r="C31" s="30" t="s">
        <v>174</v>
      </c>
      <c r="D31" s="30"/>
      <c r="E31" s="30" t="s">
        <v>89</v>
      </c>
      <c r="F31" s="30" t="s">
        <v>29</v>
      </c>
      <c r="G31" s="31" t="n">
        <v>46231</v>
      </c>
      <c r="H31" s="31" t="n">
        <v>46233</v>
      </c>
      <c r="I31" s="32" t="n">
        <v>2</v>
      </c>
      <c r="J31" s="30"/>
    </row>
    <row r="32" customFormat="false" ht="15" hidden="false" customHeight="false" outlineLevel="0" collapsed="false">
      <c r="A32" s="30" t="s">
        <v>86</v>
      </c>
      <c r="B32" s="30" t="s">
        <v>129</v>
      </c>
      <c r="C32" s="30" t="s">
        <v>187</v>
      </c>
      <c r="D32" s="30"/>
      <c r="E32" s="30" t="s">
        <v>89</v>
      </c>
      <c r="F32" s="30" t="s">
        <v>29</v>
      </c>
      <c r="G32" s="31" t="n">
        <v>46231</v>
      </c>
      <c r="H32" s="31" t="n">
        <v>46233</v>
      </c>
      <c r="I32" s="32" t="n">
        <v>2</v>
      </c>
      <c r="J32" s="30"/>
    </row>
    <row r="33" customFormat="false" ht="15" hidden="false" customHeight="false" outlineLevel="0" collapsed="false">
      <c r="A33" s="30" t="s">
        <v>86</v>
      </c>
      <c r="B33" s="30" t="s">
        <v>129</v>
      </c>
      <c r="C33" s="30" t="s">
        <v>189</v>
      </c>
      <c r="D33" s="30"/>
      <c r="E33" s="30" t="s">
        <v>89</v>
      </c>
      <c r="F33" s="30" t="s">
        <v>29</v>
      </c>
      <c r="G33" s="31" t="n">
        <v>46231</v>
      </c>
      <c r="H33" s="31" t="n">
        <v>46233</v>
      </c>
      <c r="I33" s="32" t="n">
        <v>2</v>
      </c>
      <c r="J33" s="30"/>
    </row>
    <row r="34" customFormat="false" ht="15" hidden="false" customHeight="false" outlineLevel="0" collapsed="false">
      <c r="A34" s="30" t="s">
        <v>86</v>
      </c>
      <c r="B34" s="30" t="s">
        <v>129</v>
      </c>
      <c r="C34" s="30" t="s">
        <v>181</v>
      </c>
      <c r="D34" s="30"/>
      <c r="E34" s="30" t="s">
        <v>89</v>
      </c>
      <c r="F34" s="30" t="s">
        <v>29</v>
      </c>
      <c r="G34" s="31" t="n">
        <v>46231</v>
      </c>
      <c r="H34" s="31" t="n">
        <v>46233</v>
      </c>
      <c r="I34" s="32" t="n">
        <v>2</v>
      </c>
      <c r="J34" s="30"/>
    </row>
    <row r="35" customFormat="false" ht="15" hidden="false" customHeight="false" outlineLevel="0" collapsed="false">
      <c r="A35" s="30" t="s">
        <v>86</v>
      </c>
      <c r="B35" s="30" t="s">
        <v>129</v>
      </c>
      <c r="C35" s="30" t="s">
        <v>193</v>
      </c>
      <c r="D35" s="30"/>
      <c r="E35" s="30" t="s">
        <v>89</v>
      </c>
      <c r="F35" s="30" t="s">
        <v>29</v>
      </c>
      <c r="G35" s="31" t="n">
        <v>46231</v>
      </c>
      <c r="H35" s="31" t="n">
        <v>46233</v>
      </c>
      <c r="I35" s="32" t="n">
        <v>2</v>
      </c>
      <c r="J35" s="30"/>
    </row>
    <row r="36" customFormat="false" ht="15" hidden="false" customHeight="false" outlineLevel="0" collapsed="false">
      <c r="A36" s="30" t="s">
        <v>86</v>
      </c>
      <c r="B36" s="30" t="s">
        <v>129</v>
      </c>
      <c r="C36" s="30" t="s">
        <v>191</v>
      </c>
      <c r="D36" s="30"/>
      <c r="E36" s="30" t="s">
        <v>89</v>
      </c>
      <c r="F36" s="30" t="s">
        <v>29</v>
      </c>
      <c r="G36" s="31" t="n">
        <v>46231</v>
      </c>
      <c r="H36" s="31" t="n">
        <v>46233</v>
      </c>
      <c r="I36" s="32" t="n">
        <v>2</v>
      </c>
      <c r="J36" s="30"/>
    </row>
    <row r="37" customFormat="false" ht="15" hidden="false" customHeight="false" outlineLevel="0" collapsed="false">
      <c r="A37" s="30" t="s">
        <v>86</v>
      </c>
      <c r="B37" s="30" t="s">
        <v>129</v>
      </c>
      <c r="C37" s="30" t="s">
        <v>188</v>
      </c>
      <c r="D37" s="30"/>
      <c r="E37" s="30" t="s">
        <v>89</v>
      </c>
      <c r="F37" s="30" t="s">
        <v>29</v>
      </c>
      <c r="G37" s="31" t="n">
        <v>46231</v>
      </c>
      <c r="H37" s="31" t="n">
        <v>46233</v>
      </c>
      <c r="I37" s="32" t="n">
        <v>2</v>
      </c>
      <c r="J37" s="30"/>
    </row>
    <row r="38" customFormat="false" ht="15" hidden="false" customHeight="false" outlineLevel="0" collapsed="false">
      <c r="A38" s="30" t="s">
        <v>86</v>
      </c>
      <c r="B38" s="30" t="s">
        <v>129</v>
      </c>
      <c r="C38" s="30" t="s">
        <v>180</v>
      </c>
      <c r="D38" s="30"/>
      <c r="E38" s="30" t="s">
        <v>89</v>
      </c>
      <c r="F38" s="30" t="s">
        <v>29</v>
      </c>
      <c r="G38" s="31" t="n">
        <v>46231</v>
      </c>
      <c r="H38" s="31" t="n">
        <v>46233</v>
      </c>
      <c r="I38" s="32" t="n">
        <v>2</v>
      </c>
      <c r="J38" s="30"/>
    </row>
    <row r="39" customFormat="false" ht="15" hidden="false" customHeight="false" outlineLevel="0" collapsed="false">
      <c r="A39" s="30" t="s">
        <v>86</v>
      </c>
      <c r="B39" s="30" t="s">
        <v>129</v>
      </c>
      <c r="C39" s="30" t="s">
        <v>183</v>
      </c>
      <c r="D39" s="30"/>
      <c r="E39" s="30" t="s">
        <v>89</v>
      </c>
      <c r="F39" s="30" t="s">
        <v>29</v>
      </c>
      <c r="G39" s="31" t="n">
        <v>46231</v>
      </c>
      <c r="H39" s="31" t="n">
        <v>46233</v>
      </c>
      <c r="I39" s="32" t="n">
        <v>2</v>
      </c>
      <c r="J39" s="30"/>
    </row>
    <row r="40" customFormat="false" ht="15" hidden="false" customHeight="false" outlineLevel="0" collapsed="false">
      <c r="A40" s="30" t="s">
        <v>86</v>
      </c>
      <c r="B40" s="30" t="s">
        <v>129</v>
      </c>
      <c r="C40" s="30" t="s">
        <v>185</v>
      </c>
      <c r="D40" s="30"/>
      <c r="E40" s="30" t="s">
        <v>89</v>
      </c>
      <c r="F40" s="30" t="s">
        <v>29</v>
      </c>
      <c r="G40" s="31" t="n">
        <v>46231</v>
      </c>
      <c r="H40" s="31" t="n">
        <v>46233</v>
      </c>
      <c r="I40" s="32" t="n">
        <v>2</v>
      </c>
      <c r="J40" s="30"/>
    </row>
    <row r="41" customFormat="false" ht="15" hidden="false" customHeight="false" outlineLevel="0" collapsed="false">
      <c r="A41" s="30" t="s">
        <v>86</v>
      </c>
      <c r="B41" s="30" t="s">
        <v>129</v>
      </c>
      <c r="C41" s="30" t="s">
        <v>175</v>
      </c>
      <c r="D41" s="30"/>
      <c r="E41" s="30" t="s">
        <v>89</v>
      </c>
      <c r="F41" s="30" t="s">
        <v>29</v>
      </c>
      <c r="G41" s="31" t="n">
        <v>46231</v>
      </c>
      <c r="H41" s="31" t="n">
        <v>46233</v>
      </c>
      <c r="I41" s="32" t="n">
        <v>2</v>
      </c>
      <c r="J41" s="30"/>
    </row>
    <row r="42" customFormat="false" ht="15" hidden="false" customHeight="false" outlineLevel="0" collapsed="false">
      <c r="A42" s="30" t="s">
        <v>86</v>
      </c>
      <c r="B42" s="30" t="s">
        <v>129</v>
      </c>
      <c r="C42" s="30" t="s">
        <v>172</v>
      </c>
      <c r="D42" s="30"/>
      <c r="E42" s="30" t="s">
        <v>89</v>
      </c>
      <c r="F42" s="30" t="s">
        <v>29</v>
      </c>
      <c r="G42" s="31" t="n">
        <v>46231</v>
      </c>
      <c r="H42" s="31" t="n">
        <v>46233</v>
      </c>
      <c r="I42" s="32" t="n">
        <v>2</v>
      </c>
      <c r="J42" s="30"/>
    </row>
    <row r="43" customFormat="false" ht="15" hidden="false" customHeight="false" outlineLevel="0" collapsed="false">
      <c r="A43" s="30" t="s">
        <v>86</v>
      </c>
      <c r="B43" s="30" t="s">
        <v>129</v>
      </c>
      <c r="C43" s="30" t="s">
        <v>186</v>
      </c>
      <c r="D43" s="30"/>
      <c r="E43" s="30" t="s">
        <v>89</v>
      </c>
      <c r="F43" s="30" t="s">
        <v>29</v>
      </c>
      <c r="G43" s="31" t="n">
        <v>46231</v>
      </c>
      <c r="H43" s="31" t="n">
        <v>46233</v>
      </c>
      <c r="I43" s="32" t="n">
        <v>2</v>
      </c>
      <c r="J43" s="30"/>
    </row>
    <row r="44" customFormat="false" ht="15" hidden="false" customHeight="false" outlineLevel="0" collapsed="false">
      <c r="A44" s="30" t="s">
        <v>86</v>
      </c>
      <c r="B44" s="30" t="s">
        <v>129</v>
      </c>
      <c r="C44" s="30" t="s">
        <v>177</v>
      </c>
      <c r="D44" s="30"/>
      <c r="E44" s="30" t="s">
        <v>89</v>
      </c>
      <c r="F44" s="30" t="s">
        <v>29</v>
      </c>
      <c r="G44" s="31" t="n">
        <v>46231</v>
      </c>
      <c r="H44" s="31" t="n">
        <v>46233</v>
      </c>
      <c r="I44" s="32" t="n">
        <v>2</v>
      </c>
      <c r="J44" s="30"/>
    </row>
    <row r="45" customFormat="false" ht="15" hidden="false" customHeight="false" outlineLevel="0" collapsed="false">
      <c r="A45" s="30" t="s">
        <v>86</v>
      </c>
      <c r="B45" s="30" t="s">
        <v>129</v>
      </c>
      <c r="C45" s="30" t="s">
        <v>184</v>
      </c>
      <c r="D45" s="30"/>
      <c r="E45" s="30" t="s">
        <v>89</v>
      </c>
      <c r="F45" s="30" t="s">
        <v>29</v>
      </c>
      <c r="G45" s="31" t="n">
        <v>46231</v>
      </c>
      <c r="H45" s="31" t="n">
        <v>46233</v>
      </c>
      <c r="I45" s="32" t="n">
        <v>2</v>
      </c>
      <c r="J45" s="30"/>
    </row>
    <row r="46" customFormat="false" ht="15" hidden="false" customHeight="false" outlineLevel="0" collapsed="false">
      <c r="A46" s="30" t="s">
        <v>86</v>
      </c>
      <c r="B46" s="30" t="s">
        <v>129</v>
      </c>
      <c r="C46" s="30" t="s">
        <v>192</v>
      </c>
      <c r="D46" s="30"/>
      <c r="E46" s="30" t="s">
        <v>89</v>
      </c>
      <c r="F46" s="30" t="s">
        <v>29</v>
      </c>
      <c r="G46" s="31" t="n">
        <v>46231</v>
      </c>
      <c r="H46" s="31" t="n">
        <v>46233</v>
      </c>
      <c r="I46" s="32" t="n">
        <v>2</v>
      </c>
      <c r="J46" s="30"/>
    </row>
    <row r="47" customFormat="false" ht="15" hidden="false" customHeight="false" outlineLevel="0" collapsed="false">
      <c r="A47" s="30" t="s">
        <v>86</v>
      </c>
      <c r="B47" s="30" t="s">
        <v>129</v>
      </c>
      <c r="C47" s="30" t="s">
        <v>176</v>
      </c>
      <c r="D47" s="30"/>
      <c r="E47" s="30" t="s">
        <v>89</v>
      </c>
      <c r="F47" s="30" t="s">
        <v>29</v>
      </c>
      <c r="G47" s="31" t="n">
        <v>46231</v>
      </c>
      <c r="H47" s="31" t="n">
        <v>46233</v>
      </c>
      <c r="I47" s="32" t="n">
        <v>2</v>
      </c>
      <c r="J47" s="30"/>
    </row>
    <row r="48" customFormat="false" ht="15" hidden="false" customHeight="false" outlineLevel="0" collapsed="false">
      <c r="A48" s="30" t="s">
        <v>25</v>
      </c>
      <c r="B48" s="30" t="s">
        <v>797</v>
      </c>
      <c r="C48" s="30" t="s">
        <v>798</v>
      </c>
      <c r="D48" s="30"/>
      <c r="E48" s="30" t="s">
        <v>396</v>
      </c>
      <c r="F48" s="30" t="s">
        <v>29</v>
      </c>
      <c r="G48" s="31" t="n">
        <v>46231</v>
      </c>
      <c r="H48" s="31" t="n">
        <v>46233</v>
      </c>
      <c r="I48" s="32" t="n">
        <v>2</v>
      </c>
      <c r="J48" s="30"/>
    </row>
    <row r="49" customFormat="false" ht="15" hidden="false" customHeight="false" outlineLevel="0" collapsed="false">
      <c r="A49" s="30" t="s">
        <v>25</v>
      </c>
      <c r="B49" s="30" t="s">
        <v>797</v>
      </c>
      <c r="C49" s="30" t="s">
        <v>799</v>
      </c>
      <c r="D49" s="30"/>
      <c r="E49" s="30" t="s">
        <v>396</v>
      </c>
      <c r="F49" s="30" t="s">
        <v>29</v>
      </c>
      <c r="G49" s="31" t="n">
        <v>46231</v>
      </c>
      <c r="H49" s="31" t="n">
        <v>46233</v>
      </c>
      <c r="I49" s="32" t="n">
        <v>2</v>
      </c>
      <c r="J49" s="30"/>
    </row>
    <row r="50" customFormat="false" ht="15" hidden="false" customHeight="false" outlineLevel="0" collapsed="false">
      <c r="A50" s="30" t="s">
        <v>25</v>
      </c>
      <c r="B50" s="30" t="s">
        <v>797</v>
      </c>
      <c r="C50" s="30" t="s">
        <v>800</v>
      </c>
      <c r="D50" s="30"/>
      <c r="E50" s="30" t="s">
        <v>396</v>
      </c>
      <c r="F50" s="30" t="s">
        <v>29</v>
      </c>
      <c r="G50" s="31" t="n">
        <v>46231</v>
      </c>
      <c r="H50" s="31" t="n">
        <v>46233</v>
      </c>
      <c r="I50" s="32" t="n">
        <v>2</v>
      </c>
      <c r="J50" s="30"/>
    </row>
    <row r="51" customFormat="false" ht="15" hidden="false" customHeight="false" outlineLevel="0" collapsed="false">
      <c r="A51" s="30" t="s">
        <v>25</v>
      </c>
      <c r="B51" s="30" t="s">
        <v>797</v>
      </c>
      <c r="C51" s="30" t="s">
        <v>801</v>
      </c>
      <c r="D51" s="30"/>
      <c r="E51" s="30" t="s">
        <v>396</v>
      </c>
      <c r="F51" s="30" t="s">
        <v>29</v>
      </c>
      <c r="G51" s="31" t="n">
        <v>46231</v>
      </c>
      <c r="H51" s="31" t="n">
        <v>46233</v>
      </c>
      <c r="I51" s="32" t="n">
        <v>2</v>
      </c>
      <c r="J51" s="30"/>
    </row>
    <row r="52" customFormat="false" ht="15" hidden="false" customHeight="false" outlineLevel="0" collapsed="false">
      <c r="A52" s="30" t="s">
        <v>25</v>
      </c>
      <c r="B52" s="30" t="s">
        <v>797</v>
      </c>
      <c r="C52" s="30" t="s">
        <v>802</v>
      </c>
      <c r="D52" s="30"/>
      <c r="E52" s="30" t="s">
        <v>396</v>
      </c>
      <c r="F52" s="30" t="s">
        <v>29</v>
      </c>
      <c r="G52" s="31" t="n">
        <v>46231</v>
      </c>
      <c r="H52" s="31" t="n">
        <v>46233</v>
      </c>
      <c r="I52" s="32" t="n">
        <v>2</v>
      </c>
      <c r="J52" s="30"/>
    </row>
    <row r="53" customFormat="false" ht="15" hidden="false" customHeight="false" outlineLevel="0" collapsed="false">
      <c r="A53" s="30" t="s">
        <v>25</v>
      </c>
      <c r="B53" s="30" t="s">
        <v>797</v>
      </c>
      <c r="C53" s="30" t="s">
        <v>803</v>
      </c>
      <c r="D53" s="30"/>
      <c r="E53" s="30" t="s">
        <v>396</v>
      </c>
      <c r="F53" s="30" t="s">
        <v>29</v>
      </c>
      <c r="G53" s="31" t="n">
        <v>46231</v>
      </c>
      <c r="H53" s="31" t="n">
        <v>46233</v>
      </c>
      <c r="I53" s="32" t="n">
        <v>2</v>
      </c>
      <c r="J53" s="30"/>
    </row>
    <row r="54" customFormat="false" ht="15" hidden="false" customHeight="false" outlineLevel="0" collapsed="false">
      <c r="A54" s="30" t="s">
        <v>25</v>
      </c>
      <c r="B54" s="30" t="s">
        <v>797</v>
      </c>
      <c r="C54" s="30" t="s">
        <v>804</v>
      </c>
      <c r="D54" s="30"/>
      <c r="E54" s="30" t="s">
        <v>396</v>
      </c>
      <c r="F54" s="30" t="s">
        <v>29</v>
      </c>
      <c r="G54" s="31" t="n">
        <v>46231</v>
      </c>
      <c r="H54" s="31" t="n">
        <v>46233</v>
      </c>
      <c r="I54" s="32" t="n">
        <v>2</v>
      </c>
      <c r="J54" s="30"/>
    </row>
    <row r="55" customFormat="false" ht="15" hidden="false" customHeight="false" outlineLevel="0" collapsed="false">
      <c r="A55" s="30" t="s">
        <v>25</v>
      </c>
      <c r="B55" s="30" t="s">
        <v>797</v>
      </c>
      <c r="C55" s="30" t="s">
        <v>805</v>
      </c>
      <c r="D55" s="30"/>
      <c r="E55" s="30" t="s">
        <v>396</v>
      </c>
      <c r="F55" s="30" t="s">
        <v>29</v>
      </c>
      <c r="G55" s="31" t="n">
        <v>46231</v>
      </c>
      <c r="H55" s="31" t="n">
        <v>46233</v>
      </c>
      <c r="I55" s="32" t="n">
        <v>2</v>
      </c>
      <c r="J55" s="30"/>
    </row>
    <row r="56" customFormat="false" ht="15" hidden="false" customHeight="false" outlineLevel="0" collapsed="false">
      <c r="A56" s="30" t="s">
        <v>25</v>
      </c>
      <c r="B56" s="30" t="s">
        <v>797</v>
      </c>
      <c r="C56" s="30" t="s">
        <v>806</v>
      </c>
      <c r="D56" s="30"/>
      <c r="E56" s="30" t="s">
        <v>396</v>
      </c>
      <c r="F56" s="30" t="s">
        <v>29</v>
      </c>
      <c r="G56" s="31" t="n">
        <v>46231</v>
      </c>
      <c r="H56" s="31" t="n">
        <v>46233</v>
      </c>
      <c r="I56" s="32" t="n">
        <v>2</v>
      </c>
      <c r="J56" s="30"/>
    </row>
    <row r="57" customFormat="false" ht="15" hidden="false" customHeight="false" outlineLevel="0" collapsed="false">
      <c r="A57" s="30" t="s">
        <v>25</v>
      </c>
      <c r="B57" s="30" t="s">
        <v>797</v>
      </c>
      <c r="C57" s="30" t="s">
        <v>807</v>
      </c>
      <c r="D57" s="30"/>
      <c r="E57" s="30" t="s">
        <v>396</v>
      </c>
      <c r="F57" s="30" t="s">
        <v>29</v>
      </c>
      <c r="G57" s="31" t="n">
        <v>46231</v>
      </c>
      <c r="H57" s="31" t="n">
        <v>46233</v>
      </c>
      <c r="I57" s="32" t="n">
        <v>2</v>
      </c>
      <c r="J57" s="30"/>
    </row>
    <row r="58" customFormat="false" ht="15" hidden="false" customHeight="false" outlineLevel="0" collapsed="false">
      <c r="A58" s="30" t="s">
        <v>25</v>
      </c>
      <c r="B58" s="30" t="s">
        <v>797</v>
      </c>
      <c r="C58" s="30" t="s">
        <v>808</v>
      </c>
      <c r="D58" s="30"/>
      <c r="E58" s="30" t="s">
        <v>396</v>
      </c>
      <c r="F58" s="30" t="s">
        <v>29</v>
      </c>
      <c r="G58" s="31" t="n">
        <v>46231</v>
      </c>
      <c r="H58" s="31" t="n">
        <v>46233</v>
      </c>
      <c r="I58" s="32" t="n">
        <v>2</v>
      </c>
      <c r="J58" s="30"/>
    </row>
    <row r="59" customFormat="false" ht="15" hidden="false" customHeight="false" outlineLevel="0" collapsed="false">
      <c r="A59" s="30" t="s">
        <v>61</v>
      </c>
      <c r="B59" s="30" t="s">
        <v>792</v>
      </c>
      <c r="C59" s="30" t="s">
        <v>809</v>
      </c>
      <c r="D59" s="30"/>
      <c r="E59" s="30" t="s">
        <v>64</v>
      </c>
      <c r="F59" s="30" t="s">
        <v>56</v>
      </c>
      <c r="G59" s="31" t="n">
        <v>46227</v>
      </c>
      <c r="H59" s="31" t="n">
        <v>46233</v>
      </c>
      <c r="I59" s="32" t="n">
        <v>6</v>
      </c>
      <c r="J59" s="30"/>
    </row>
    <row r="60" customFormat="false" ht="15" hidden="false" customHeight="false" outlineLevel="0" collapsed="false">
      <c r="A60" s="30" t="s">
        <v>61</v>
      </c>
      <c r="B60" s="30" t="s">
        <v>786</v>
      </c>
      <c r="C60" s="30" t="s">
        <v>810</v>
      </c>
      <c r="D60" s="30"/>
      <c r="E60" s="30" t="s">
        <v>64</v>
      </c>
      <c r="F60" s="30" t="s">
        <v>56</v>
      </c>
      <c r="G60" s="31" t="n">
        <v>46227</v>
      </c>
      <c r="H60" s="31" t="n">
        <v>46233</v>
      </c>
      <c r="I60" s="32" t="n">
        <v>6</v>
      </c>
      <c r="J60" s="30"/>
    </row>
    <row r="61" customFormat="false" ht="15" hidden="false" customHeight="false" outlineLevel="0" collapsed="false">
      <c r="A61" s="30" t="s">
        <v>61</v>
      </c>
      <c r="B61" s="30" t="s">
        <v>786</v>
      </c>
      <c r="C61" s="30" t="s">
        <v>811</v>
      </c>
      <c r="D61" s="30"/>
      <c r="E61" s="30" t="s">
        <v>64</v>
      </c>
      <c r="F61" s="30" t="s">
        <v>56</v>
      </c>
      <c r="G61" s="31" t="n">
        <v>46227</v>
      </c>
      <c r="H61" s="31" t="n">
        <v>46233</v>
      </c>
      <c r="I61" s="32" t="n">
        <v>6</v>
      </c>
      <c r="J61" s="30"/>
    </row>
    <row r="62" customFormat="false" ht="15" hidden="false" customHeight="false" outlineLevel="0" collapsed="false">
      <c r="A62" s="30" t="s">
        <v>61</v>
      </c>
      <c r="B62" s="30" t="s">
        <v>786</v>
      </c>
      <c r="C62" s="30" t="s">
        <v>812</v>
      </c>
      <c r="D62" s="30"/>
      <c r="E62" s="30" t="s">
        <v>64</v>
      </c>
      <c r="F62" s="30" t="s">
        <v>56</v>
      </c>
      <c r="G62" s="31" t="n">
        <v>46227</v>
      </c>
      <c r="H62" s="31" t="n">
        <v>46233</v>
      </c>
      <c r="I62" s="32" t="n">
        <v>6</v>
      </c>
      <c r="J62" s="30"/>
    </row>
    <row r="63" customFormat="false" ht="15" hidden="false" customHeight="false" outlineLevel="0" collapsed="false">
      <c r="A63" s="30" t="s">
        <v>61</v>
      </c>
      <c r="B63" s="30" t="s">
        <v>786</v>
      </c>
      <c r="C63" s="30" t="s">
        <v>813</v>
      </c>
      <c r="D63" s="30"/>
      <c r="E63" s="30" t="s">
        <v>64</v>
      </c>
      <c r="F63" s="30" t="s">
        <v>56</v>
      </c>
      <c r="G63" s="31" t="n">
        <v>46227</v>
      </c>
      <c r="H63" s="31" t="n">
        <v>46233</v>
      </c>
      <c r="I63" s="32" t="n">
        <v>6</v>
      </c>
      <c r="J63" s="30"/>
    </row>
    <row r="64" customFormat="false" ht="15" hidden="false" customHeight="false" outlineLevel="0" collapsed="false">
      <c r="A64" s="30" t="s">
        <v>61</v>
      </c>
      <c r="B64" s="30" t="s">
        <v>792</v>
      </c>
      <c r="C64" s="30" t="s">
        <v>814</v>
      </c>
      <c r="D64" s="30"/>
      <c r="E64" s="30" t="s">
        <v>64</v>
      </c>
      <c r="F64" s="30" t="s">
        <v>56</v>
      </c>
      <c r="G64" s="31" t="n">
        <v>46227</v>
      </c>
      <c r="H64" s="31" t="n">
        <v>46233</v>
      </c>
      <c r="I64" s="32" t="n">
        <v>6</v>
      </c>
      <c r="J64" s="30"/>
    </row>
    <row r="65" customFormat="false" ht="15" hidden="false" customHeight="false" outlineLevel="0" collapsed="false">
      <c r="A65" s="30" t="s">
        <v>51</v>
      </c>
      <c r="B65" s="30" t="s">
        <v>815</v>
      </c>
      <c r="C65" s="30" t="s">
        <v>816</v>
      </c>
      <c r="D65" s="30"/>
      <c r="E65" s="30" t="s">
        <v>355</v>
      </c>
      <c r="F65" s="30" t="s">
        <v>56</v>
      </c>
      <c r="G65" s="31" t="n">
        <v>46227</v>
      </c>
      <c r="H65" s="31" t="n">
        <v>46233</v>
      </c>
      <c r="I65" s="32" t="n">
        <v>6</v>
      </c>
      <c r="J65" s="30"/>
    </row>
    <row r="66" customFormat="false" ht="15" hidden="false" customHeight="false" outlineLevel="0" collapsed="false">
      <c r="A66" s="30" t="s">
        <v>51</v>
      </c>
      <c r="B66" s="30" t="s">
        <v>815</v>
      </c>
      <c r="C66" s="30" t="s">
        <v>817</v>
      </c>
      <c r="D66" s="30"/>
      <c r="E66" s="30" t="s">
        <v>355</v>
      </c>
      <c r="F66" s="30" t="s">
        <v>56</v>
      </c>
      <c r="G66" s="31" t="n">
        <v>46227</v>
      </c>
      <c r="H66" s="31" t="n">
        <v>46233</v>
      </c>
      <c r="I66" s="32" t="n">
        <v>6</v>
      </c>
      <c r="J66" s="30"/>
    </row>
    <row r="67" customFormat="false" ht="15" hidden="false" customHeight="false" outlineLevel="0" collapsed="false">
      <c r="A67" s="30" t="s">
        <v>51</v>
      </c>
      <c r="B67" s="30" t="s">
        <v>815</v>
      </c>
      <c r="C67" s="30" t="s">
        <v>818</v>
      </c>
      <c r="D67" s="30"/>
      <c r="E67" s="30" t="s">
        <v>355</v>
      </c>
      <c r="F67" s="30" t="s">
        <v>56</v>
      </c>
      <c r="G67" s="31" t="n">
        <v>46227</v>
      </c>
      <c r="H67" s="31" t="n">
        <v>46233</v>
      </c>
      <c r="I67" s="32" t="n">
        <v>6</v>
      </c>
      <c r="J67" s="30"/>
    </row>
    <row r="68" customFormat="false" ht="15" hidden="false" customHeight="false" outlineLevel="0" collapsed="false">
      <c r="A68" s="30" t="s">
        <v>51</v>
      </c>
      <c r="B68" s="30" t="s">
        <v>819</v>
      </c>
      <c r="C68" s="30" t="s">
        <v>820</v>
      </c>
      <c r="D68" s="30"/>
      <c r="E68" s="30" t="s">
        <v>355</v>
      </c>
      <c r="F68" s="30" t="s">
        <v>56</v>
      </c>
      <c r="G68" s="31" t="n">
        <v>46227</v>
      </c>
      <c r="H68" s="31" t="n">
        <v>46233</v>
      </c>
      <c r="I68" s="32" t="n">
        <v>6</v>
      </c>
      <c r="J68" s="30"/>
    </row>
    <row r="69" customFormat="false" ht="15" hidden="false" customHeight="false" outlineLevel="0" collapsed="false">
      <c r="A69" s="30" t="s">
        <v>328</v>
      </c>
      <c r="B69" s="30" t="s">
        <v>821</v>
      </c>
      <c r="C69" s="30" t="s">
        <v>822</v>
      </c>
      <c r="D69" s="30"/>
      <c r="E69" s="30"/>
      <c r="F69" s="30" t="s">
        <v>29</v>
      </c>
      <c r="G69" s="31" t="n">
        <v>46220</v>
      </c>
      <c r="H69" s="31" t="n">
        <v>46233</v>
      </c>
      <c r="I69" s="32" t="n">
        <v>13</v>
      </c>
      <c r="J69" s="30"/>
    </row>
    <row r="70" customFormat="false" ht="15" hidden="false" customHeight="false" outlineLevel="0" collapsed="false">
      <c r="A70" s="30" t="s">
        <v>328</v>
      </c>
      <c r="B70" s="30" t="s">
        <v>821</v>
      </c>
      <c r="C70" s="30" t="s">
        <v>823</v>
      </c>
      <c r="D70" s="30"/>
      <c r="E70" s="30"/>
      <c r="F70" s="30" t="s">
        <v>29</v>
      </c>
      <c r="G70" s="31" t="n">
        <v>46220</v>
      </c>
      <c r="H70" s="31" t="n">
        <v>46233</v>
      </c>
      <c r="I70" s="32" t="n">
        <v>13</v>
      </c>
      <c r="J70" s="30"/>
    </row>
    <row r="71" customFormat="false" ht="15" hidden="false" customHeight="false" outlineLevel="0" collapsed="false">
      <c r="A71" s="30" t="s">
        <v>328</v>
      </c>
      <c r="B71" s="30" t="s">
        <v>821</v>
      </c>
      <c r="C71" s="30" t="s">
        <v>824</v>
      </c>
      <c r="D71" s="30"/>
      <c r="E71" s="30"/>
      <c r="F71" s="30" t="s">
        <v>29</v>
      </c>
      <c r="G71" s="31" t="n">
        <v>46220</v>
      </c>
      <c r="H71" s="31" t="n">
        <v>46233</v>
      </c>
      <c r="I71" s="32" t="n">
        <v>13</v>
      </c>
      <c r="J71" s="30"/>
    </row>
    <row r="72" customFormat="false" ht="15" hidden="false" customHeight="false" outlineLevel="0" collapsed="false">
      <c r="A72" s="30" t="s">
        <v>328</v>
      </c>
      <c r="B72" s="30" t="s">
        <v>825</v>
      </c>
      <c r="C72" s="30" t="s">
        <v>826</v>
      </c>
      <c r="D72" s="30"/>
      <c r="E72" s="30"/>
      <c r="F72" s="30" t="s">
        <v>29</v>
      </c>
      <c r="G72" s="31" t="n">
        <v>46220</v>
      </c>
      <c r="H72" s="31" t="n">
        <v>46233</v>
      </c>
      <c r="I72" s="32" t="n">
        <v>13</v>
      </c>
      <c r="J72" s="30"/>
    </row>
    <row r="73" customFormat="false" ht="15" hidden="false" customHeight="false" outlineLevel="0" collapsed="false">
      <c r="A73" s="30" t="s">
        <v>328</v>
      </c>
      <c r="B73" s="30" t="s">
        <v>825</v>
      </c>
      <c r="C73" s="30" t="s">
        <v>827</v>
      </c>
      <c r="D73" s="30"/>
      <c r="E73" s="30"/>
      <c r="F73" s="30" t="s">
        <v>29</v>
      </c>
      <c r="G73" s="31" t="n">
        <v>46220</v>
      </c>
      <c r="H73" s="31" t="n">
        <v>46233</v>
      </c>
      <c r="I73" s="32" t="n">
        <v>13</v>
      </c>
      <c r="J73" s="30"/>
    </row>
    <row r="74" customFormat="false" ht="15" hidden="false" customHeight="false" outlineLevel="0" collapsed="false">
      <c r="A74" s="30" t="s">
        <v>328</v>
      </c>
      <c r="B74" s="30" t="s">
        <v>825</v>
      </c>
      <c r="C74" s="30" t="s">
        <v>828</v>
      </c>
      <c r="D74" s="30"/>
      <c r="E74" s="30"/>
      <c r="F74" s="30" t="s">
        <v>29</v>
      </c>
      <c r="G74" s="31" t="n">
        <v>46220</v>
      </c>
      <c r="H74" s="31" t="n">
        <v>46233</v>
      </c>
      <c r="I74" s="32" t="n">
        <v>13</v>
      </c>
      <c r="J74" s="30"/>
    </row>
    <row r="75" customFormat="false" ht="15" hidden="false" customHeight="false" outlineLevel="0" collapsed="false">
      <c r="A75" s="30" t="s">
        <v>328</v>
      </c>
      <c r="B75" s="30" t="s">
        <v>825</v>
      </c>
      <c r="C75" s="30" t="s">
        <v>829</v>
      </c>
      <c r="D75" s="30"/>
      <c r="E75" s="30"/>
      <c r="F75" s="30" t="s">
        <v>29</v>
      </c>
      <c r="G75" s="31" t="n">
        <v>46220</v>
      </c>
      <c r="H75" s="31" t="n">
        <v>46233</v>
      </c>
      <c r="I75" s="32" t="n">
        <v>13</v>
      </c>
      <c r="J75" s="30"/>
    </row>
    <row r="76" customFormat="false" ht="15" hidden="false" customHeight="false" outlineLevel="0" collapsed="false">
      <c r="A76" s="30" t="s">
        <v>25</v>
      </c>
      <c r="B76" s="30" t="s">
        <v>515</v>
      </c>
      <c r="C76" s="30" t="s">
        <v>830</v>
      </c>
      <c r="D76" s="30"/>
      <c r="E76" s="30" t="s">
        <v>831</v>
      </c>
      <c r="F76" s="30" t="s">
        <v>29</v>
      </c>
      <c r="G76" s="31" t="n">
        <v>46219</v>
      </c>
      <c r="H76" s="31" t="n">
        <v>46233</v>
      </c>
      <c r="I76" s="32" t="n">
        <v>14</v>
      </c>
      <c r="J76" s="30"/>
    </row>
    <row r="77" customFormat="false" ht="15" hidden="false" customHeight="false" outlineLevel="0" collapsed="false">
      <c r="A77" s="30" t="s">
        <v>25</v>
      </c>
      <c r="B77" s="30" t="s">
        <v>515</v>
      </c>
      <c r="C77" s="30" t="s">
        <v>832</v>
      </c>
      <c r="D77" s="30"/>
      <c r="E77" s="30" t="s">
        <v>831</v>
      </c>
      <c r="F77" s="30" t="s">
        <v>29</v>
      </c>
      <c r="G77" s="31" t="n">
        <v>46219</v>
      </c>
      <c r="H77" s="31" t="n">
        <v>46233</v>
      </c>
      <c r="I77" s="32" t="n">
        <v>14</v>
      </c>
      <c r="J77" s="30"/>
    </row>
    <row r="78" customFormat="false" ht="15" hidden="false" customHeight="false" outlineLevel="0" collapsed="false">
      <c r="A78" s="30" t="s">
        <v>25</v>
      </c>
      <c r="B78" s="30" t="s">
        <v>515</v>
      </c>
      <c r="C78" s="30" t="s">
        <v>833</v>
      </c>
      <c r="D78" s="30"/>
      <c r="E78" s="30" t="s">
        <v>831</v>
      </c>
      <c r="F78" s="30" t="s">
        <v>29</v>
      </c>
      <c r="G78" s="31" t="n">
        <v>46219</v>
      </c>
      <c r="H78" s="31" t="n">
        <v>46233</v>
      </c>
      <c r="I78" s="32" t="n">
        <v>14</v>
      </c>
      <c r="J78" s="30"/>
    </row>
    <row r="79" customFormat="false" ht="15" hidden="false" customHeight="false" outlineLevel="0" collapsed="false">
      <c r="A79" s="30" t="s">
        <v>25</v>
      </c>
      <c r="B79" s="30" t="s">
        <v>515</v>
      </c>
      <c r="C79" s="30" t="s">
        <v>834</v>
      </c>
      <c r="D79" s="30"/>
      <c r="E79" s="30" t="s">
        <v>831</v>
      </c>
      <c r="F79" s="30" t="s">
        <v>29</v>
      </c>
      <c r="G79" s="31" t="n">
        <v>46219</v>
      </c>
      <c r="H79" s="31" t="n">
        <v>46233</v>
      </c>
      <c r="I79" s="32" t="n">
        <v>14</v>
      </c>
      <c r="J79" s="30"/>
    </row>
    <row r="80" customFormat="false" ht="15" hidden="false" customHeight="false" outlineLevel="0" collapsed="false">
      <c r="A80" s="30" t="s">
        <v>25</v>
      </c>
      <c r="B80" s="30" t="s">
        <v>515</v>
      </c>
      <c r="C80" s="30" t="s">
        <v>835</v>
      </c>
      <c r="D80" s="30"/>
      <c r="E80" s="30" t="s">
        <v>831</v>
      </c>
      <c r="F80" s="30" t="s">
        <v>29</v>
      </c>
      <c r="G80" s="31" t="n">
        <v>46219</v>
      </c>
      <c r="H80" s="31" t="n">
        <v>46233</v>
      </c>
      <c r="I80" s="32" t="n">
        <v>14</v>
      </c>
      <c r="J80" s="30"/>
    </row>
    <row r="81" customFormat="false" ht="15" hidden="false" customHeight="false" outlineLevel="0" collapsed="false">
      <c r="A81" s="30" t="s">
        <v>25</v>
      </c>
      <c r="B81" s="30" t="s">
        <v>515</v>
      </c>
      <c r="C81" s="30" t="s">
        <v>836</v>
      </c>
      <c r="D81" s="30"/>
      <c r="E81" s="30" t="s">
        <v>831</v>
      </c>
      <c r="F81" s="30" t="s">
        <v>29</v>
      </c>
      <c r="G81" s="31" t="n">
        <v>46219</v>
      </c>
      <c r="H81" s="31" t="n">
        <v>46233</v>
      </c>
      <c r="I81" s="32" t="n">
        <v>14</v>
      </c>
      <c r="J81" s="30"/>
    </row>
    <row r="82" customFormat="false" ht="15" hidden="false" customHeight="false" outlineLevel="0" collapsed="false">
      <c r="A82" s="30" t="s">
        <v>25</v>
      </c>
      <c r="B82" s="30" t="s">
        <v>515</v>
      </c>
      <c r="C82" s="30" t="s">
        <v>837</v>
      </c>
      <c r="D82" s="30"/>
      <c r="E82" s="30" t="s">
        <v>831</v>
      </c>
      <c r="F82" s="30" t="s">
        <v>29</v>
      </c>
      <c r="G82" s="31" t="n">
        <v>46219</v>
      </c>
      <c r="H82" s="31" t="n">
        <v>46233</v>
      </c>
      <c r="I82" s="32" t="n">
        <v>14</v>
      </c>
      <c r="J82" s="30"/>
    </row>
    <row r="83" customFormat="false" ht="15" hidden="false" customHeight="false" outlineLevel="0" collapsed="false">
      <c r="A83" s="30" t="s">
        <v>25</v>
      </c>
      <c r="B83" s="30" t="s">
        <v>515</v>
      </c>
      <c r="C83" s="30" t="s">
        <v>838</v>
      </c>
      <c r="D83" s="30"/>
      <c r="E83" s="30" t="s">
        <v>831</v>
      </c>
      <c r="F83" s="30" t="s">
        <v>29</v>
      </c>
      <c r="G83" s="31" t="n">
        <v>46219</v>
      </c>
      <c r="H83" s="31" t="n">
        <v>46233</v>
      </c>
      <c r="I83" s="32" t="n">
        <v>14</v>
      </c>
      <c r="J83" s="30"/>
    </row>
    <row r="84" customFormat="false" ht="15" hidden="false" customHeight="false" outlineLevel="0" collapsed="false">
      <c r="A84" s="30" t="s">
        <v>25</v>
      </c>
      <c r="B84" s="30" t="s">
        <v>515</v>
      </c>
      <c r="C84" s="30" t="s">
        <v>839</v>
      </c>
      <c r="D84" s="30"/>
      <c r="E84" s="30" t="s">
        <v>831</v>
      </c>
      <c r="F84" s="30" t="s">
        <v>29</v>
      </c>
      <c r="G84" s="31" t="n">
        <v>46219</v>
      </c>
      <c r="H84" s="31" t="n">
        <v>46233</v>
      </c>
      <c r="I84" s="32" t="n">
        <v>14</v>
      </c>
      <c r="J84" s="30"/>
    </row>
    <row r="85" customFormat="false" ht="15" hidden="false" customHeight="false" outlineLevel="0" collapsed="false">
      <c r="A85" s="30" t="s">
        <v>25</v>
      </c>
      <c r="B85" s="30" t="s">
        <v>515</v>
      </c>
      <c r="C85" s="30" t="s">
        <v>840</v>
      </c>
      <c r="D85" s="30"/>
      <c r="E85" s="30" t="s">
        <v>831</v>
      </c>
      <c r="F85" s="30" t="s">
        <v>29</v>
      </c>
      <c r="G85" s="31" t="n">
        <v>46219</v>
      </c>
      <c r="H85" s="31" t="n">
        <v>46233</v>
      </c>
      <c r="I85" s="32" t="n">
        <v>14</v>
      </c>
      <c r="J85" s="30"/>
    </row>
    <row r="86" customFormat="false" ht="15" hidden="false" customHeight="false" outlineLevel="0" collapsed="false">
      <c r="A86" s="30" t="s">
        <v>25</v>
      </c>
      <c r="B86" s="30" t="s">
        <v>515</v>
      </c>
      <c r="C86" s="30" t="s">
        <v>841</v>
      </c>
      <c r="D86" s="30"/>
      <c r="E86" s="30" t="s">
        <v>831</v>
      </c>
      <c r="F86" s="30" t="s">
        <v>29</v>
      </c>
      <c r="G86" s="31" t="n">
        <v>46219</v>
      </c>
      <c r="H86" s="31" t="n">
        <v>46233</v>
      </c>
      <c r="I86" s="32" t="n">
        <v>14</v>
      </c>
      <c r="J86" s="30"/>
    </row>
    <row r="87" customFormat="false" ht="15" hidden="false" customHeight="false" outlineLevel="0" collapsed="false">
      <c r="A87" s="30" t="s">
        <v>25</v>
      </c>
      <c r="B87" s="30" t="s">
        <v>515</v>
      </c>
      <c r="C87" s="30" t="s">
        <v>842</v>
      </c>
      <c r="D87" s="30"/>
      <c r="E87" s="30" t="s">
        <v>831</v>
      </c>
      <c r="F87" s="30" t="s">
        <v>29</v>
      </c>
      <c r="G87" s="31" t="n">
        <v>46219</v>
      </c>
      <c r="H87" s="31" t="n">
        <v>46233</v>
      </c>
      <c r="I87" s="32" t="n">
        <v>14</v>
      </c>
      <c r="J87" s="30"/>
    </row>
    <row r="88" customFormat="false" ht="15" hidden="false" customHeight="false" outlineLevel="0" collapsed="false">
      <c r="A88" s="30" t="s">
        <v>25</v>
      </c>
      <c r="B88" s="30" t="s">
        <v>515</v>
      </c>
      <c r="C88" s="30" t="s">
        <v>843</v>
      </c>
      <c r="D88" s="30"/>
      <c r="E88" s="30" t="s">
        <v>831</v>
      </c>
      <c r="F88" s="30" t="s">
        <v>29</v>
      </c>
      <c r="G88" s="31" t="n">
        <v>46219</v>
      </c>
      <c r="H88" s="31" t="n">
        <v>46233</v>
      </c>
      <c r="I88" s="32" t="n">
        <v>14</v>
      </c>
      <c r="J88" s="30"/>
    </row>
    <row r="89" customFormat="false" ht="15" hidden="false" customHeight="false" outlineLevel="0" collapsed="false">
      <c r="A89" s="30" t="s">
        <v>25</v>
      </c>
      <c r="B89" s="30" t="s">
        <v>515</v>
      </c>
      <c r="C89" s="30" t="s">
        <v>844</v>
      </c>
      <c r="D89" s="30"/>
      <c r="E89" s="30" t="s">
        <v>831</v>
      </c>
      <c r="F89" s="30" t="s">
        <v>29</v>
      </c>
      <c r="G89" s="31" t="n">
        <v>46219</v>
      </c>
      <c r="H89" s="31" t="n">
        <v>46233</v>
      </c>
      <c r="I89" s="32" t="n">
        <v>14</v>
      </c>
      <c r="J89" s="30"/>
    </row>
    <row r="90" customFormat="false" ht="15" hidden="false" customHeight="false" outlineLevel="0" collapsed="false">
      <c r="A90" s="30" t="s">
        <v>25</v>
      </c>
      <c r="B90" s="30" t="s">
        <v>515</v>
      </c>
      <c r="C90" s="30" t="s">
        <v>845</v>
      </c>
      <c r="D90" s="30"/>
      <c r="E90" s="30" t="s">
        <v>831</v>
      </c>
      <c r="F90" s="30" t="s">
        <v>29</v>
      </c>
      <c r="G90" s="31" t="n">
        <v>46219</v>
      </c>
      <c r="H90" s="31" t="n">
        <v>46233</v>
      </c>
      <c r="I90" s="32" t="n">
        <v>14</v>
      </c>
      <c r="J90" s="30"/>
    </row>
    <row r="91" customFormat="false" ht="15" hidden="false" customHeight="false" outlineLevel="0" collapsed="false">
      <c r="A91" s="30" t="s">
        <v>61</v>
      </c>
      <c r="B91" s="30" t="s">
        <v>786</v>
      </c>
      <c r="C91" s="30" t="s">
        <v>846</v>
      </c>
      <c r="D91" s="30"/>
      <c r="E91" s="30" t="s">
        <v>847</v>
      </c>
      <c r="F91" s="30" t="s">
        <v>107</v>
      </c>
      <c r="G91" s="31" t="n">
        <v>46219</v>
      </c>
      <c r="H91" s="31" t="n">
        <v>46233</v>
      </c>
      <c r="I91" s="32" t="n">
        <v>14</v>
      </c>
      <c r="J91" s="30"/>
    </row>
    <row r="92" customFormat="false" ht="15" hidden="false" customHeight="false" outlineLevel="0" collapsed="false">
      <c r="A92" s="30" t="s">
        <v>51</v>
      </c>
      <c r="B92" s="30" t="s">
        <v>848</v>
      </c>
      <c r="C92" s="30" t="s">
        <v>849</v>
      </c>
      <c r="D92" s="30"/>
      <c r="E92" s="30" t="s">
        <v>355</v>
      </c>
      <c r="F92" s="30" t="s">
        <v>107</v>
      </c>
      <c r="G92" s="31" t="n">
        <v>46219</v>
      </c>
      <c r="H92" s="31" t="n">
        <v>46233</v>
      </c>
      <c r="I92" s="32" t="n">
        <v>14</v>
      </c>
      <c r="J92" s="30"/>
    </row>
    <row r="93" customFormat="false" ht="15" hidden="false" customHeight="false" outlineLevel="0" collapsed="false">
      <c r="A93" s="30" t="s">
        <v>51</v>
      </c>
      <c r="B93" s="30" t="s">
        <v>848</v>
      </c>
      <c r="C93" s="30" t="s">
        <v>850</v>
      </c>
      <c r="D93" s="30"/>
      <c r="E93" s="30" t="s">
        <v>355</v>
      </c>
      <c r="F93" s="30" t="s">
        <v>107</v>
      </c>
      <c r="G93" s="31" t="n">
        <v>46219</v>
      </c>
      <c r="H93" s="31" t="n">
        <v>46233</v>
      </c>
      <c r="I93" s="32" t="n">
        <v>14</v>
      </c>
      <c r="J93" s="30"/>
    </row>
    <row r="94" customFormat="false" ht="15" hidden="false" customHeight="false" outlineLevel="0" collapsed="false">
      <c r="A94" s="30" t="s">
        <v>51</v>
      </c>
      <c r="B94" s="30" t="s">
        <v>848</v>
      </c>
      <c r="C94" s="30" t="s">
        <v>851</v>
      </c>
      <c r="D94" s="30"/>
      <c r="E94" s="30" t="s">
        <v>355</v>
      </c>
      <c r="F94" s="30" t="s">
        <v>107</v>
      </c>
      <c r="G94" s="31" t="n">
        <v>46219</v>
      </c>
      <c r="H94" s="31" t="n">
        <v>46233</v>
      </c>
      <c r="I94" s="32" t="n">
        <v>14</v>
      </c>
      <c r="J94" s="30"/>
    </row>
    <row r="95" customFormat="false" ht="15" hidden="false" customHeight="false" outlineLevel="0" collapsed="false">
      <c r="A95" s="30" t="s">
        <v>51</v>
      </c>
      <c r="B95" s="30" t="s">
        <v>848</v>
      </c>
      <c r="C95" s="30" t="s">
        <v>852</v>
      </c>
      <c r="D95" s="30"/>
      <c r="E95" s="30" t="s">
        <v>355</v>
      </c>
      <c r="F95" s="30" t="s">
        <v>107</v>
      </c>
      <c r="G95" s="31" t="n">
        <v>46219</v>
      </c>
      <c r="H95" s="31" t="n">
        <v>46233</v>
      </c>
      <c r="I95" s="32" t="n">
        <v>14</v>
      </c>
      <c r="J95" s="30"/>
    </row>
    <row r="96" customFormat="false" ht="15" hidden="false" customHeight="false" outlineLevel="0" collapsed="false">
      <c r="A96" s="30" t="s">
        <v>51</v>
      </c>
      <c r="B96" s="30" t="s">
        <v>848</v>
      </c>
      <c r="C96" s="30" t="s">
        <v>853</v>
      </c>
      <c r="D96" s="30"/>
      <c r="E96" s="30" t="s">
        <v>355</v>
      </c>
      <c r="F96" s="30" t="s">
        <v>107</v>
      </c>
      <c r="G96" s="31" t="n">
        <v>46219</v>
      </c>
      <c r="H96" s="31" t="n">
        <v>46233</v>
      </c>
      <c r="I96" s="32" t="n">
        <v>14</v>
      </c>
      <c r="J96" s="30"/>
    </row>
    <row r="97" customFormat="false" ht="15" hidden="false" customHeight="false" outlineLevel="0" collapsed="false">
      <c r="A97" s="30" t="s">
        <v>51</v>
      </c>
      <c r="B97" s="30" t="s">
        <v>848</v>
      </c>
      <c r="C97" s="30" t="s">
        <v>854</v>
      </c>
      <c r="D97" s="30"/>
      <c r="E97" s="30" t="s">
        <v>355</v>
      </c>
      <c r="F97" s="30" t="s">
        <v>107</v>
      </c>
      <c r="G97" s="31" t="n">
        <v>46219</v>
      </c>
      <c r="H97" s="31" t="n">
        <v>46233</v>
      </c>
      <c r="I97" s="32" t="n">
        <v>14</v>
      </c>
      <c r="J97" s="30"/>
    </row>
    <row r="98" customFormat="false" ht="15" hidden="false" customHeight="false" outlineLevel="0" collapsed="false">
      <c r="A98" s="30" t="s">
        <v>51</v>
      </c>
      <c r="B98" s="30" t="s">
        <v>848</v>
      </c>
      <c r="C98" s="30" t="s">
        <v>855</v>
      </c>
      <c r="D98" s="30"/>
      <c r="E98" s="30" t="s">
        <v>355</v>
      </c>
      <c r="F98" s="30" t="s">
        <v>107</v>
      </c>
      <c r="G98" s="31" t="n">
        <v>46219</v>
      </c>
      <c r="H98" s="31" t="n">
        <v>46233</v>
      </c>
      <c r="I98" s="32" t="n">
        <v>14</v>
      </c>
      <c r="J98" s="30"/>
    </row>
    <row r="99" customFormat="false" ht="15" hidden="false" customHeight="false" outlineLevel="0" collapsed="false">
      <c r="A99" s="30" t="s">
        <v>51</v>
      </c>
      <c r="B99" s="30" t="s">
        <v>848</v>
      </c>
      <c r="C99" s="30" t="s">
        <v>856</v>
      </c>
      <c r="D99" s="30"/>
      <c r="E99" s="30" t="s">
        <v>355</v>
      </c>
      <c r="F99" s="30" t="s">
        <v>107</v>
      </c>
      <c r="G99" s="31" t="n">
        <v>46219</v>
      </c>
      <c r="H99" s="31" t="n">
        <v>46233</v>
      </c>
      <c r="I99" s="32" t="n">
        <v>14</v>
      </c>
      <c r="J99" s="30"/>
    </row>
    <row r="100" customFormat="false" ht="15" hidden="false" customHeight="false" outlineLevel="0" collapsed="false">
      <c r="A100" s="30" t="s">
        <v>51</v>
      </c>
      <c r="B100" s="30" t="s">
        <v>857</v>
      </c>
      <c r="C100" s="30" t="s">
        <v>858</v>
      </c>
      <c r="D100" s="30"/>
      <c r="E100" s="30" t="s">
        <v>355</v>
      </c>
      <c r="F100" s="30" t="s">
        <v>107</v>
      </c>
      <c r="G100" s="31" t="n">
        <v>46219</v>
      </c>
      <c r="H100" s="31" t="n">
        <v>46233</v>
      </c>
      <c r="I100" s="32" t="n">
        <v>14</v>
      </c>
      <c r="J100" s="30"/>
    </row>
    <row r="101" customFormat="false" ht="15" hidden="false" customHeight="false" outlineLevel="0" collapsed="false">
      <c r="A101" s="30" t="s">
        <v>51</v>
      </c>
      <c r="B101" s="30" t="s">
        <v>857</v>
      </c>
      <c r="C101" s="30" t="s">
        <v>859</v>
      </c>
      <c r="D101" s="30"/>
      <c r="E101" s="30" t="s">
        <v>355</v>
      </c>
      <c r="F101" s="30" t="s">
        <v>107</v>
      </c>
      <c r="G101" s="31" t="n">
        <v>46219</v>
      </c>
      <c r="H101" s="31" t="n">
        <v>46233</v>
      </c>
      <c r="I101" s="32" t="n">
        <v>14</v>
      </c>
      <c r="J101" s="30"/>
    </row>
    <row r="102" customFormat="false" ht="15" hidden="false" customHeight="false" outlineLevel="0" collapsed="false">
      <c r="A102" s="30" t="s">
        <v>51</v>
      </c>
      <c r="B102" s="30" t="s">
        <v>857</v>
      </c>
      <c r="C102" s="30" t="s">
        <v>860</v>
      </c>
      <c r="D102" s="30"/>
      <c r="E102" s="30" t="s">
        <v>355</v>
      </c>
      <c r="F102" s="30" t="s">
        <v>107</v>
      </c>
      <c r="G102" s="31" t="n">
        <v>46219</v>
      </c>
      <c r="H102" s="31" t="n">
        <v>46233</v>
      </c>
      <c r="I102" s="32" t="n">
        <v>14</v>
      </c>
      <c r="J102" s="30"/>
    </row>
    <row r="103" customFormat="false" ht="15" hidden="false" customHeight="false" outlineLevel="0" collapsed="false">
      <c r="A103" s="30" t="s">
        <v>51</v>
      </c>
      <c r="B103" s="30" t="s">
        <v>857</v>
      </c>
      <c r="C103" s="30" t="s">
        <v>861</v>
      </c>
      <c r="D103" s="30"/>
      <c r="E103" s="30" t="s">
        <v>355</v>
      </c>
      <c r="F103" s="30" t="s">
        <v>107</v>
      </c>
      <c r="G103" s="31" t="n">
        <v>46219</v>
      </c>
      <c r="H103" s="31" t="n">
        <v>46233</v>
      </c>
      <c r="I103" s="32" t="n">
        <v>14</v>
      </c>
      <c r="J103" s="30"/>
    </row>
    <row r="104" customFormat="false" ht="15" hidden="false" customHeight="false" outlineLevel="0" collapsed="false">
      <c r="A104" s="30" t="s">
        <v>51</v>
      </c>
      <c r="B104" s="30" t="s">
        <v>857</v>
      </c>
      <c r="C104" s="30" t="s">
        <v>862</v>
      </c>
      <c r="D104" s="30"/>
      <c r="E104" s="30" t="s">
        <v>355</v>
      </c>
      <c r="F104" s="30" t="s">
        <v>107</v>
      </c>
      <c r="G104" s="31" t="n">
        <v>46219</v>
      </c>
      <c r="H104" s="31" t="n">
        <v>46233</v>
      </c>
      <c r="I104" s="32" t="n">
        <v>14</v>
      </c>
      <c r="J104" s="30"/>
    </row>
    <row r="105" customFormat="false" ht="15" hidden="false" customHeight="false" outlineLevel="0" collapsed="false">
      <c r="A105" s="30" t="s">
        <v>51</v>
      </c>
      <c r="B105" s="30" t="s">
        <v>857</v>
      </c>
      <c r="C105" s="30" t="s">
        <v>863</v>
      </c>
      <c r="D105" s="30"/>
      <c r="E105" s="30" t="s">
        <v>355</v>
      </c>
      <c r="F105" s="30" t="s">
        <v>107</v>
      </c>
      <c r="G105" s="31" t="n">
        <v>46219</v>
      </c>
      <c r="H105" s="31" t="n">
        <v>46233</v>
      </c>
      <c r="I105" s="32" t="n">
        <v>14</v>
      </c>
      <c r="J105" s="30"/>
    </row>
    <row r="106" customFormat="false" ht="15" hidden="false" customHeight="false" outlineLevel="0" collapsed="false">
      <c r="A106" s="30" t="s">
        <v>51</v>
      </c>
      <c r="B106" s="30" t="s">
        <v>857</v>
      </c>
      <c r="C106" s="30" t="s">
        <v>864</v>
      </c>
      <c r="D106" s="30"/>
      <c r="E106" s="30" t="s">
        <v>355</v>
      </c>
      <c r="F106" s="30" t="s">
        <v>107</v>
      </c>
      <c r="G106" s="31" t="n">
        <v>46219</v>
      </c>
      <c r="H106" s="31" t="n">
        <v>46233</v>
      </c>
      <c r="I106" s="32" t="n">
        <v>14</v>
      </c>
      <c r="J106" s="30"/>
    </row>
    <row r="107" customFormat="false" ht="15" hidden="false" customHeight="false" outlineLevel="0" collapsed="false">
      <c r="A107" s="30" t="s">
        <v>51</v>
      </c>
      <c r="B107" s="30" t="s">
        <v>865</v>
      </c>
      <c r="C107" s="30" t="s">
        <v>866</v>
      </c>
      <c r="D107" s="30"/>
      <c r="E107" s="30" t="s">
        <v>355</v>
      </c>
      <c r="F107" s="30" t="s">
        <v>107</v>
      </c>
      <c r="G107" s="31" t="n">
        <v>46219</v>
      </c>
      <c r="H107" s="31" t="n">
        <v>46233</v>
      </c>
      <c r="I107" s="32" t="n">
        <v>14</v>
      </c>
      <c r="J107" s="30"/>
    </row>
    <row r="108" customFormat="false" ht="15" hidden="false" customHeight="false" outlineLevel="0" collapsed="false">
      <c r="A108" s="30" t="s">
        <v>51</v>
      </c>
      <c r="B108" s="30" t="s">
        <v>865</v>
      </c>
      <c r="C108" s="30" t="s">
        <v>867</v>
      </c>
      <c r="D108" s="30"/>
      <c r="E108" s="30" t="s">
        <v>355</v>
      </c>
      <c r="F108" s="30" t="s">
        <v>107</v>
      </c>
      <c r="G108" s="31" t="n">
        <v>46219</v>
      </c>
      <c r="H108" s="31" t="n">
        <v>46233</v>
      </c>
      <c r="I108" s="32" t="n">
        <v>14</v>
      </c>
      <c r="J108" s="30"/>
    </row>
    <row r="109" customFormat="false" ht="15" hidden="false" customHeight="false" outlineLevel="0" collapsed="false">
      <c r="A109" s="30" t="s">
        <v>51</v>
      </c>
      <c r="B109" s="30" t="s">
        <v>865</v>
      </c>
      <c r="C109" s="30" t="s">
        <v>868</v>
      </c>
      <c r="D109" s="30"/>
      <c r="E109" s="30" t="s">
        <v>355</v>
      </c>
      <c r="F109" s="30" t="s">
        <v>107</v>
      </c>
      <c r="G109" s="31" t="n">
        <v>46219</v>
      </c>
      <c r="H109" s="31" t="n">
        <v>46233</v>
      </c>
      <c r="I109" s="32" t="n">
        <v>14</v>
      </c>
      <c r="J109" s="30"/>
    </row>
    <row r="110" customFormat="false" ht="15" hidden="false" customHeight="false" outlineLevel="0" collapsed="false">
      <c r="A110" s="30" t="s">
        <v>51</v>
      </c>
      <c r="B110" s="30" t="s">
        <v>865</v>
      </c>
      <c r="C110" s="30" t="s">
        <v>869</v>
      </c>
      <c r="D110" s="30"/>
      <c r="E110" s="30" t="s">
        <v>355</v>
      </c>
      <c r="F110" s="30" t="s">
        <v>107</v>
      </c>
      <c r="G110" s="31" t="n">
        <v>46219</v>
      </c>
      <c r="H110" s="31" t="n">
        <v>46233</v>
      </c>
      <c r="I110" s="32" t="n">
        <v>14</v>
      </c>
      <c r="J110" s="30"/>
    </row>
    <row r="111" customFormat="false" ht="15" hidden="false" customHeight="false" outlineLevel="0" collapsed="false">
      <c r="A111" s="30" t="s">
        <v>51</v>
      </c>
      <c r="B111" s="30" t="s">
        <v>865</v>
      </c>
      <c r="C111" s="30" t="s">
        <v>870</v>
      </c>
      <c r="D111" s="30"/>
      <c r="E111" s="30" t="s">
        <v>355</v>
      </c>
      <c r="F111" s="30" t="s">
        <v>107</v>
      </c>
      <c r="G111" s="31" t="n">
        <v>46219</v>
      </c>
      <c r="H111" s="31" t="n">
        <v>46233</v>
      </c>
      <c r="I111" s="32" t="n">
        <v>14</v>
      </c>
      <c r="J111" s="30"/>
    </row>
    <row r="112" customFormat="false" ht="15" hidden="false" customHeight="false" outlineLevel="0" collapsed="false">
      <c r="A112" s="30" t="s">
        <v>51</v>
      </c>
      <c r="B112" s="30" t="s">
        <v>865</v>
      </c>
      <c r="C112" s="30" t="s">
        <v>871</v>
      </c>
      <c r="D112" s="30"/>
      <c r="E112" s="30" t="s">
        <v>355</v>
      </c>
      <c r="F112" s="30" t="s">
        <v>107</v>
      </c>
      <c r="G112" s="31" t="n">
        <v>46219</v>
      </c>
      <c r="H112" s="31" t="n">
        <v>46233</v>
      </c>
      <c r="I112" s="32" t="n">
        <v>14</v>
      </c>
      <c r="J112" s="30"/>
    </row>
    <row r="113" customFormat="false" ht="15" hidden="false" customHeight="false" outlineLevel="0" collapsed="false">
      <c r="A113" s="30" t="s">
        <v>51</v>
      </c>
      <c r="B113" s="30" t="s">
        <v>872</v>
      </c>
      <c r="C113" s="30" t="s">
        <v>873</v>
      </c>
      <c r="D113" s="30"/>
      <c r="E113" s="30" t="s">
        <v>355</v>
      </c>
      <c r="F113" s="30" t="s">
        <v>107</v>
      </c>
      <c r="G113" s="31" t="n">
        <v>46219</v>
      </c>
      <c r="H113" s="31" t="n">
        <v>46233</v>
      </c>
      <c r="I113" s="32" t="n">
        <v>14</v>
      </c>
      <c r="J113" s="30"/>
    </row>
    <row r="114" customFormat="false" ht="15" hidden="false" customHeight="false" outlineLevel="0" collapsed="false">
      <c r="A114" s="30" t="s">
        <v>51</v>
      </c>
      <c r="B114" s="30" t="s">
        <v>857</v>
      </c>
      <c r="C114" s="30" t="s">
        <v>874</v>
      </c>
      <c r="D114" s="30"/>
      <c r="E114" s="30" t="s">
        <v>355</v>
      </c>
      <c r="F114" s="30" t="s">
        <v>107</v>
      </c>
      <c r="G114" s="31" t="n">
        <v>46219</v>
      </c>
      <c r="H114" s="31" t="n">
        <v>46233</v>
      </c>
      <c r="I114" s="32" t="n">
        <v>14</v>
      </c>
      <c r="J114" s="30"/>
    </row>
    <row r="115" customFormat="false" ht="15" hidden="false" customHeight="false" outlineLevel="0" collapsed="false">
      <c r="A115" s="30" t="s">
        <v>51</v>
      </c>
      <c r="B115" s="30" t="s">
        <v>857</v>
      </c>
      <c r="C115" s="30" t="s">
        <v>875</v>
      </c>
      <c r="D115" s="30"/>
      <c r="E115" s="30" t="s">
        <v>355</v>
      </c>
      <c r="F115" s="30" t="s">
        <v>107</v>
      </c>
      <c r="G115" s="31" t="n">
        <v>46219</v>
      </c>
      <c r="H115" s="31" t="n">
        <v>46233</v>
      </c>
      <c r="I115" s="32" t="n">
        <v>14</v>
      </c>
      <c r="J115" s="30"/>
    </row>
    <row r="116" customFormat="false" ht="15" hidden="false" customHeight="false" outlineLevel="0" collapsed="false">
      <c r="A116" s="30" t="s">
        <v>51</v>
      </c>
      <c r="B116" s="30" t="s">
        <v>857</v>
      </c>
      <c r="C116" s="30" t="s">
        <v>876</v>
      </c>
      <c r="D116" s="30"/>
      <c r="E116" s="30" t="s">
        <v>355</v>
      </c>
      <c r="F116" s="30" t="s">
        <v>107</v>
      </c>
      <c r="G116" s="31" t="n">
        <v>46219</v>
      </c>
      <c r="H116" s="31" t="n">
        <v>46233</v>
      </c>
      <c r="I116" s="32" t="n">
        <v>14</v>
      </c>
      <c r="J116" s="30"/>
    </row>
    <row r="117" customFormat="false" ht="15" hidden="false" customHeight="false" outlineLevel="0" collapsed="false">
      <c r="A117" s="30" t="s">
        <v>51</v>
      </c>
      <c r="B117" s="30" t="s">
        <v>857</v>
      </c>
      <c r="C117" s="30" t="s">
        <v>877</v>
      </c>
      <c r="D117" s="30"/>
      <c r="E117" s="30" t="s">
        <v>355</v>
      </c>
      <c r="F117" s="30" t="s">
        <v>107</v>
      </c>
      <c r="G117" s="31" t="n">
        <v>46219</v>
      </c>
      <c r="H117" s="31" t="n">
        <v>46233</v>
      </c>
      <c r="I117" s="32" t="n">
        <v>14</v>
      </c>
      <c r="J117" s="30"/>
    </row>
    <row r="118" customFormat="false" ht="15" hidden="false" customHeight="false" outlineLevel="0" collapsed="false">
      <c r="A118" s="30" t="s">
        <v>51</v>
      </c>
      <c r="B118" s="30" t="s">
        <v>857</v>
      </c>
      <c r="C118" s="30" t="s">
        <v>878</v>
      </c>
      <c r="D118" s="30"/>
      <c r="E118" s="30" t="s">
        <v>355</v>
      </c>
      <c r="F118" s="30" t="s">
        <v>107</v>
      </c>
      <c r="G118" s="31" t="n">
        <v>46219</v>
      </c>
      <c r="H118" s="31" t="n">
        <v>46233</v>
      </c>
      <c r="I118" s="32" t="n">
        <v>14</v>
      </c>
      <c r="J118" s="30"/>
    </row>
    <row r="119" customFormat="false" ht="15" hidden="false" customHeight="false" outlineLevel="0" collapsed="false">
      <c r="A119" s="30" t="s">
        <v>51</v>
      </c>
      <c r="B119" s="30" t="s">
        <v>857</v>
      </c>
      <c r="C119" s="30" t="s">
        <v>879</v>
      </c>
      <c r="D119" s="30"/>
      <c r="E119" s="30" t="s">
        <v>355</v>
      </c>
      <c r="F119" s="30" t="s">
        <v>107</v>
      </c>
      <c r="G119" s="31" t="n">
        <v>46219</v>
      </c>
      <c r="H119" s="31" t="n">
        <v>46233</v>
      </c>
      <c r="I119" s="32" t="n">
        <v>14</v>
      </c>
      <c r="J119" s="30"/>
    </row>
    <row r="120" customFormat="false" ht="15" hidden="false" customHeight="false" outlineLevel="0" collapsed="false">
      <c r="A120" s="30" t="s">
        <v>51</v>
      </c>
      <c r="B120" s="30" t="s">
        <v>857</v>
      </c>
      <c r="C120" s="30" t="s">
        <v>880</v>
      </c>
      <c r="D120" s="30"/>
      <c r="E120" s="30" t="s">
        <v>355</v>
      </c>
      <c r="F120" s="30" t="s">
        <v>107</v>
      </c>
      <c r="G120" s="31" t="n">
        <v>46219</v>
      </c>
      <c r="H120" s="31" t="n">
        <v>46233</v>
      </c>
      <c r="I120" s="32" t="n">
        <v>14</v>
      </c>
      <c r="J120" s="30"/>
    </row>
    <row r="121" customFormat="false" ht="15" hidden="false" customHeight="false" outlineLevel="0" collapsed="false">
      <c r="A121" s="30" t="s">
        <v>51</v>
      </c>
      <c r="B121" s="30" t="s">
        <v>857</v>
      </c>
      <c r="C121" s="30" t="s">
        <v>881</v>
      </c>
      <c r="D121" s="30"/>
      <c r="E121" s="30" t="s">
        <v>355</v>
      </c>
      <c r="F121" s="30" t="s">
        <v>107</v>
      </c>
      <c r="G121" s="31" t="n">
        <v>46219</v>
      </c>
      <c r="H121" s="31" t="n">
        <v>46233</v>
      </c>
      <c r="I121" s="32" t="n">
        <v>14</v>
      </c>
      <c r="J121" s="30"/>
    </row>
    <row r="122" customFormat="false" ht="15" hidden="false" customHeight="false" outlineLevel="0" collapsed="false">
      <c r="A122" s="30" t="s">
        <v>51</v>
      </c>
      <c r="B122" s="30" t="s">
        <v>857</v>
      </c>
      <c r="C122" s="30" t="s">
        <v>882</v>
      </c>
      <c r="D122" s="30"/>
      <c r="E122" s="30" t="s">
        <v>355</v>
      </c>
      <c r="F122" s="30" t="s">
        <v>107</v>
      </c>
      <c r="G122" s="31" t="n">
        <v>46219</v>
      </c>
      <c r="H122" s="31" t="n">
        <v>46233</v>
      </c>
      <c r="I122" s="32" t="n">
        <v>14</v>
      </c>
      <c r="J122" s="30"/>
    </row>
    <row r="123" customFormat="false" ht="15" hidden="false" customHeight="false" outlineLevel="0" collapsed="false">
      <c r="A123" s="30" t="s">
        <v>51</v>
      </c>
      <c r="B123" s="30" t="s">
        <v>857</v>
      </c>
      <c r="C123" s="30" t="s">
        <v>883</v>
      </c>
      <c r="D123" s="30"/>
      <c r="E123" s="30" t="s">
        <v>355</v>
      </c>
      <c r="F123" s="30" t="s">
        <v>107</v>
      </c>
      <c r="G123" s="31" t="n">
        <v>46219</v>
      </c>
      <c r="H123" s="31" t="n">
        <v>46233</v>
      </c>
      <c r="I123" s="32" t="n">
        <v>14</v>
      </c>
      <c r="J123" s="30"/>
    </row>
    <row r="124" customFormat="false" ht="15" hidden="false" customHeight="false" outlineLevel="0" collapsed="false">
      <c r="A124" s="30" t="s">
        <v>51</v>
      </c>
      <c r="B124" s="30" t="s">
        <v>872</v>
      </c>
      <c r="C124" s="30" t="s">
        <v>884</v>
      </c>
      <c r="D124" s="30"/>
      <c r="E124" s="30" t="s">
        <v>355</v>
      </c>
      <c r="F124" s="30" t="s">
        <v>107</v>
      </c>
      <c r="G124" s="31" t="n">
        <v>46219</v>
      </c>
      <c r="H124" s="31" t="n">
        <v>46233</v>
      </c>
      <c r="I124" s="32" t="n">
        <v>14</v>
      </c>
      <c r="J124" s="30"/>
    </row>
    <row r="125" customFormat="false" ht="15" hidden="false" customHeight="false" outlineLevel="0" collapsed="false">
      <c r="A125" s="30" t="s">
        <v>51</v>
      </c>
      <c r="B125" s="30" t="s">
        <v>872</v>
      </c>
      <c r="C125" s="30" t="s">
        <v>885</v>
      </c>
      <c r="D125" s="30"/>
      <c r="E125" s="30" t="s">
        <v>355</v>
      </c>
      <c r="F125" s="30" t="s">
        <v>107</v>
      </c>
      <c r="G125" s="31" t="n">
        <v>46219</v>
      </c>
      <c r="H125" s="31" t="n">
        <v>46233</v>
      </c>
      <c r="I125" s="32" t="n">
        <v>14</v>
      </c>
      <c r="J125" s="30"/>
    </row>
    <row r="126" customFormat="false" ht="15" hidden="false" customHeight="false" outlineLevel="0" collapsed="false">
      <c r="A126" s="30" t="s">
        <v>51</v>
      </c>
      <c r="B126" s="30" t="s">
        <v>872</v>
      </c>
      <c r="C126" s="30" t="s">
        <v>886</v>
      </c>
      <c r="D126" s="30"/>
      <c r="E126" s="30" t="s">
        <v>355</v>
      </c>
      <c r="F126" s="30" t="s">
        <v>107</v>
      </c>
      <c r="G126" s="31" t="n">
        <v>46219</v>
      </c>
      <c r="H126" s="31" t="n">
        <v>46233</v>
      </c>
      <c r="I126" s="32" t="n">
        <v>14</v>
      </c>
      <c r="J126" s="30"/>
    </row>
    <row r="127" customFormat="false" ht="15" hidden="false" customHeight="false" outlineLevel="0" collapsed="false">
      <c r="A127" s="30" t="s">
        <v>51</v>
      </c>
      <c r="B127" s="30" t="s">
        <v>872</v>
      </c>
      <c r="C127" s="30" t="s">
        <v>887</v>
      </c>
      <c r="D127" s="30"/>
      <c r="E127" s="30" t="s">
        <v>355</v>
      </c>
      <c r="F127" s="30" t="s">
        <v>107</v>
      </c>
      <c r="G127" s="31" t="n">
        <v>46219</v>
      </c>
      <c r="H127" s="31" t="n">
        <v>46233</v>
      </c>
      <c r="I127" s="32" t="n">
        <v>14</v>
      </c>
      <c r="J127" s="30"/>
    </row>
    <row r="128" customFormat="false" ht="15" hidden="false" customHeight="false" outlineLevel="0" collapsed="false">
      <c r="A128" s="30" t="s">
        <v>51</v>
      </c>
      <c r="B128" s="30" t="s">
        <v>872</v>
      </c>
      <c r="C128" s="30" t="s">
        <v>888</v>
      </c>
      <c r="D128" s="30"/>
      <c r="E128" s="30" t="s">
        <v>355</v>
      </c>
      <c r="F128" s="30" t="s">
        <v>107</v>
      </c>
      <c r="G128" s="31" t="n">
        <v>46219</v>
      </c>
      <c r="H128" s="31" t="n">
        <v>46233</v>
      </c>
      <c r="I128" s="32" t="n">
        <v>14</v>
      </c>
      <c r="J128" s="30"/>
    </row>
    <row r="129" customFormat="false" ht="15" hidden="false" customHeight="false" outlineLevel="0" collapsed="false">
      <c r="A129" s="30" t="s">
        <v>51</v>
      </c>
      <c r="B129" s="30" t="s">
        <v>872</v>
      </c>
      <c r="C129" s="30" t="s">
        <v>889</v>
      </c>
      <c r="D129" s="30"/>
      <c r="E129" s="30" t="s">
        <v>355</v>
      </c>
      <c r="F129" s="30" t="s">
        <v>107</v>
      </c>
      <c r="G129" s="31" t="n">
        <v>46219</v>
      </c>
      <c r="H129" s="31" t="n">
        <v>46233</v>
      </c>
      <c r="I129" s="32" t="n">
        <v>14</v>
      </c>
      <c r="J129" s="30"/>
    </row>
    <row r="130" customFormat="false" ht="15" hidden="false" customHeight="false" outlineLevel="0" collapsed="false">
      <c r="A130" s="30" t="s">
        <v>51</v>
      </c>
      <c r="B130" s="30" t="s">
        <v>872</v>
      </c>
      <c r="C130" s="30" t="s">
        <v>890</v>
      </c>
      <c r="D130" s="30"/>
      <c r="E130" s="30" t="s">
        <v>355</v>
      </c>
      <c r="F130" s="30" t="s">
        <v>107</v>
      </c>
      <c r="G130" s="31" t="n">
        <v>46219</v>
      </c>
      <c r="H130" s="31" t="n">
        <v>46233</v>
      </c>
      <c r="I130" s="32" t="n">
        <v>14</v>
      </c>
      <c r="J130" s="30"/>
    </row>
    <row r="131" customFormat="false" ht="15" hidden="false" customHeight="false" outlineLevel="0" collapsed="false">
      <c r="A131" s="30" t="s">
        <v>51</v>
      </c>
      <c r="B131" s="30" t="s">
        <v>872</v>
      </c>
      <c r="C131" s="30" t="s">
        <v>891</v>
      </c>
      <c r="D131" s="30"/>
      <c r="E131" s="30" t="s">
        <v>355</v>
      </c>
      <c r="F131" s="30" t="s">
        <v>107</v>
      </c>
      <c r="G131" s="31" t="n">
        <v>46219</v>
      </c>
      <c r="H131" s="31" t="n">
        <v>46233</v>
      </c>
      <c r="I131" s="32" t="n">
        <v>14</v>
      </c>
      <c r="J131" s="30"/>
    </row>
    <row r="132" customFormat="false" ht="15" hidden="false" customHeight="false" outlineLevel="0" collapsed="false">
      <c r="A132" s="30" t="s">
        <v>51</v>
      </c>
      <c r="B132" s="30" t="s">
        <v>872</v>
      </c>
      <c r="C132" s="30" t="s">
        <v>892</v>
      </c>
      <c r="D132" s="30"/>
      <c r="E132" s="30" t="s">
        <v>355</v>
      </c>
      <c r="F132" s="30" t="s">
        <v>107</v>
      </c>
      <c r="G132" s="31" t="n">
        <v>46219</v>
      </c>
      <c r="H132" s="31" t="n">
        <v>46233</v>
      </c>
      <c r="I132" s="32" t="n">
        <v>14</v>
      </c>
      <c r="J132" s="30"/>
    </row>
    <row r="133" customFormat="false" ht="15" hidden="false" customHeight="false" outlineLevel="0" collapsed="false">
      <c r="A133" s="30" t="s">
        <v>51</v>
      </c>
      <c r="B133" s="30" t="s">
        <v>872</v>
      </c>
      <c r="C133" s="30" t="s">
        <v>893</v>
      </c>
      <c r="D133" s="30"/>
      <c r="E133" s="30" t="s">
        <v>355</v>
      </c>
      <c r="F133" s="30" t="s">
        <v>107</v>
      </c>
      <c r="G133" s="31" t="n">
        <v>46219</v>
      </c>
      <c r="H133" s="31" t="n">
        <v>46233</v>
      </c>
      <c r="I133" s="32" t="n">
        <v>14</v>
      </c>
      <c r="J133" s="30"/>
    </row>
    <row r="134" customFormat="false" ht="15" hidden="false" customHeight="false" outlineLevel="0" collapsed="false">
      <c r="A134" s="30" t="s">
        <v>51</v>
      </c>
      <c r="B134" s="30" t="s">
        <v>872</v>
      </c>
      <c r="C134" s="30" t="s">
        <v>894</v>
      </c>
      <c r="D134" s="30"/>
      <c r="E134" s="30" t="s">
        <v>355</v>
      </c>
      <c r="F134" s="30" t="s">
        <v>107</v>
      </c>
      <c r="G134" s="31" t="n">
        <v>46219</v>
      </c>
      <c r="H134" s="31" t="n">
        <v>46233</v>
      </c>
      <c r="I134" s="32" t="n">
        <v>14</v>
      </c>
      <c r="J134" s="30"/>
    </row>
    <row r="135" customFormat="false" ht="15" hidden="false" customHeight="false" outlineLevel="0" collapsed="false">
      <c r="A135" s="30" t="s">
        <v>51</v>
      </c>
      <c r="B135" s="30" t="s">
        <v>872</v>
      </c>
      <c r="C135" s="30" t="s">
        <v>895</v>
      </c>
      <c r="D135" s="30"/>
      <c r="E135" s="30" t="s">
        <v>355</v>
      </c>
      <c r="F135" s="30" t="s">
        <v>107</v>
      </c>
      <c r="G135" s="31" t="n">
        <v>46219</v>
      </c>
      <c r="H135" s="31" t="n">
        <v>46233</v>
      </c>
      <c r="I135" s="32" t="n">
        <v>14</v>
      </c>
      <c r="J135" s="30"/>
    </row>
    <row r="136" customFormat="false" ht="15" hidden="false" customHeight="false" outlineLevel="0" collapsed="false">
      <c r="A136" s="30" t="s">
        <v>51</v>
      </c>
      <c r="B136" s="30" t="s">
        <v>872</v>
      </c>
      <c r="C136" s="30" t="s">
        <v>896</v>
      </c>
      <c r="D136" s="30"/>
      <c r="E136" s="30" t="s">
        <v>355</v>
      </c>
      <c r="F136" s="30" t="s">
        <v>107</v>
      </c>
      <c r="G136" s="31" t="n">
        <v>46219</v>
      </c>
      <c r="H136" s="31" t="n">
        <v>46233</v>
      </c>
      <c r="I136" s="32" t="n">
        <v>14</v>
      </c>
      <c r="J136" s="30"/>
    </row>
    <row r="137" customFormat="false" ht="15" hidden="false" customHeight="false" outlineLevel="0" collapsed="false">
      <c r="A137" s="30" t="s">
        <v>51</v>
      </c>
      <c r="B137" s="30" t="s">
        <v>872</v>
      </c>
      <c r="C137" s="30" t="s">
        <v>897</v>
      </c>
      <c r="D137" s="30"/>
      <c r="E137" s="30" t="s">
        <v>355</v>
      </c>
      <c r="F137" s="30" t="s">
        <v>107</v>
      </c>
      <c r="G137" s="31" t="n">
        <v>46219</v>
      </c>
      <c r="H137" s="31" t="n">
        <v>46233</v>
      </c>
      <c r="I137" s="32" t="n">
        <v>14</v>
      </c>
      <c r="J137" s="30"/>
    </row>
    <row r="138" customFormat="false" ht="15" hidden="false" customHeight="false" outlineLevel="0" collapsed="false">
      <c r="A138" s="30" t="s">
        <v>51</v>
      </c>
      <c r="B138" s="30" t="s">
        <v>872</v>
      </c>
      <c r="C138" s="30" t="s">
        <v>898</v>
      </c>
      <c r="D138" s="30"/>
      <c r="E138" s="30" t="s">
        <v>355</v>
      </c>
      <c r="F138" s="30" t="s">
        <v>107</v>
      </c>
      <c r="G138" s="31" t="n">
        <v>46219</v>
      </c>
      <c r="H138" s="31" t="n">
        <v>46233</v>
      </c>
      <c r="I138" s="32" t="n">
        <v>14</v>
      </c>
      <c r="J138" s="30"/>
    </row>
    <row r="139" customFormat="false" ht="15" hidden="false" customHeight="false" outlineLevel="0" collapsed="false">
      <c r="A139" s="30" t="s">
        <v>51</v>
      </c>
      <c r="B139" s="30" t="s">
        <v>872</v>
      </c>
      <c r="C139" s="30" t="s">
        <v>899</v>
      </c>
      <c r="D139" s="30"/>
      <c r="E139" s="30" t="s">
        <v>355</v>
      </c>
      <c r="F139" s="30" t="s">
        <v>107</v>
      </c>
      <c r="G139" s="31" t="n">
        <v>46219</v>
      </c>
      <c r="H139" s="31" t="n">
        <v>46233</v>
      </c>
      <c r="I139" s="32" t="n">
        <v>14</v>
      </c>
      <c r="J139" s="30"/>
    </row>
    <row r="140" customFormat="false" ht="15" hidden="false" customHeight="false" outlineLevel="0" collapsed="false">
      <c r="A140" s="30" t="s">
        <v>51</v>
      </c>
      <c r="B140" s="30" t="s">
        <v>872</v>
      </c>
      <c r="C140" s="30" t="s">
        <v>900</v>
      </c>
      <c r="D140" s="30"/>
      <c r="E140" s="30" t="s">
        <v>355</v>
      </c>
      <c r="F140" s="30" t="s">
        <v>107</v>
      </c>
      <c r="G140" s="31" t="n">
        <v>46219</v>
      </c>
      <c r="H140" s="31" t="n">
        <v>46233</v>
      </c>
      <c r="I140" s="32" t="n">
        <v>14</v>
      </c>
      <c r="J140" s="30"/>
    </row>
    <row r="141" customFormat="false" ht="15" hidden="false" customHeight="false" outlineLevel="0" collapsed="false">
      <c r="A141" s="30" t="s">
        <v>51</v>
      </c>
      <c r="B141" s="30" t="s">
        <v>872</v>
      </c>
      <c r="C141" s="30" t="s">
        <v>901</v>
      </c>
      <c r="D141" s="30"/>
      <c r="E141" s="30" t="s">
        <v>355</v>
      </c>
      <c r="F141" s="30" t="s">
        <v>107</v>
      </c>
      <c r="G141" s="31" t="n">
        <v>46219</v>
      </c>
      <c r="H141" s="31" t="n">
        <v>46233</v>
      </c>
      <c r="I141" s="32" t="n">
        <v>14</v>
      </c>
      <c r="J141" s="30"/>
    </row>
    <row r="142" customFormat="false" ht="15" hidden="false" customHeight="false" outlineLevel="0" collapsed="false">
      <c r="A142" s="30" t="s">
        <v>51</v>
      </c>
      <c r="B142" s="30" t="s">
        <v>872</v>
      </c>
      <c r="C142" s="30" t="s">
        <v>902</v>
      </c>
      <c r="D142" s="30"/>
      <c r="E142" s="30" t="s">
        <v>355</v>
      </c>
      <c r="F142" s="30" t="s">
        <v>107</v>
      </c>
      <c r="G142" s="31" t="n">
        <v>46219</v>
      </c>
      <c r="H142" s="31" t="n">
        <v>46233</v>
      </c>
      <c r="I142" s="32" t="n">
        <v>14</v>
      </c>
      <c r="J142" s="30"/>
    </row>
    <row r="143" customFormat="false" ht="15" hidden="false" customHeight="false" outlineLevel="0" collapsed="false">
      <c r="A143" s="30" t="s">
        <v>51</v>
      </c>
      <c r="B143" s="30" t="s">
        <v>872</v>
      </c>
      <c r="C143" s="30" t="s">
        <v>903</v>
      </c>
      <c r="D143" s="30"/>
      <c r="E143" s="30" t="s">
        <v>355</v>
      </c>
      <c r="F143" s="30" t="s">
        <v>107</v>
      </c>
      <c r="G143" s="31" t="n">
        <v>46219</v>
      </c>
      <c r="H143" s="31" t="n">
        <v>46233</v>
      </c>
      <c r="I143" s="32" t="n">
        <v>14</v>
      </c>
      <c r="J143" s="30"/>
    </row>
    <row r="144" customFormat="false" ht="15" hidden="false" customHeight="false" outlineLevel="0" collapsed="false">
      <c r="A144" s="30" t="s">
        <v>51</v>
      </c>
      <c r="B144" s="30" t="s">
        <v>872</v>
      </c>
      <c r="C144" s="30" t="s">
        <v>904</v>
      </c>
      <c r="D144" s="30"/>
      <c r="E144" s="30" t="s">
        <v>355</v>
      </c>
      <c r="F144" s="30" t="s">
        <v>107</v>
      </c>
      <c r="G144" s="31" t="n">
        <v>46219</v>
      </c>
      <c r="H144" s="31" t="n">
        <v>46233</v>
      </c>
      <c r="I144" s="32" t="n">
        <v>14</v>
      </c>
      <c r="J144" s="30"/>
    </row>
    <row r="145" customFormat="false" ht="15" hidden="false" customHeight="false" outlineLevel="0" collapsed="false">
      <c r="A145" s="30" t="s">
        <v>51</v>
      </c>
      <c r="B145" s="30" t="s">
        <v>905</v>
      </c>
      <c r="C145" s="30" t="s">
        <v>906</v>
      </c>
      <c r="D145" s="30"/>
      <c r="E145" s="30" t="s">
        <v>719</v>
      </c>
      <c r="F145" s="30" t="s">
        <v>29</v>
      </c>
      <c r="G145" s="31" t="n">
        <v>46219</v>
      </c>
      <c r="H145" s="31" t="n">
        <v>46233</v>
      </c>
      <c r="I145" s="32" t="n">
        <v>14</v>
      </c>
      <c r="J145" s="30"/>
    </row>
    <row r="146" customFormat="false" ht="15" hidden="false" customHeight="false" outlineLevel="0" collapsed="false">
      <c r="A146" s="30" t="s">
        <v>51</v>
      </c>
      <c r="B146" s="30" t="s">
        <v>905</v>
      </c>
      <c r="C146" s="30" t="s">
        <v>907</v>
      </c>
      <c r="D146" s="30"/>
      <c r="E146" s="30" t="s">
        <v>719</v>
      </c>
      <c r="F146" s="30" t="s">
        <v>29</v>
      </c>
      <c r="G146" s="31" t="n">
        <v>46219</v>
      </c>
      <c r="H146" s="31" t="n">
        <v>46233</v>
      </c>
      <c r="I146" s="32" t="n">
        <v>14</v>
      </c>
      <c r="J146" s="30"/>
    </row>
    <row r="147" customFormat="false" ht="15" hidden="false" customHeight="false" outlineLevel="0" collapsed="false">
      <c r="A147" s="30" t="s">
        <v>51</v>
      </c>
      <c r="B147" s="30" t="s">
        <v>905</v>
      </c>
      <c r="C147" s="30" t="s">
        <v>908</v>
      </c>
      <c r="D147" s="30"/>
      <c r="E147" s="30" t="s">
        <v>719</v>
      </c>
      <c r="F147" s="30" t="s">
        <v>29</v>
      </c>
      <c r="G147" s="31" t="n">
        <v>46219</v>
      </c>
      <c r="H147" s="31" t="n">
        <v>46233</v>
      </c>
      <c r="I147" s="32" t="n">
        <v>14</v>
      </c>
      <c r="J147" s="30"/>
    </row>
    <row r="148" customFormat="false" ht="15" hidden="false" customHeight="false" outlineLevel="0" collapsed="false">
      <c r="A148" s="30" t="s">
        <v>51</v>
      </c>
      <c r="B148" s="30" t="s">
        <v>905</v>
      </c>
      <c r="C148" s="30" t="s">
        <v>909</v>
      </c>
      <c r="D148" s="30"/>
      <c r="E148" s="30" t="s">
        <v>719</v>
      </c>
      <c r="F148" s="30" t="s">
        <v>29</v>
      </c>
      <c r="G148" s="31" t="n">
        <v>46219</v>
      </c>
      <c r="H148" s="31" t="n">
        <v>46233</v>
      </c>
      <c r="I148" s="32" t="n">
        <v>14</v>
      </c>
      <c r="J148" s="30"/>
    </row>
    <row r="149" customFormat="false" ht="15" hidden="false" customHeight="false" outlineLevel="0" collapsed="false">
      <c r="A149" s="30" t="s">
        <v>51</v>
      </c>
      <c r="B149" s="30" t="s">
        <v>905</v>
      </c>
      <c r="C149" s="30" t="s">
        <v>910</v>
      </c>
      <c r="D149" s="30"/>
      <c r="E149" s="30" t="s">
        <v>719</v>
      </c>
      <c r="F149" s="30" t="s">
        <v>29</v>
      </c>
      <c r="G149" s="31" t="n">
        <v>46219</v>
      </c>
      <c r="H149" s="31" t="n">
        <v>46233</v>
      </c>
      <c r="I149" s="32" t="n">
        <v>14</v>
      </c>
      <c r="J149" s="30"/>
    </row>
    <row r="150" customFormat="false" ht="15" hidden="false" customHeight="false" outlineLevel="0" collapsed="false">
      <c r="A150" s="30" t="s">
        <v>51</v>
      </c>
      <c r="B150" s="30" t="s">
        <v>905</v>
      </c>
      <c r="C150" s="30" t="s">
        <v>911</v>
      </c>
      <c r="D150" s="30"/>
      <c r="E150" s="30" t="s">
        <v>719</v>
      </c>
      <c r="F150" s="30" t="s">
        <v>29</v>
      </c>
      <c r="G150" s="31" t="n">
        <v>46219</v>
      </c>
      <c r="H150" s="31" t="n">
        <v>46233</v>
      </c>
      <c r="I150" s="32" t="n">
        <v>14</v>
      </c>
      <c r="J150" s="30"/>
    </row>
    <row r="151" customFormat="false" ht="15" hidden="false" customHeight="false" outlineLevel="0" collapsed="false">
      <c r="A151" s="30" t="s">
        <v>51</v>
      </c>
      <c r="B151" s="30" t="s">
        <v>905</v>
      </c>
      <c r="C151" s="30" t="s">
        <v>912</v>
      </c>
      <c r="D151" s="30"/>
      <c r="E151" s="30" t="s">
        <v>719</v>
      </c>
      <c r="F151" s="30" t="s">
        <v>29</v>
      </c>
      <c r="G151" s="31" t="n">
        <v>46219</v>
      </c>
      <c r="H151" s="31" t="n">
        <v>46233</v>
      </c>
      <c r="I151" s="32" t="n">
        <v>14</v>
      </c>
      <c r="J151" s="30"/>
    </row>
    <row r="152" customFormat="false" ht="15" hidden="false" customHeight="false" outlineLevel="0" collapsed="false">
      <c r="A152" s="30" t="s">
        <v>51</v>
      </c>
      <c r="B152" s="30" t="s">
        <v>905</v>
      </c>
      <c r="C152" s="30" t="s">
        <v>913</v>
      </c>
      <c r="D152" s="30"/>
      <c r="E152" s="30" t="s">
        <v>719</v>
      </c>
      <c r="F152" s="30" t="s">
        <v>29</v>
      </c>
      <c r="G152" s="31" t="n">
        <v>46219</v>
      </c>
      <c r="H152" s="31" t="n">
        <v>46233</v>
      </c>
      <c r="I152" s="32" t="n">
        <v>14</v>
      </c>
      <c r="J152" s="30"/>
    </row>
    <row r="153" customFormat="false" ht="15" hidden="false" customHeight="false" outlineLevel="0" collapsed="false">
      <c r="A153" s="30" t="s">
        <v>51</v>
      </c>
      <c r="B153" s="30" t="s">
        <v>905</v>
      </c>
      <c r="C153" s="30" t="s">
        <v>914</v>
      </c>
      <c r="D153" s="30"/>
      <c r="E153" s="30" t="s">
        <v>719</v>
      </c>
      <c r="F153" s="30" t="s">
        <v>29</v>
      </c>
      <c r="G153" s="31" t="n">
        <v>46219</v>
      </c>
      <c r="H153" s="31" t="n">
        <v>46233</v>
      </c>
      <c r="I153" s="32" t="n">
        <v>14</v>
      </c>
      <c r="J153" s="30"/>
    </row>
    <row r="154" customFormat="false" ht="15" hidden="false" customHeight="false" outlineLevel="0" collapsed="false">
      <c r="A154" s="30" t="s">
        <v>51</v>
      </c>
      <c r="B154" s="30" t="s">
        <v>905</v>
      </c>
      <c r="C154" s="30" t="s">
        <v>915</v>
      </c>
      <c r="D154" s="30"/>
      <c r="E154" s="30" t="s">
        <v>719</v>
      </c>
      <c r="F154" s="30" t="s">
        <v>29</v>
      </c>
      <c r="G154" s="31" t="n">
        <v>46219</v>
      </c>
      <c r="H154" s="31" t="n">
        <v>46233</v>
      </c>
      <c r="I154" s="32" t="n">
        <v>14</v>
      </c>
      <c r="J154" s="30"/>
    </row>
    <row r="155" customFormat="false" ht="15" hidden="false" customHeight="false" outlineLevel="0" collapsed="false">
      <c r="A155" s="30" t="s">
        <v>51</v>
      </c>
      <c r="B155" s="30" t="s">
        <v>905</v>
      </c>
      <c r="C155" s="30" t="s">
        <v>916</v>
      </c>
      <c r="D155" s="30"/>
      <c r="E155" s="30" t="s">
        <v>719</v>
      </c>
      <c r="F155" s="30" t="s">
        <v>29</v>
      </c>
      <c r="G155" s="31" t="n">
        <v>46219</v>
      </c>
      <c r="H155" s="31" t="n">
        <v>46233</v>
      </c>
      <c r="I155" s="32" t="n">
        <v>14</v>
      </c>
      <c r="J155" s="30"/>
    </row>
    <row r="156" customFormat="false" ht="15" hidden="false" customHeight="false" outlineLevel="0" collapsed="false">
      <c r="A156" s="30" t="s">
        <v>51</v>
      </c>
      <c r="B156" s="30" t="s">
        <v>905</v>
      </c>
      <c r="C156" s="30" t="s">
        <v>917</v>
      </c>
      <c r="D156" s="30"/>
      <c r="E156" s="30" t="s">
        <v>719</v>
      </c>
      <c r="F156" s="30" t="s">
        <v>29</v>
      </c>
      <c r="G156" s="31" t="n">
        <v>46219</v>
      </c>
      <c r="H156" s="31" t="n">
        <v>46233</v>
      </c>
      <c r="I156" s="32" t="n">
        <v>14</v>
      </c>
      <c r="J156" s="30"/>
    </row>
    <row r="157" customFormat="false" ht="15" hidden="false" customHeight="false" outlineLevel="0" collapsed="false">
      <c r="A157" s="30" t="s">
        <v>51</v>
      </c>
      <c r="B157" s="30" t="s">
        <v>905</v>
      </c>
      <c r="C157" s="30" t="s">
        <v>918</v>
      </c>
      <c r="D157" s="30"/>
      <c r="E157" s="30" t="s">
        <v>719</v>
      </c>
      <c r="F157" s="30" t="s">
        <v>29</v>
      </c>
      <c r="G157" s="31" t="n">
        <v>46219</v>
      </c>
      <c r="H157" s="31" t="n">
        <v>46233</v>
      </c>
      <c r="I157" s="32" t="n">
        <v>14</v>
      </c>
      <c r="J157" s="30"/>
    </row>
    <row r="158" customFormat="false" ht="15" hidden="false" customHeight="false" outlineLevel="0" collapsed="false">
      <c r="A158" s="30" t="s">
        <v>51</v>
      </c>
      <c r="B158" s="30" t="s">
        <v>905</v>
      </c>
      <c r="C158" s="30" t="s">
        <v>919</v>
      </c>
      <c r="D158" s="30"/>
      <c r="E158" s="30" t="s">
        <v>719</v>
      </c>
      <c r="F158" s="30" t="s">
        <v>29</v>
      </c>
      <c r="G158" s="31" t="n">
        <v>46219</v>
      </c>
      <c r="H158" s="31" t="n">
        <v>46233</v>
      </c>
      <c r="I158" s="32" t="n">
        <v>14</v>
      </c>
      <c r="J158" s="30"/>
    </row>
    <row r="159" customFormat="false" ht="15" hidden="false" customHeight="false" outlineLevel="0" collapsed="false">
      <c r="A159" s="30" t="s">
        <v>51</v>
      </c>
      <c r="B159" s="30" t="s">
        <v>905</v>
      </c>
      <c r="C159" s="30" t="s">
        <v>920</v>
      </c>
      <c r="D159" s="30"/>
      <c r="E159" s="30" t="s">
        <v>719</v>
      </c>
      <c r="F159" s="30" t="s">
        <v>29</v>
      </c>
      <c r="G159" s="31" t="n">
        <v>46219</v>
      </c>
      <c r="H159" s="31" t="n">
        <v>46233</v>
      </c>
      <c r="I159" s="32" t="n">
        <v>14</v>
      </c>
      <c r="J159" s="30"/>
    </row>
    <row r="160" customFormat="false" ht="15" hidden="false" customHeight="false" outlineLevel="0" collapsed="false">
      <c r="A160" s="30" t="s">
        <v>51</v>
      </c>
      <c r="B160" s="30" t="s">
        <v>905</v>
      </c>
      <c r="C160" s="30" t="s">
        <v>921</v>
      </c>
      <c r="D160" s="30"/>
      <c r="E160" s="30" t="s">
        <v>719</v>
      </c>
      <c r="F160" s="30" t="s">
        <v>29</v>
      </c>
      <c r="G160" s="31" t="n">
        <v>46219</v>
      </c>
      <c r="H160" s="31" t="n">
        <v>46233</v>
      </c>
      <c r="I160" s="32" t="n">
        <v>14</v>
      </c>
      <c r="J160" s="30"/>
    </row>
    <row r="161" customFormat="false" ht="15" hidden="false" customHeight="false" outlineLevel="0" collapsed="false">
      <c r="A161" s="30" t="s">
        <v>51</v>
      </c>
      <c r="B161" s="30" t="s">
        <v>905</v>
      </c>
      <c r="C161" s="30" t="s">
        <v>922</v>
      </c>
      <c r="D161" s="30"/>
      <c r="E161" s="30" t="s">
        <v>719</v>
      </c>
      <c r="F161" s="30" t="s">
        <v>29</v>
      </c>
      <c r="G161" s="31" t="n">
        <v>46219</v>
      </c>
      <c r="H161" s="31" t="n">
        <v>46233</v>
      </c>
      <c r="I161" s="32" t="n">
        <v>14</v>
      </c>
      <c r="J161" s="30"/>
    </row>
    <row r="162" customFormat="false" ht="15" hidden="false" customHeight="false" outlineLevel="0" collapsed="false">
      <c r="A162" s="30" t="s">
        <v>51</v>
      </c>
      <c r="B162" s="30" t="s">
        <v>905</v>
      </c>
      <c r="C162" s="30" t="s">
        <v>923</v>
      </c>
      <c r="D162" s="30"/>
      <c r="E162" s="30" t="s">
        <v>719</v>
      </c>
      <c r="F162" s="30" t="s">
        <v>29</v>
      </c>
      <c r="G162" s="31" t="n">
        <v>46219</v>
      </c>
      <c r="H162" s="31" t="n">
        <v>46233</v>
      </c>
      <c r="I162" s="32" t="n">
        <v>14</v>
      </c>
      <c r="J162" s="30"/>
    </row>
    <row r="163" customFormat="false" ht="15" hidden="false" customHeight="false" outlineLevel="0" collapsed="false">
      <c r="A163" s="30" t="s">
        <v>51</v>
      </c>
      <c r="B163" s="30" t="s">
        <v>905</v>
      </c>
      <c r="C163" s="30" t="s">
        <v>924</v>
      </c>
      <c r="D163" s="30"/>
      <c r="E163" s="30" t="s">
        <v>719</v>
      </c>
      <c r="F163" s="30" t="s">
        <v>29</v>
      </c>
      <c r="G163" s="31" t="n">
        <v>46219</v>
      </c>
      <c r="H163" s="31" t="n">
        <v>46233</v>
      </c>
      <c r="I163" s="32" t="n">
        <v>14</v>
      </c>
      <c r="J163" s="30"/>
    </row>
    <row r="164" customFormat="false" ht="15" hidden="false" customHeight="false" outlineLevel="0" collapsed="false">
      <c r="A164" s="30" t="s">
        <v>51</v>
      </c>
      <c r="B164" s="30" t="s">
        <v>905</v>
      </c>
      <c r="C164" s="30" t="s">
        <v>925</v>
      </c>
      <c r="D164" s="30"/>
      <c r="E164" s="30" t="s">
        <v>719</v>
      </c>
      <c r="F164" s="30" t="s">
        <v>29</v>
      </c>
      <c r="G164" s="31" t="n">
        <v>46219</v>
      </c>
      <c r="H164" s="31" t="n">
        <v>46233</v>
      </c>
      <c r="I164" s="32" t="n">
        <v>14</v>
      </c>
      <c r="J164" s="30"/>
    </row>
    <row r="165" customFormat="false" ht="15" hidden="false" customHeight="false" outlineLevel="0" collapsed="false">
      <c r="A165" s="30" t="s">
        <v>51</v>
      </c>
      <c r="B165" s="30" t="s">
        <v>353</v>
      </c>
      <c r="C165" s="30" t="s">
        <v>926</v>
      </c>
      <c r="D165" s="30"/>
      <c r="E165" s="30" t="s">
        <v>719</v>
      </c>
      <c r="F165" s="30" t="s">
        <v>29</v>
      </c>
      <c r="G165" s="31" t="n">
        <v>46219</v>
      </c>
      <c r="H165" s="31" t="n">
        <v>46233</v>
      </c>
      <c r="I165" s="32" t="n">
        <v>14</v>
      </c>
      <c r="J165" s="30"/>
    </row>
    <row r="166" customFormat="false" ht="15" hidden="false" customHeight="false" outlineLevel="0" collapsed="false">
      <c r="A166" s="30" t="s">
        <v>51</v>
      </c>
      <c r="B166" s="30" t="s">
        <v>353</v>
      </c>
      <c r="C166" s="30" t="s">
        <v>927</v>
      </c>
      <c r="D166" s="30"/>
      <c r="E166" s="30" t="s">
        <v>719</v>
      </c>
      <c r="F166" s="30" t="s">
        <v>29</v>
      </c>
      <c r="G166" s="31" t="n">
        <v>46219</v>
      </c>
      <c r="H166" s="31" t="n">
        <v>46233</v>
      </c>
      <c r="I166" s="32" t="n">
        <v>14</v>
      </c>
      <c r="J166" s="30"/>
    </row>
    <row r="167" customFormat="false" ht="15" hidden="false" customHeight="false" outlineLevel="0" collapsed="false">
      <c r="A167" s="30" t="s">
        <v>51</v>
      </c>
      <c r="B167" s="30" t="s">
        <v>353</v>
      </c>
      <c r="C167" s="30" t="s">
        <v>928</v>
      </c>
      <c r="D167" s="30"/>
      <c r="E167" s="30" t="s">
        <v>719</v>
      </c>
      <c r="F167" s="30" t="s">
        <v>29</v>
      </c>
      <c r="G167" s="31" t="n">
        <v>46219</v>
      </c>
      <c r="H167" s="31" t="n">
        <v>46233</v>
      </c>
      <c r="I167" s="32" t="n">
        <v>14</v>
      </c>
      <c r="J167" s="30"/>
    </row>
    <row r="168" customFormat="false" ht="15" hidden="false" customHeight="false" outlineLevel="0" collapsed="false">
      <c r="A168" s="30" t="s">
        <v>51</v>
      </c>
      <c r="B168" s="30" t="s">
        <v>353</v>
      </c>
      <c r="C168" s="30" t="s">
        <v>929</v>
      </c>
      <c r="D168" s="30"/>
      <c r="E168" s="30" t="s">
        <v>719</v>
      </c>
      <c r="F168" s="30" t="s">
        <v>29</v>
      </c>
      <c r="G168" s="31" t="n">
        <v>46219</v>
      </c>
      <c r="H168" s="31" t="n">
        <v>46233</v>
      </c>
      <c r="I168" s="32" t="n">
        <v>14</v>
      </c>
      <c r="J168" s="30"/>
    </row>
    <row r="169" customFormat="false" ht="15" hidden="false" customHeight="false" outlineLevel="0" collapsed="false">
      <c r="A169" s="30" t="s">
        <v>51</v>
      </c>
      <c r="B169" s="30" t="s">
        <v>353</v>
      </c>
      <c r="C169" s="30" t="s">
        <v>930</v>
      </c>
      <c r="D169" s="30"/>
      <c r="E169" s="30" t="s">
        <v>719</v>
      </c>
      <c r="F169" s="30" t="s">
        <v>29</v>
      </c>
      <c r="G169" s="31" t="n">
        <v>46219</v>
      </c>
      <c r="H169" s="31" t="n">
        <v>46233</v>
      </c>
      <c r="I169" s="32" t="n">
        <v>14</v>
      </c>
      <c r="J169" s="30"/>
    </row>
    <row r="170" customFormat="false" ht="15" hidden="false" customHeight="false" outlineLevel="0" collapsed="false">
      <c r="A170" s="30" t="s">
        <v>51</v>
      </c>
      <c r="B170" s="30" t="s">
        <v>353</v>
      </c>
      <c r="C170" s="30" t="s">
        <v>931</v>
      </c>
      <c r="D170" s="30"/>
      <c r="E170" s="30" t="s">
        <v>719</v>
      </c>
      <c r="F170" s="30" t="s">
        <v>29</v>
      </c>
      <c r="G170" s="31" t="n">
        <v>46219</v>
      </c>
      <c r="H170" s="31" t="n">
        <v>46233</v>
      </c>
      <c r="I170" s="32" t="n">
        <v>14</v>
      </c>
      <c r="J170" s="30"/>
    </row>
    <row r="171" customFormat="false" ht="15" hidden="false" customHeight="false" outlineLevel="0" collapsed="false">
      <c r="A171" s="30" t="s">
        <v>51</v>
      </c>
      <c r="B171" s="30" t="s">
        <v>353</v>
      </c>
      <c r="C171" s="30" t="s">
        <v>932</v>
      </c>
      <c r="D171" s="30"/>
      <c r="E171" s="30" t="s">
        <v>719</v>
      </c>
      <c r="F171" s="30" t="s">
        <v>29</v>
      </c>
      <c r="G171" s="31" t="n">
        <v>46219</v>
      </c>
      <c r="H171" s="31" t="n">
        <v>46233</v>
      </c>
      <c r="I171" s="32" t="n">
        <v>14</v>
      </c>
      <c r="J171" s="30"/>
    </row>
    <row r="172" customFormat="false" ht="15" hidden="false" customHeight="false" outlineLevel="0" collapsed="false">
      <c r="A172" s="30" t="s">
        <v>51</v>
      </c>
      <c r="B172" s="30" t="s">
        <v>353</v>
      </c>
      <c r="C172" s="30" t="s">
        <v>933</v>
      </c>
      <c r="D172" s="30"/>
      <c r="E172" s="30" t="s">
        <v>719</v>
      </c>
      <c r="F172" s="30" t="s">
        <v>29</v>
      </c>
      <c r="G172" s="31" t="n">
        <v>46219</v>
      </c>
      <c r="H172" s="31" t="n">
        <v>46233</v>
      </c>
      <c r="I172" s="32" t="n">
        <v>14</v>
      </c>
      <c r="J172" s="30"/>
    </row>
    <row r="173" customFormat="false" ht="15" hidden="false" customHeight="false" outlineLevel="0" collapsed="false">
      <c r="A173" s="30" t="s">
        <v>51</v>
      </c>
      <c r="B173" s="30" t="s">
        <v>353</v>
      </c>
      <c r="C173" s="30" t="s">
        <v>934</v>
      </c>
      <c r="D173" s="30"/>
      <c r="E173" s="30" t="s">
        <v>719</v>
      </c>
      <c r="F173" s="30" t="s">
        <v>29</v>
      </c>
      <c r="G173" s="31" t="n">
        <v>46219</v>
      </c>
      <c r="H173" s="31" t="n">
        <v>46233</v>
      </c>
      <c r="I173" s="32" t="n">
        <v>14</v>
      </c>
      <c r="J173" s="30"/>
    </row>
    <row r="174" customFormat="false" ht="15" hidden="false" customHeight="false" outlineLevel="0" collapsed="false">
      <c r="A174" s="30" t="s">
        <v>51</v>
      </c>
      <c r="B174" s="30" t="s">
        <v>353</v>
      </c>
      <c r="C174" s="30" t="s">
        <v>935</v>
      </c>
      <c r="D174" s="30"/>
      <c r="E174" s="30" t="s">
        <v>719</v>
      </c>
      <c r="F174" s="30" t="s">
        <v>29</v>
      </c>
      <c r="G174" s="31" t="n">
        <v>46219</v>
      </c>
      <c r="H174" s="31" t="n">
        <v>46233</v>
      </c>
      <c r="I174" s="32" t="n">
        <v>14</v>
      </c>
      <c r="J174" s="30"/>
    </row>
    <row r="175" customFormat="false" ht="15" hidden="false" customHeight="false" outlineLevel="0" collapsed="false">
      <c r="A175" s="30" t="s">
        <v>51</v>
      </c>
      <c r="B175" s="30" t="s">
        <v>353</v>
      </c>
      <c r="C175" s="30" t="s">
        <v>936</v>
      </c>
      <c r="D175" s="30"/>
      <c r="E175" s="30" t="s">
        <v>719</v>
      </c>
      <c r="F175" s="30" t="s">
        <v>29</v>
      </c>
      <c r="G175" s="31" t="n">
        <v>46219</v>
      </c>
      <c r="H175" s="31" t="n">
        <v>46233</v>
      </c>
      <c r="I175" s="32" t="n">
        <v>14</v>
      </c>
      <c r="J175" s="30"/>
    </row>
    <row r="176" customFormat="false" ht="15" hidden="false" customHeight="false" outlineLevel="0" collapsed="false">
      <c r="A176" s="30" t="s">
        <v>51</v>
      </c>
      <c r="B176" s="30" t="s">
        <v>353</v>
      </c>
      <c r="C176" s="30" t="s">
        <v>937</v>
      </c>
      <c r="D176" s="30"/>
      <c r="E176" s="30" t="s">
        <v>719</v>
      </c>
      <c r="F176" s="30" t="s">
        <v>29</v>
      </c>
      <c r="G176" s="31" t="n">
        <v>46219</v>
      </c>
      <c r="H176" s="31" t="n">
        <v>46233</v>
      </c>
      <c r="I176" s="32" t="n">
        <v>14</v>
      </c>
      <c r="J176" s="30"/>
    </row>
    <row r="177" customFormat="false" ht="15" hidden="false" customHeight="false" outlineLevel="0" collapsed="false">
      <c r="A177" s="30" t="s">
        <v>51</v>
      </c>
      <c r="B177" s="30" t="s">
        <v>353</v>
      </c>
      <c r="C177" s="30" t="s">
        <v>938</v>
      </c>
      <c r="D177" s="30"/>
      <c r="E177" s="30" t="s">
        <v>719</v>
      </c>
      <c r="F177" s="30" t="s">
        <v>29</v>
      </c>
      <c r="G177" s="31" t="n">
        <v>46219</v>
      </c>
      <c r="H177" s="31" t="n">
        <v>46233</v>
      </c>
      <c r="I177" s="32" t="n">
        <v>14</v>
      </c>
      <c r="J177" s="30"/>
    </row>
    <row r="178" customFormat="false" ht="15" hidden="false" customHeight="false" outlineLevel="0" collapsed="false">
      <c r="A178" s="30" t="s">
        <v>51</v>
      </c>
      <c r="B178" s="30" t="s">
        <v>353</v>
      </c>
      <c r="C178" s="30" t="s">
        <v>939</v>
      </c>
      <c r="D178" s="30"/>
      <c r="E178" s="30" t="s">
        <v>719</v>
      </c>
      <c r="F178" s="30" t="s">
        <v>29</v>
      </c>
      <c r="G178" s="31" t="n">
        <v>46219</v>
      </c>
      <c r="H178" s="31" t="n">
        <v>46233</v>
      </c>
      <c r="I178" s="32" t="n">
        <v>14</v>
      </c>
      <c r="J178" s="30"/>
    </row>
    <row r="179" customFormat="false" ht="15" hidden="false" customHeight="false" outlineLevel="0" collapsed="false">
      <c r="A179" s="30" t="s">
        <v>51</v>
      </c>
      <c r="B179" s="30" t="s">
        <v>353</v>
      </c>
      <c r="C179" s="30" t="s">
        <v>940</v>
      </c>
      <c r="D179" s="30"/>
      <c r="E179" s="30" t="s">
        <v>719</v>
      </c>
      <c r="F179" s="30" t="s">
        <v>29</v>
      </c>
      <c r="G179" s="31" t="n">
        <v>46219</v>
      </c>
      <c r="H179" s="31" t="n">
        <v>46233</v>
      </c>
      <c r="I179" s="32" t="n">
        <v>14</v>
      </c>
      <c r="J179" s="30"/>
    </row>
    <row r="180" customFormat="false" ht="15" hidden="false" customHeight="false" outlineLevel="0" collapsed="false">
      <c r="A180" s="30" t="s">
        <v>51</v>
      </c>
      <c r="B180" s="30" t="s">
        <v>353</v>
      </c>
      <c r="C180" s="30" t="s">
        <v>941</v>
      </c>
      <c r="D180" s="30"/>
      <c r="E180" s="30" t="s">
        <v>719</v>
      </c>
      <c r="F180" s="30" t="s">
        <v>29</v>
      </c>
      <c r="G180" s="31" t="n">
        <v>46219</v>
      </c>
      <c r="H180" s="31" t="n">
        <v>46233</v>
      </c>
      <c r="I180" s="32" t="n">
        <v>14</v>
      </c>
      <c r="J180" s="30"/>
    </row>
    <row r="181" customFormat="false" ht="15" hidden="false" customHeight="false" outlineLevel="0" collapsed="false">
      <c r="A181" s="30" t="s">
        <v>51</v>
      </c>
      <c r="B181" s="30" t="s">
        <v>353</v>
      </c>
      <c r="C181" s="30" t="s">
        <v>942</v>
      </c>
      <c r="D181" s="30"/>
      <c r="E181" s="30" t="s">
        <v>719</v>
      </c>
      <c r="F181" s="30" t="s">
        <v>29</v>
      </c>
      <c r="G181" s="31" t="n">
        <v>46219</v>
      </c>
      <c r="H181" s="31" t="n">
        <v>46233</v>
      </c>
      <c r="I181" s="32" t="n">
        <v>14</v>
      </c>
      <c r="J181" s="30"/>
    </row>
    <row r="182" customFormat="false" ht="15" hidden="false" customHeight="false" outlineLevel="0" collapsed="false">
      <c r="A182" s="30" t="s">
        <v>51</v>
      </c>
      <c r="B182" s="30" t="s">
        <v>353</v>
      </c>
      <c r="C182" s="30" t="s">
        <v>943</v>
      </c>
      <c r="D182" s="30"/>
      <c r="E182" s="30" t="s">
        <v>719</v>
      </c>
      <c r="F182" s="30" t="s">
        <v>29</v>
      </c>
      <c r="G182" s="31" t="n">
        <v>46219</v>
      </c>
      <c r="H182" s="31" t="n">
        <v>46233</v>
      </c>
      <c r="I182" s="32" t="n">
        <v>14</v>
      </c>
      <c r="J182" s="30"/>
    </row>
    <row r="183" customFormat="false" ht="15" hidden="false" customHeight="false" outlineLevel="0" collapsed="false">
      <c r="A183" s="30" t="s">
        <v>51</v>
      </c>
      <c r="B183" s="30" t="s">
        <v>353</v>
      </c>
      <c r="C183" s="30" t="s">
        <v>944</v>
      </c>
      <c r="D183" s="30"/>
      <c r="E183" s="30" t="s">
        <v>719</v>
      </c>
      <c r="F183" s="30" t="s">
        <v>29</v>
      </c>
      <c r="G183" s="31" t="n">
        <v>46219</v>
      </c>
      <c r="H183" s="31" t="n">
        <v>46233</v>
      </c>
      <c r="I183" s="32" t="n">
        <v>14</v>
      </c>
      <c r="J183" s="30"/>
    </row>
    <row r="184" customFormat="false" ht="15" hidden="false" customHeight="false" outlineLevel="0" collapsed="false">
      <c r="A184" s="30" t="s">
        <v>51</v>
      </c>
      <c r="B184" s="30" t="s">
        <v>353</v>
      </c>
      <c r="C184" s="30" t="s">
        <v>945</v>
      </c>
      <c r="D184" s="30"/>
      <c r="E184" s="30" t="s">
        <v>719</v>
      </c>
      <c r="F184" s="30" t="s">
        <v>29</v>
      </c>
      <c r="G184" s="31" t="n">
        <v>46219</v>
      </c>
      <c r="H184" s="31" t="n">
        <v>46233</v>
      </c>
      <c r="I184" s="32" t="n">
        <v>14</v>
      </c>
      <c r="J184" s="30"/>
    </row>
    <row r="185" customFormat="false" ht="15" hidden="false" customHeight="false" outlineLevel="0" collapsed="false">
      <c r="A185" s="30" t="s">
        <v>51</v>
      </c>
      <c r="B185" s="30" t="s">
        <v>353</v>
      </c>
      <c r="C185" s="30" t="s">
        <v>946</v>
      </c>
      <c r="D185" s="30"/>
      <c r="E185" s="30" t="s">
        <v>719</v>
      </c>
      <c r="F185" s="30" t="s">
        <v>29</v>
      </c>
      <c r="G185" s="31" t="n">
        <v>46219</v>
      </c>
      <c r="H185" s="31" t="n">
        <v>46233</v>
      </c>
      <c r="I185" s="32" t="n">
        <v>14</v>
      </c>
      <c r="J185" s="30"/>
    </row>
    <row r="186" customFormat="false" ht="15" hidden="false" customHeight="false" outlineLevel="0" collapsed="false">
      <c r="A186" s="30" t="s">
        <v>51</v>
      </c>
      <c r="B186" s="30" t="s">
        <v>353</v>
      </c>
      <c r="C186" s="30" t="s">
        <v>947</v>
      </c>
      <c r="D186" s="30"/>
      <c r="E186" s="30" t="s">
        <v>719</v>
      </c>
      <c r="F186" s="30" t="s">
        <v>29</v>
      </c>
      <c r="G186" s="31" t="n">
        <v>46219</v>
      </c>
      <c r="H186" s="31" t="n">
        <v>46233</v>
      </c>
      <c r="I186" s="32" t="n">
        <v>14</v>
      </c>
      <c r="J186" s="30"/>
    </row>
    <row r="187" customFormat="false" ht="15" hidden="false" customHeight="false" outlineLevel="0" collapsed="false">
      <c r="A187" s="30" t="s">
        <v>51</v>
      </c>
      <c r="B187" s="30" t="s">
        <v>353</v>
      </c>
      <c r="C187" s="30" t="s">
        <v>948</v>
      </c>
      <c r="D187" s="30"/>
      <c r="E187" s="30" t="s">
        <v>719</v>
      </c>
      <c r="F187" s="30" t="s">
        <v>29</v>
      </c>
      <c r="G187" s="31" t="n">
        <v>46219</v>
      </c>
      <c r="H187" s="31" t="n">
        <v>46233</v>
      </c>
      <c r="I187" s="32" t="n">
        <v>14</v>
      </c>
      <c r="J187" s="30"/>
    </row>
    <row r="188" customFormat="false" ht="15" hidden="false" customHeight="false" outlineLevel="0" collapsed="false">
      <c r="A188" s="30" t="s">
        <v>51</v>
      </c>
      <c r="B188" s="30" t="s">
        <v>353</v>
      </c>
      <c r="C188" s="30" t="s">
        <v>949</v>
      </c>
      <c r="D188" s="30"/>
      <c r="E188" s="30" t="s">
        <v>719</v>
      </c>
      <c r="F188" s="30" t="s">
        <v>29</v>
      </c>
      <c r="G188" s="31" t="n">
        <v>46219</v>
      </c>
      <c r="H188" s="31" t="n">
        <v>46233</v>
      </c>
      <c r="I188" s="32" t="n">
        <v>14</v>
      </c>
      <c r="J188" s="30"/>
    </row>
    <row r="189" customFormat="false" ht="15" hidden="false" customHeight="false" outlineLevel="0" collapsed="false">
      <c r="A189" s="30" t="s">
        <v>51</v>
      </c>
      <c r="B189" s="30" t="s">
        <v>353</v>
      </c>
      <c r="C189" s="30" t="s">
        <v>950</v>
      </c>
      <c r="D189" s="30"/>
      <c r="E189" s="30" t="s">
        <v>719</v>
      </c>
      <c r="F189" s="30" t="s">
        <v>29</v>
      </c>
      <c r="G189" s="31" t="n">
        <v>46219</v>
      </c>
      <c r="H189" s="31" t="n">
        <v>46233</v>
      </c>
      <c r="I189" s="32" t="n">
        <v>14</v>
      </c>
      <c r="J189" s="30"/>
    </row>
    <row r="190" customFormat="false" ht="15" hidden="false" customHeight="false" outlineLevel="0" collapsed="false">
      <c r="A190" s="30" t="s">
        <v>51</v>
      </c>
      <c r="B190" s="30" t="s">
        <v>353</v>
      </c>
      <c r="C190" s="30" t="s">
        <v>951</v>
      </c>
      <c r="D190" s="30"/>
      <c r="E190" s="30" t="s">
        <v>719</v>
      </c>
      <c r="F190" s="30" t="s">
        <v>29</v>
      </c>
      <c r="G190" s="31" t="n">
        <v>46219</v>
      </c>
      <c r="H190" s="31" t="n">
        <v>46233</v>
      </c>
      <c r="I190" s="32" t="n">
        <v>14</v>
      </c>
      <c r="J190" s="30"/>
    </row>
    <row r="191" customFormat="false" ht="15" hidden="false" customHeight="false" outlineLevel="0" collapsed="false">
      <c r="A191" s="30" t="s">
        <v>51</v>
      </c>
      <c r="B191" s="30" t="s">
        <v>353</v>
      </c>
      <c r="C191" s="30" t="s">
        <v>952</v>
      </c>
      <c r="D191" s="30"/>
      <c r="E191" s="30" t="s">
        <v>719</v>
      </c>
      <c r="F191" s="30" t="s">
        <v>29</v>
      </c>
      <c r="G191" s="31" t="n">
        <v>46219</v>
      </c>
      <c r="H191" s="31" t="n">
        <v>46233</v>
      </c>
      <c r="I191" s="32" t="n">
        <v>14</v>
      </c>
      <c r="J191" s="30"/>
    </row>
    <row r="192" customFormat="false" ht="15" hidden="false" customHeight="false" outlineLevel="0" collapsed="false">
      <c r="A192" s="30" t="s">
        <v>51</v>
      </c>
      <c r="B192" s="30" t="s">
        <v>353</v>
      </c>
      <c r="C192" s="30" t="s">
        <v>953</v>
      </c>
      <c r="D192" s="30"/>
      <c r="E192" s="30" t="s">
        <v>719</v>
      </c>
      <c r="F192" s="30" t="s">
        <v>29</v>
      </c>
      <c r="G192" s="31" t="n">
        <v>46219</v>
      </c>
      <c r="H192" s="31" t="n">
        <v>46233</v>
      </c>
      <c r="I192" s="32" t="n">
        <v>14</v>
      </c>
      <c r="J192" s="30"/>
    </row>
    <row r="193" customFormat="false" ht="15" hidden="false" customHeight="false" outlineLevel="0" collapsed="false">
      <c r="A193" s="30" t="s">
        <v>51</v>
      </c>
      <c r="B193" s="30" t="s">
        <v>353</v>
      </c>
      <c r="C193" s="30" t="s">
        <v>954</v>
      </c>
      <c r="D193" s="30"/>
      <c r="E193" s="30" t="s">
        <v>719</v>
      </c>
      <c r="F193" s="30" t="s">
        <v>29</v>
      </c>
      <c r="G193" s="31" t="n">
        <v>46219</v>
      </c>
      <c r="H193" s="31" t="n">
        <v>46233</v>
      </c>
      <c r="I193" s="32" t="n">
        <v>14</v>
      </c>
      <c r="J193" s="30"/>
    </row>
    <row r="194" customFormat="false" ht="15" hidden="false" customHeight="false" outlineLevel="0" collapsed="false">
      <c r="A194" s="30" t="s">
        <v>51</v>
      </c>
      <c r="B194" s="30" t="s">
        <v>353</v>
      </c>
      <c r="C194" s="30" t="s">
        <v>955</v>
      </c>
      <c r="D194" s="30"/>
      <c r="E194" s="30" t="s">
        <v>719</v>
      </c>
      <c r="F194" s="30" t="s">
        <v>29</v>
      </c>
      <c r="G194" s="31" t="n">
        <v>46219</v>
      </c>
      <c r="H194" s="31" t="n">
        <v>46233</v>
      </c>
      <c r="I194" s="32" t="n">
        <v>14</v>
      </c>
      <c r="J194" s="30"/>
    </row>
    <row r="195" customFormat="false" ht="15" hidden="false" customHeight="false" outlineLevel="0" collapsed="false">
      <c r="A195" s="30" t="s">
        <v>51</v>
      </c>
      <c r="B195" s="30" t="s">
        <v>353</v>
      </c>
      <c r="C195" s="30" t="s">
        <v>956</v>
      </c>
      <c r="D195" s="30"/>
      <c r="E195" s="30" t="s">
        <v>719</v>
      </c>
      <c r="F195" s="30" t="s">
        <v>29</v>
      </c>
      <c r="G195" s="31" t="n">
        <v>46219</v>
      </c>
      <c r="H195" s="31" t="n">
        <v>46233</v>
      </c>
      <c r="I195" s="32" t="n">
        <v>14</v>
      </c>
      <c r="J195" s="30"/>
    </row>
    <row r="196" customFormat="false" ht="15" hidden="false" customHeight="false" outlineLevel="0" collapsed="false">
      <c r="A196" s="30" t="s">
        <v>51</v>
      </c>
      <c r="B196" s="30" t="s">
        <v>353</v>
      </c>
      <c r="C196" s="30" t="s">
        <v>957</v>
      </c>
      <c r="D196" s="30"/>
      <c r="E196" s="30" t="s">
        <v>719</v>
      </c>
      <c r="F196" s="30" t="s">
        <v>29</v>
      </c>
      <c r="G196" s="31" t="n">
        <v>46219</v>
      </c>
      <c r="H196" s="31" t="n">
        <v>46233</v>
      </c>
      <c r="I196" s="32" t="n">
        <v>14</v>
      </c>
      <c r="J196" s="30"/>
    </row>
    <row r="197" customFormat="false" ht="15" hidden="false" customHeight="false" outlineLevel="0" collapsed="false">
      <c r="A197" s="30" t="s">
        <v>51</v>
      </c>
      <c r="B197" s="30" t="s">
        <v>353</v>
      </c>
      <c r="C197" s="30" t="s">
        <v>958</v>
      </c>
      <c r="D197" s="30"/>
      <c r="E197" s="30" t="s">
        <v>719</v>
      </c>
      <c r="F197" s="30" t="s">
        <v>29</v>
      </c>
      <c r="G197" s="31" t="n">
        <v>46219</v>
      </c>
      <c r="H197" s="31" t="n">
        <v>46233</v>
      </c>
      <c r="I197" s="32" t="n">
        <v>14</v>
      </c>
      <c r="J197" s="30"/>
    </row>
    <row r="198" customFormat="false" ht="15" hidden="false" customHeight="false" outlineLevel="0" collapsed="false">
      <c r="A198" s="30" t="s">
        <v>51</v>
      </c>
      <c r="B198" s="30" t="s">
        <v>353</v>
      </c>
      <c r="C198" s="30" t="s">
        <v>959</v>
      </c>
      <c r="D198" s="30"/>
      <c r="E198" s="30" t="s">
        <v>719</v>
      </c>
      <c r="F198" s="30" t="s">
        <v>29</v>
      </c>
      <c r="G198" s="31" t="n">
        <v>46219</v>
      </c>
      <c r="H198" s="31" t="n">
        <v>46233</v>
      </c>
      <c r="I198" s="32" t="n">
        <v>14</v>
      </c>
      <c r="J198" s="30"/>
    </row>
    <row r="199" customFormat="false" ht="15" hidden="false" customHeight="false" outlineLevel="0" collapsed="false">
      <c r="A199" s="30" t="s">
        <v>51</v>
      </c>
      <c r="B199" s="30" t="s">
        <v>353</v>
      </c>
      <c r="C199" s="30" t="s">
        <v>960</v>
      </c>
      <c r="D199" s="30"/>
      <c r="E199" s="30" t="s">
        <v>719</v>
      </c>
      <c r="F199" s="30" t="s">
        <v>29</v>
      </c>
      <c r="G199" s="31" t="n">
        <v>46219</v>
      </c>
      <c r="H199" s="31" t="n">
        <v>46233</v>
      </c>
      <c r="I199" s="32" t="n">
        <v>14</v>
      </c>
      <c r="J199" s="30"/>
    </row>
    <row r="200" customFormat="false" ht="15" hidden="false" customHeight="false" outlineLevel="0" collapsed="false">
      <c r="A200" s="30" t="s">
        <v>51</v>
      </c>
      <c r="B200" s="30" t="s">
        <v>905</v>
      </c>
      <c r="C200" s="30" t="s">
        <v>961</v>
      </c>
      <c r="D200" s="30"/>
      <c r="E200" s="30" t="s">
        <v>719</v>
      </c>
      <c r="F200" s="30" t="s">
        <v>29</v>
      </c>
      <c r="G200" s="31" t="n">
        <v>46219</v>
      </c>
      <c r="H200" s="31" t="n">
        <v>46233</v>
      </c>
      <c r="I200" s="32" t="n">
        <v>14</v>
      </c>
      <c r="J200" s="30"/>
    </row>
    <row r="201" customFormat="false" ht="15" hidden="false" customHeight="false" outlineLevel="0" collapsed="false">
      <c r="A201" s="30" t="s">
        <v>51</v>
      </c>
      <c r="B201" s="30" t="s">
        <v>905</v>
      </c>
      <c r="C201" s="30" t="s">
        <v>962</v>
      </c>
      <c r="D201" s="30"/>
      <c r="E201" s="30" t="s">
        <v>719</v>
      </c>
      <c r="F201" s="30" t="s">
        <v>29</v>
      </c>
      <c r="G201" s="31" t="n">
        <v>46219</v>
      </c>
      <c r="H201" s="31" t="n">
        <v>46233</v>
      </c>
      <c r="I201" s="32" t="n">
        <v>14</v>
      </c>
      <c r="J201" s="30"/>
    </row>
    <row r="202" customFormat="false" ht="15" hidden="false" customHeight="false" outlineLevel="0" collapsed="false">
      <c r="A202" s="30" t="s">
        <v>51</v>
      </c>
      <c r="B202" s="30" t="s">
        <v>905</v>
      </c>
      <c r="C202" s="30" t="s">
        <v>963</v>
      </c>
      <c r="D202" s="30"/>
      <c r="E202" s="30" t="s">
        <v>719</v>
      </c>
      <c r="F202" s="30" t="s">
        <v>29</v>
      </c>
      <c r="G202" s="31" t="n">
        <v>46219</v>
      </c>
      <c r="H202" s="31" t="n">
        <v>46233</v>
      </c>
      <c r="I202" s="32" t="n">
        <v>14</v>
      </c>
      <c r="J202" s="30"/>
    </row>
    <row r="203" customFormat="false" ht="15" hidden="false" customHeight="false" outlineLevel="0" collapsed="false">
      <c r="A203" s="30" t="s">
        <v>51</v>
      </c>
      <c r="B203" s="30" t="s">
        <v>905</v>
      </c>
      <c r="C203" s="30" t="s">
        <v>964</v>
      </c>
      <c r="D203" s="30"/>
      <c r="E203" s="30" t="s">
        <v>719</v>
      </c>
      <c r="F203" s="30" t="s">
        <v>29</v>
      </c>
      <c r="G203" s="31" t="n">
        <v>46219</v>
      </c>
      <c r="H203" s="31" t="n">
        <v>46233</v>
      </c>
      <c r="I203" s="32" t="n">
        <v>14</v>
      </c>
      <c r="J203" s="30"/>
    </row>
    <row r="204" customFormat="false" ht="15" hidden="false" customHeight="false" outlineLevel="0" collapsed="false">
      <c r="A204" s="30" t="s">
        <v>51</v>
      </c>
      <c r="B204" s="30" t="s">
        <v>905</v>
      </c>
      <c r="C204" s="30" t="s">
        <v>965</v>
      </c>
      <c r="D204" s="30"/>
      <c r="E204" s="30" t="s">
        <v>719</v>
      </c>
      <c r="F204" s="30" t="s">
        <v>29</v>
      </c>
      <c r="G204" s="31" t="n">
        <v>46219</v>
      </c>
      <c r="H204" s="31" t="n">
        <v>46233</v>
      </c>
      <c r="I204" s="32" t="n">
        <v>14</v>
      </c>
      <c r="J204" s="30"/>
    </row>
    <row r="205" customFormat="false" ht="15" hidden="false" customHeight="false" outlineLevel="0" collapsed="false">
      <c r="A205" s="30" t="s">
        <v>51</v>
      </c>
      <c r="B205" s="30" t="s">
        <v>905</v>
      </c>
      <c r="C205" s="30" t="s">
        <v>966</v>
      </c>
      <c r="D205" s="30"/>
      <c r="E205" s="30" t="s">
        <v>719</v>
      </c>
      <c r="F205" s="30" t="s">
        <v>29</v>
      </c>
      <c r="G205" s="31" t="n">
        <v>46219</v>
      </c>
      <c r="H205" s="31" t="n">
        <v>46233</v>
      </c>
      <c r="I205" s="32" t="n">
        <v>14</v>
      </c>
      <c r="J205" s="30"/>
    </row>
    <row r="206" customFormat="false" ht="15" hidden="false" customHeight="false" outlineLevel="0" collapsed="false">
      <c r="A206" s="30" t="s">
        <v>51</v>
      </c>
      <c r="B206" s="30" t="s">
        <v>905</v>
      </c>
      <c r="C206" s="30" t="s">
        <v>967</v>
      </c>
      <c r="D206" s="30"/>
      <c r="E206" s="30" t="s">
        <v>719</v>
      </c>
      <c r="F206" s="30" t="s">
        <v>29</v>
      </c>
      <c r="G206" s="31" t="n">
        <v>46219</v>
      </c>
      <c r="H206" s="31" t="n">
        <v>46233</v>
      </c>
      <c r="I206" s="32" t="n">
        <v>14</v>
      </c>
      <c r="J206" s="30"/>
    </row>
    <row r="207" customFormat="false" ht="15" hidden="false" customHeight="false" outlineLevel="0" collapsed="false">
      <c r="A207" s="30" t="s">
        <v>51</v>
      </c>
      <c r="B207" s="30" t="s">
        <v>905</v>
      </c>
      <c r="C207" s="30" t="s">
        <v>968</v>
      </c>
      <c r="D207" s="30"/>
      <c r="E207" s="30" t="s">
        <v>719</v>
      </c>
      <c r="F207" s="30" t="s">
        <v>29</v>
      </c>
      <c r="G207" s="31" t="n">
        <v>46219</v>
      </c>
      <c r="H207" s="31" t="n">
        <v>46233</v>
      </c>
      <c r="I207" s="32" t="n">
        <v>14</v>
      </c>
      <c r="J207" s="30"/>
    </row>
    <row r="208" customFormat="false" ht="15" hidden="false" customHeight="false" outlineLevel="0" collapsed="false">
      <c r="A208" s="30" t="s">
        <v>51</v>
      </c>
      <c r="B208" s="30" t="s">
        <v>905</v>
      </c>
      <c r="C208" s="30" t="s">
        <v>969</v>
      </c>
      <c r="D208" s="30"/>
      <c r="E208" s="30" t="s">
        <v>719</v>
      </c>
      <c r="F208" s="30" t="s">
        <v>29</v>
      </c>
      <c r="G208" s="31" t="n">
        <v>46219</v>
      </c>
      <c r="H208" s="31" t="n">
        <v>46233</v>
      </c>
      <c r="I208" s="32" t="n">
        <v>14</v>
      </c>
      <c r="J208" s="30"/>
    </row>
    <row r="209" customFormat="false" ht="15" hidden="false" customHeight="false" outlineLevel="0" collapsed="false">
      <c r="A209" s="30" t="s">
        <v>51</v>
      </c>
      <c r="B209" s="30" t="s">
        <v>905</v>
      </c>
      <c r="C209" s="30" t="s">
        <v>970</v>
      </c>
      <c r="D209" s="30"/>
      <c r="E209" s="30" t="s">
        <v>719</v>
      </c>
      <c r="F209" s="30" t="s">
        <v>29</v>
      </c>
      <c r="G209" s="31" t="n">
        <v>46219</v>
      </c>
      <c r="H209" s="31" t="n">
        <v>46233</v>
      </c>
      <c r="I209" s="32" t="n">
        <v>14</v>
      </c>
      <c r="J209" s="30"/>
    </row>
    <row r="210" customFormat="false" ht="15" hidden="false" customHeight="false" outlineLevel="0" collapsed="false">
      <c r="A210" s="30" t="s">
        <v>51</v>
      </c>
      <c r="B210" s="30" t="s">
        <v>905</v>
      </c>
      <c r="C210" s="30" t="s">
        <v>971</v>
      </c>
      <c r="D210" s="30"/>
      <c r="E210" s="30" t="s">
        <v>719</v>
      </c>
      <c r="F210" s="30" t="s">
        <v>29</v>
      </c>
      <c r="G210" s="31" t="n">
        <v>46219</v>
      </c>
      <c r="H210" s="31" t="n">
        <v>46233</v>
      </c>
      <c r="I210" s="32" t="n">
        <v>14</v>
      </c>
      <c r="J210" s="30"/>
    </row>
    <row r="211" customFormat="false" ht="15" hidden="false" customHeight="false" outlineLevel="0" collapsed="false">
      <c r="A211" s="30" t="s">
        <v>51</v>
      </c>
      <c r="B211" s="30" t="s">
        <v>905</v>
      </c>
      <c r="C211" s="30" t="s">
        <v>972</v>
      </c>
      <c r="D211" s="30"/>
      <c r="E211" s="30" t="s">
        <v>719</v>
      </c>
      <c r="F211" s="30" t="s">
        <v>29</v>
      </c>
      <c r="G211" s="31" t="n">
        <v>46219</v>
      </c>
      <c r="H211" s="31" t="n">
        <v>46233</v>
      </c>
      <c r="I211" s="32" t="n">
        <v>14</v>
      </c>
      <c r="J211" s="30"/>
    </row>
    <row r="212" customFormat="false" ht="15" hidden="false" customHeight="false" outlineLevel="0" collapsed="false">
      <c r="A212" s="30" t="s">
        <v>51</v>
      </c>
      <c r="B212" s="30" t="s">
        <v>905</v>
      </c>
      <c r="C212" s="30" t="s">
        <v>973</v>
      </c>
      <c r="D212" s="30"/>
      <c r="E212" s="30" t="s">
        <v>719</v>
      </c>
      <c r="F212" s="30" t="s">
        <v>29</v>
      </c>
      <c r="G212" s="31" t="n">
        <v>46219</v>
      </c>
      <c r="H212" s="31" t="n">
        <v>46233</v>
      </c>
      <c r="I212" s="32" t="n">
        <v>14</v>
      </c>
      <c r="J212" s="30"/>
    </row>
    <row r="213" customFormat="false" ht="15" hidden="false" customHeight="false" outlineLevel="0" collapsed="false">
      <c r="A213" s="30" t="s">
        <v>51</v>
      </c>
      <c r="B213" s="30" t="s">
        <v>905</v>
      </c>
      <c r="C213" s="30" t="s">
        <v>974</v>
      </c>
      <c r="D213" s="30"/>
      <c r="E213" s="30" t="s">
        <v>719</v>
      </c>
      <c r="F213" s="30" t="s">
        <v>29</v>
      </c>
      <c r="G213" s="31" t="n">
        <v>46219</v>
      </c>
      <c r="H213" s="31" t="n">
        <v>46233</v>
      </c>
      <c r="I213" s="32" t="n">
        <v>14</v>
      </c>
      <c r="J213" s="30"/>
    </row>
    <row r="214" customFormat="false" ht="15" hidden="false" customHeight="false" outlineLevel="0" collapsed="false">
      <c r="A214" s="30" t="s">
        <v>51</v>
      </c>
      <c r="B214" s="30" t="s">
        <v>905</v>
      </c>
      <c r="C214" s="30" t="s">
        <v>975</v>
      </c>
      <c r="D214" s="30"/>
      <c r="E214" s="30" t="s">
        <v>719</v>
      </c>
      <c r="F214" s="30" t="s">
        <v>29</v>
      </c>
      <c r="G214" s="31" t="n">
        <v>46219</v>
      </c>
      <c r="H214" s="31" t="n">
        <v>46233</v>
      </c>
      <c r="I214" s="32" t="n">
        <v>14</v>
      </c>
      <c r="J214" s="30"/>
    </row>
    <row r="215" customFormat="false" ht="15" hidden="false" customHeight="false" outlineLevel="0" collapsed="false">
      <c r="A215" s="30" t="s">
        <v>51</v>
      </c>
      <c r="B215" s="30" t="s">
        <v>353</v>
      </c>
      <c r="C215" s="30" t="s">
        <v>976</v>
      </c>
      <c r="D215" s="30"/>
      <c r="E215" s="30" t="s">
        <v>719</v>
      </c>
      <c r="F215" s="30" t="s">
        <v>29</v>
      </c>
      <c r="G215" s="31" t="n">
        <v>46219</v>
      </c>
      <c r="H215" s="31" t="n">
        <v>46233</v>
      </c>
      <c r="I215" s="32" t="n">
        <v>14</v>
      </c>
      <c r="J215" s="30"/>
    </row>
    <row r="216" customFormat="false" ht="15" hidden="false" customHeight="false" outlineLevel="0" collapsed="false">
      <c r="A216" s="30" t="s">
        <v>51</v>
      </c>
      <c r="B216" s="30" t="s">
        <v>353</v>
      </c>
      <c r="C216" s="30" t="s">
        <v>977</v>
      </c>
      <c r="D216" s="30"/>
      <c r="E216" s="30" t="s">
        <v>719</v>
      </c>
      <c r="F216" s="30" t="s">
        <v>29</v>
      </c>
      <c r="G216" s="31" t="n">
        <v>46219</v>
      </c>
      <c r="H216" s="31" t="n">
        <v>46233</v>
      </c>
      <c r="I216" s="32" t="n">
        <v>14</v>
      </c>
      <c r="J216" s="30"/>
    </row>
    <row r="217" customFormat="false" ht="15" hidden="false" customHeight="false" outlineLevel="0" collapsed="false">
      <c r="A217" s="30" t="s">
        <v>51</v>
      </c>
      <c r="B217" s="30" t="s">
        <v>353</v>
      </c>
      <c r="C217" s="30" t="s">
        <v>978</v>
      </c>
      <c r="D217" s="30"/>
      <c r="E217" s="30" t="s">
        <v>719</v>
      </c>
      <c r="F217" s="30" t="s">
        <v>29</v>
      </c>
      <c r="G217" s="31" t="n">
        <v>46219</v>
      </c>
      <c r="H217" s="31" t="n">
        <v>46233</v>
      </c>
      <c r="I217" s="32" t="n">
        <v>14</v>
      </c>
      <c r="J217" s="30"/>
    </row>
    <row r="218" customFormat="false" ht="15" hidden="false" customHeight="false" outlineLevel="0" collapsed="false">
      <c r="A218" s="30" t="s">
        <v>51</v>
      </c>
      <c r="B218" s="30" t="s">
        <v>353</v>
      </c>
      <c r="C218" s="30" t="s">
        <v>979</v>
      </c>
      <c r="D218" s="30"/>
      <c r="E218" s="30" t="s">
        <v>719</v>
      </c>
      <c r="F218" s="30" t="s">
        <v>29</v>
      </c>
      <c r="G218" s="31" t="n">
        <v>46219</v>
      </c>
      <c r="H218" s="31" t="n">
        <v>46233</v>
      </c>
      <c r="I218" s="32" t="n">
        <v>14</v>
      </c>
      <c r="J218" s="30"/>
    </row>
    <row r="219" customFormat="false" ht="15" hidden="false" customHeight="false" outlineLevel="0" collapsed="false">
      <c r="A219" s="30" t="s">
        <v>51</v>
      </c>
      <c r="B219" s="30" t="s">
        <v>353</v>
      </c>
      <c r="C219" s="30" t="s">
        <v>980</v>
      </c>
      <c r="D219" s="30"/>
      <c r="E219" s="30" t="s">
        <v>719</v>
      </c>
      <c r="F219" s="30" t="s">
        <v>29</v>
      </c>
      <c r="G219" s="31" t="n">
        <v>46219</v>
      </c>
      <c r="H219" s="31" t="n">
        <v>46233</v>
      </c>
      <c r="I219" s="32" t="n">
        <v>14</v>
      </c>
      <c r="J219" s="30"/>
    </row>
    <row r="220" customFormat="false" ht="15" hidden="false" customHeight="false" outlineLevel="0" collapsed="false">
      <c r="A220" s="30" t="s">
        <v>51</v>
      </c>
      <c r="B220" s="30" t="s">
        <v>353</v>
      </c>
      <c r="C220" s="30" t="s">
        <v>981</v>
      </c>
      <c r="D220" s="30"/>
      <c r="E220" s="30" t="s">
        <v>719</v>
      </c>
      <c r="F220" s="30" t="s">
        <v>29</v>
      </c>
      <c r="G220" s="31" t="n">
        <v>46219</v>
      </c>
      <c r="H220" s="31" t="n">
        <v>46233</v>
      </c>
      <c r="I220" s="32" t="n">
        <v>14</v>
      </c>
      <c r="J220" s="30"/>
    </row>
    <row r="221" customFormat="false" ht="15" hidden="false" customHeight="false" outlineLevel="0" collapsed="false">
      <c r="A221" s="30" t="s">
        <v>61</v>
      </c>
      <c r="B221" s="30" t="s">
        <v>792</v>
      </c>
      <c r="C221" s="30" t="s">
        <v>982</v>
      </c>
      <c r="D221" s="30"/>
      <c r="E221" s="30" t="s">
        <v>847</v>
      </c>
      <c r="F221" s="30" t="s">
        <v>107</v>
      </c>
      <c r="G221" s="31" t="n">
        <v>46217</v>
      </c>
      <c r="H221" s="31" t="n">
        <v>46233</v>
      </c>
      <c r="I221" s="32" t="n">
        <v>16</v>
      </c>
      <c r="J221" s="30"/>
    </row>
    <row r="222" customFormat="false" ht="15" hidden="false" customHeight="false" outlineLevel="0" collapsed="false">
      <c r="A222" s="30" t="s">
        <v>61</v>
      </c>
      <c r="B222" s="30" t="s">
        <v>792</v>
      </c>
      <c r="C222" s="30" t="s">
        <v>983</v>
      </c>
      <c r="D222" s="30"/>
      <c r="E222" s="30" t="s">
        <v>847</v>
      </c>
      <c r="F222" s="30" t="s">
        <v>107</v>
      </c>
      <c r="G222" s="31" t="n">
        <v>46217</v>
      </c>
      <c r="H222" s="31" t="n">
        <v>46233</v>
      </c>
      <c r="I222" s="32" t="n">
        <v>16</v>
      </c>
      <c r="J222" s="30"/>
    </row>
    <row r="223" customFormat="false" ht="15" hidden="false" customHeight="false" outlineLevel="0" collapsed="false">
      <c r="A223" s="30" t="s">
        <v>61</v>
      </c>
      <c r="B223" s="30" t="s">
        <v>792</v>
      </c>
      <c r="C223" s="30" t="s">
        <v>984</v>
      </c>
      <c r="D223" s="30"/>
      <c r="E223" s="30" t="s">
        <v>847</v>
      </c>
      <c r="F223" s="30" t="s">
        <v>107</v>
      </c>
      <c r="G223" s="31" t="n">
        <v>46217</v>
      </c>
      <c r="H223" s="31" t="n">
        <v>46233</v>
      </c>
      <c r="I223" s="32" t="n">
        <v>16</v>
      </c>
      <c r="J223" s="30"/>
    </row>
    <row r="224" customFormat="false" ht="15" hidden="false" customHeight="false" outlineLevel="0" collapsed="false">
      <c r="A224" s="30" t="s">
        <v>61</v>
      </c>
      <c r="B224" s="30" t="s">
        <v>792</v>
      </c>
      <c r="C224" s="30" t="s">
        <v>985</v>
      </c>
      <c r="D224" s="30"/>
      <c r="E224" s="30" t="s">
        <v>847</v>
      </c>
      <c r="F224" s="30" t="s">
        <v>107</v>
      </c>
      <c r="G224" s="31" t="n">
        <v>46217</v>
      </c>
      <c r="H224" s="31" t="n">
        <v>46233</v>
      </c>
      <c r="I224" s="32" t="n">
        <v>16</v>
      </c>
      <c r="J224" s="30"/>
    </row>
    <row r="225" customFormat="false" ht="15" hidden="false" customHeight="false" outlineLevel="0" collapsed="false">
      <c r="A225" s="30" t="s">
        <v>61</v>
      </c>
      <c r="B225" s="30" t="s">
        <v>786</v>
      </c>
      <c r="C225" s="30" t="s">
        <v>986</v>
      </c>
      <c r="D225" s="30"/>
      <c r="E225" s="30" t="s">
        <v>847</v>
      </c>
      <c r="F225" s="30" t="s">
        <v>107</v>
      </c>
      <c r="G225" s="31" t="n">
        <v>46217</v>
      </c>
      <c r="H225" s="31" t="n">
        <v>46233</v>
      </c>
      <c r="I225" s="32" t="n">
        <v>16</v>
      </c>
      <c r="J225" s="30"/>
    </row>
    <row r="226" customFormat="false" ht="15" hidden="false" customHeight="false" outlineLevel="0" collapsed="false">
      <c r="A226" s="30" t="s">
        <v>61</v>
      </c>
      <c r="B226" s="30" t="s">
        <v>786</v>
      </c>
      <c r="C226" s="30" t="s">
        <v>987</v>
      </c>
      <c r="D226" s="30"/>
      <c r="E226" s="30" t="s">
        <v>847</v>
      </c>
      <c r="F226" s="30" t="s">
        <v>107</v>
      </c>
      <c r="G226" s="31" t="n">
        <v>46217</v>
      </c>
      <c r="H226" s="31" t="n">
        <v>46233</v>
      </c>
      <c r="I226" s="32" t="n">
        <v>16</v>
      </c>
      <c r="J226" s="30"/>
    </row>
    <row r="227" customFormat="false" ht="15" hidden="false" customHeight="false" outlineLevel="0" collapsed="false">
      <c r="A227" s="30" t="s">
        <v>61</v>
      </c>
      <c r="B227" s="30" t="s">
        <v>786</v>
      </c>
      <c r="C227" s="30" t="s">
        <v>988</v>
      </c>
      <c r="D227" s="30"/>
      <c r="E227" s="30" t="s">
        <v>847</v>
      </c>
      <c r="F227" s="30" t="s">
        <v>107</v>
      </c>
      <c r="G227" s="31" t="n">
        <v>46217</v>
      </c>
      <c r="H227" s="31" t="n">
        <v>46233</v>
      </c>
      <c r="I227" s="32" t="n">
        <v>16</v>
      </c>
      <c r="J227" s="30"/>
    </row>
    <row r="228" customFormat="false" ht="15" hidden="false" customHeight="false" outlineLevel="0" collapsed="false">
      <c r="A228" s="30" t="s">
        <v>61</v>
      </c>
      <c r="B228" s="30" t="s">
        <v>786</v>
      </c>
      <c r="C228" s="30" t="s">
        <v>989</v>
      </c>
      <c r="D228" s="30"/>
      <c r="E228" s="30" t="s">
        <v>847</v>
      </c>
      <c r="F228" s="30" t="s">
        <v>107</v>
      </c>
      <c r="G228" s="31" t="n">
        <v>46217</v>
      </c>
      <c r="H228" s="31" t="n">
        <v>46233</v>
      </c>
      <c r="I228" s="32" t="n">
        <v>16</v>
      </c>
      <c r="J228" s="30"/>
    </row>
    <row r="229" customFormat="false" ht="15" hidden="false" customHeight="false" outlineLevel="0" collapsed="false">
      <c r="A229" s="30" t="s">
        <v>61</v>
      </c>
      <c r="B229" s="30" t="s">
        <v>786</v>
      </c>
      <c r="C229" s="30" t="s">
        <v>990</v>
      </c>
      <c r="D229" s="30"/>
      <c r="E229" s="30" t="s">
        <v>847</v>
      </c>
      <c r="F229" s="30" t="s">
        <v>107</v>
      </c>
      <c r="G229" s="31" t="n">
        <v>46217</v>
      </c>
      <c r="H229" s="31" t="n">
        <v>46233</v>
      </c>
      <c r="I229" s="32" t="n">
        <v>16</v>
      </c>
      <c r="J229" s="30"/>
    </row>
    <row r="230" customFormat="false" ht="15" hidden="false" customHeight="false" outlineLevel="0" collapsed="false">
      <c r="A230" s="30" t="s">
        <v>61</v>
      </c>
      <c r="B230" s="30" t="s">
        <v>786</v>
      </c>
      <c r="C230" s="30" t="s">
        <v>991</v>
      </c>
      <c r="D230" s="30"/>
      <c r="E230" s="30" t="s">
        <v>847</v>
      </c>
      <c r="F230" s="30" t="s">
        <v>107</v>
      </c>
      <c r="G230" s="31" t="n">
        <v>46217</v>
      </c>
      <c r="H230" s="31" t="n">
        <v>46233</v>
      </c>
      <c r="I230" s="32" t="n">
        <v>16</v>
      </c>
      <c r="J230" s="30"/>
    </row>
    <row r="231" customFormat="false" ht="15" hidden="false" customHeight="false" outlineLevel="0" collapsed="false">
      <c r="A231" s="30" t="s">
        <v>61</v>
      </c>
      <c r="B231" s="30" t="s">
        <v>786</v>
      </c>
      <c r="C231" s="30" t="s">
        <v>992</v>
      </c>
      <c r="D231" s="30"/>
      <c r="E231" s="30" t="s">
        <v>847</v>
      </c>
      <c r="F231" s="30" t="s">
        <v>107</v>
      </c>
      <c r="G231" s="31" t="n">
        <v>46217</v>
      </c>
      <c r="H231" s="31" t="n">
        <v>46233</v>
      </c>
      <c r="I231" s="32" t="n">
        <v>16</v>
      </c>
      <c r="J231" s="30"/>
    </row>
    <row r="232" customFormat="false" ht="15" hidden="false" customHeight="false" outlineLevel="0" collapsed="false">
      <c r="A232" s="30" t="s">
        <v>61</v>
      </c>
      <c r="B232" s="30" t="s">
        <v>789</v>
      </c>
      <c r="C232" s="30" t="s">
        <v>993</v>
      </c>
      <c r="D232" s="30"/>
      <c r="E232" s="30" t="s">
        <v>847</v>
      </c>
      <c r="F232" s="30" t="s">
        <v>107</v>
      </c>
      <c r="G232" s="31" t="n">
        <v>46217</v>
      </c>
      <c r="H232" s="31" t="n">
        <v>46233</v>
      </c>
      <c r="I232" s="32" t="n">
        <v>16</v>
      </c>
      <c r="J232" s="30"/>
    </row>
    <row r="233" customFormat="false" ht="15" hidden="false" customHeight="false" outlineLevel="0" collapsed="false">
      <c r="A233" s="30" t="s">
        <v>61</v>
      </c>
      <c r="B233" s="30" t="s">
        <v>789</v>
      </c>
      <c r="C233" s="30" t="s">
        <v>994</v>
      </c>
      <c r="D233" s="30"/>
      <c r="E233" s="30" t="s">
        <v>847</v>
      </c>
      <c r="F233" s="30" t="s">
        <v>107</v>
      </c>
      <c r="G233" s="31" t="n">
        <v>46217</v>
      </c>
      <c r="H233" s="31" t="n">
        <v>46233</v>
      </c>
      <c r="I233" s="32" t="n">
        <v>16</v>
      </c>
      <c r="J233" s="30"/>
    </row>
    <row r="234" customFormat="false" ht="15" hidden="false" customHeight="false" outlineLevel="0" collapsed="false">
      <c r="A234" s="30" t="s">
        <v>61</v>
      </c>
      <c r="B234" s="30" t="s">
        <v>789</v>
      </c>
      <c r="C234" s="30" t="s">
        <v>995</v>
      </c>
      <c r="D234" s="30"/>
      <c r="E234" s="30" t="s">
        <v>847</v>
      </c>
      <c r="F234" s="30" t="s">
        <v>107</v>
      </c>
      <c r="G234" s="31" t="n">
        <v>46217</v>
      </c>
      <c r="H234" s="31" t="n">
        <v>46233</v>
      </c>
      <c r="I234" s="32" t="n">
        <v>16</v>
      </c>
      <c r="J234" s="30"/>
    </row>
    <row r="235" customFormat="false" ht="15" hidden="false" customHeight="false" outlineLevel="0" collapsed="false">
      <c r="A235" s="30" t="s">
        <v>61</v>
      </c>
      <c r="B235" s="30" t="s">
        <v>789</v>
      </c>
      <c r="C235" s="30" t="s">
        <v>996</v>
      </c>
      <c r="D235" s="30"/>
      <c r="E235" s="30" t="s">
        <v>847</v>
      </c>
      <c r="F235" s="30" t="s">
        <v>107</v>
      </c>
      <c r="G235" s="31" t="n">
        <v>46217</v>
      </c>
      <c r="H235" s="31" t="n">
        <v>46233</v>
      </c>
      <c r="I235" s="32" t="n">
        <v>16</v>
      </c>
      <c r="J235" s="30"/>
    </row>
    <row r="236" customFormat="false" ht="15" hidden="false" customHeight="false" outlineLevel="0" collapsed="false">
      <c r="A236" s="30" t="s">
        <v>61</v>
      </c>
      <c r="B236" s="30" t="s">
        <v>789</v>
      </c>
      <c r="C236" s="30" t="s">
        <v>997</v>
      </c>
      <c r="D236" s="30"/>
      <c r="E236" s="30" t="s">
        <v>847</v>
      </c>
      <c r="F236" s="30" t="s">
        <v>107</v>
      </c>
      <c r="G236" s="31" t="n">
        <v>46217</v>
      </c>
      <c r="H236" s="31" t="n">
        <v>46233</v>
      </c>
      <c r="I236" s="32" t="n">
        <v>16</v>
      </c>
      <c r="J236" s="30"/>
    </row>
    <row r="237" customFormat="false" ht="15" hidden="false" customHeight="false" outlineLevel="0" collapsed="false">
      <c r="A237" s="30" t="s">
        <v>61</v>
      </c>
      <c r="B237" s="30" t="s">
        <v>789</v>
      </c>
      <c r="C237" s="30" t="s">
        <v>998</v>
      </c>
      <c r="D237" s="30"/>
      <c r="E237" s="30" t="s">
        <v>847</v>
      </c>
      <c r="F237" s="30" t="s">
        <v>107</v>
      </c>
      <c r="G237" s="31" t="n">
        <v>46217</v>
      </c>
      <c r="H237" s="31" t="n">
        <v>46233</v>
      </c>
      <c r="I237" s="32" t="n">
        <v>16</v>
      </c>
      <c r="J237" s="30"/>
    </row>
    <row r="238" customFormat="false" ht="15" hidden="false" customHeight="false" outlineLevel="0" collapsed="false">
      <c r="A238" s="30" t="s">
        <v>61</v>
      </c>
      <c r="B238" s="30" t="s">
        <v>789</v>
      </c>
      <c r="C238" s="30" t="s">
        <v>999</v>
      </c>
      <c r="D238" s="30"/>
      <c r="E238" s="30" t="s">
        <v>847</v>
      </c>
      <c r="F238" s="30" t="s">
        <v>107</v>
      </c>
      <c r="G238" s="31" t="n">
        <v>46217</v>
      </c>
      <c r="H238" s="31" t="n">
        <v>46233</v>
      </c>
      <c r="I238" s="32" t="n">
        <v>16</v>
      </c>
      <c r="J238" s="30"/>
    </row>
    <row r="239" customFormat="false" ht="15" hidden="false" customHeight="false" outlineLevel="0" collapsed="false">
      <c r="A239" s="30" t="s">
        <v>61</v>
      </c>
      <c r="B239" s="30" t="s">
        <v>789</v>
      </c>
      <c r="C239" s="30" t="s">
        <v>1000</v>
      </c>
      <c r="D239" s="30"/>
      <c r="E239" s="30" t="s">
        <v>847</v>
      </c>
      <c r="F239" s="30" t="s">
        <v>107</v>
      </c>
      <c r="G239" s="31" t="n">
        <v>46217</v>
      </c>
      <c r="H239" s="31" t="n">
        <v>46233</v>
      </c>
      <c r="I239" s="32" t="n">
        <v>16</v>
      </c>
      <c r="J239" s="30"/>
    </row>
    <row r="240" customFormat="false" ht="15" hidden="false" customHeight="false" outlineLevel="0" collapsed="false">
      <c r="A240" s="30" t="s">
        <v>61</v>
      </c>
      <c r="B240" s="30" t="s">
        <v>789</v>
      </c>
      <c r="C240" s="30" t="s">
        <v>1001</v>
      </c>
      <c r="D240" s="30"/>
      <c r="E240" s="30" t="s">
        <v>847</v>
      </c>
      <c r="F240" s="30" t="s">
        <v>107</v>
      </c>
      <c r="G240" s="31" t="n">
        <v>46217</v>
      </c>
      <c r="H240" s="31" t="n">
        <v>46233</v>
      </c>
      <c r="I240" s="32" t="n">
        <v>16</v>
      </c>
      <c r="J240" s="30"/>
    </row>
    <row r="241" customFormat="false" ht="15" hidden="false" customHeight="false" outlineLevel="0" collapsed="false">
      <c r="A241" s="30" t="s">
        <v>61</v>
      </c>
      <c r="B241" s="30" t="s">
        <v>82</v>
      </c>
      <c r="C241" s="30" t="s">
        <v>1002</v>
      </c>
      <c r="D241" s="30"/>
      <c r="E241" s="30" t="s">
        <v>64</v>
      </c>
      <c r="F241" s="30" t="s">
        <v>66</v>
      </c>
      <c r="G241" s="31" t="n">
        <v>46217</v>
      </c>
      <c r="H241" s="31" t="n">
        <v>46233</v>
      </c>
      <c r="I241" s="32" t="n">
        <v>16</v>
      </c>
      <c r="J241" s="30"/>
    </row>
    <row r="242" customFormat="false" ht="15" hidden="false" customHeight="false" outlineLevel="0" collapsed="false">
      <c r="A242" s="30" t="s">
        <v>61</v>
      </c>
      <c r="B242" s="30" t="s">
        <v>80</v>
      </c>
      <c r="C242" s="30" t="s">
        <v>1003</v>
      </c>
      <c r="D242" s="30"/>
      <c r="E242" s="30" t="s">
        <v>64</v>
      </c>
      <c r="F242" s="30" t="s">
        <v>66</v>
      </c>
      <c r="G242" s="31" t="n">
        <v>46217</v>
      </c>
      <c r="H242" s="31" t="n">
        <v>46233</v>
      </c>
      <c r="I242" s="32" t="n">
        <v>16</v>
      </c>
      <c r="J242" s="30"/>
    </row>
    <row r="243" customFormat="false" ht="15" hidden="false" customHeight="false" outlineLevel="0" collapsed="false">
      <c r="A243" s="30" t="s">
        <v>61</v>
      </c>
      <c r="B243" s="30" t="s">
        <v>80</v>
      </c>
      <c r="C243" s="30" t="s">
        <v>1004</v>
      </c>
      <c r="D243" s="30"/>
      <c r="E243" s="30" t="s">
        <v>64</v>
      </c>
      <c r="F243" s="30" t="s">
        <v>66</v>
      </c>
      <c r="G243" s="31" t="n">
        <v>46217</v>
      </c>
      <c r="H243" s="31" t="n">
        <v>46233</v>
      </c>
      <c r="I243" s="32" t="n">
        <v>16</v>
      </c>
      <c r="J243" s="30"/>
    </row>
    <row r="244" customFormat="false" ht="15" hidden="false" customHeight="false" outlineLevel="0" collapsed="false">
      <c r="A244" s="30" t="s">
        <v>61</v>
      </c>
      <c r="B244" s="30" t="s">
        <v>73</v>
      </c>
      <c r="C244" s="30" t="s">
        <v>1005</v>
      </c>
      <c r="D244" s="30"/>
      <c r="E244" s="30" t="s">
        <v>64</v>
      </c>
      <c r="F244" s="30" t="s">
        <v>66</v>
      </c>
      <c r="G244" s="31" t="n">
        <v>46217</v>
      </c>
      <c r="H244" s="31" t="n">
        <v>46233</v>
      </c>
      <c r="I244" s="32" t="n">
        <v>16</v>
      </c>
      <c r="J244" s="30"/>
    </row>
    <row r="245" customFormat="false" ht="15" hidden="false" customHeight="false" outlineLevel="0" collapsed="false">
      <c r="A245" s="30" t="s">
        <v>61</v>
      </c>
      <c r="B245" s="30" t="s">
        <v>73</v>
      </c>
      <c r="C245" s="30" t="s">
        <v>1006</v>
      </c>
      <c r="D245" s="30"/>
      <c r="E245" s="30" t="s">
        <v>64</v>
      </c>
      <c r="F245" s="30" t="s">
        <v>66</v>
      </c>
      <c r="G245" s="31" t="n">
        <v>46217</v>
      </c>
      <c r="H245" s="31" t="n">
        <v>46233</v>
      </c>
      <c r="I245" s="32" t="n">
        <v>16</v>
      </c>
      <c r="J245" s="30"/>
    </row>
    <row r="246" customFormat="false" ht="15" hidden="false" customHeight="false" outlineLevel="0" collapsed="false">
      <c r="A246" s="30" t="s">
        <v>61</v>
      </c>
      <c r="B246" s="30" t="s">
        <v>73</v>
      </c>
      <c r="C246" s="30" t="s">
        <v>1007</v>
      </c>
      <c r="D246" s="30"/>
      <c r="E246" s="30" t="s">
        <v>64</v>
      </c>
      <c r="F246" s="30" t="s">
        <v>66</v>
      </c>
      <c r="G246" s="31" t="n">
        <v>46217</v>
      </c>
      <c r="H246" s="31" t="n">
        <v>46233</v>
      </c>
      <c r="I246" s="32" t="n">
        <v>16</v>
      </c>
      <c r="J246" s="30"/>
    </row>
    <row r="247" customFormat="false" ht="15" hidden="false" customHeight="false" outlineLevel="0" collapsed="false">
      <c r="A247" s="30" t="s">
        <v>61</v>
      </c>
      <c r="B247" s="30" t="s">
        <v>71</v>
      </c>
      <c r="C247" s="30" t="s">
        <v>1008</v>
      </c>
      <c r="D247" s="30"/>
      <c r="E247" s="30" t="s">
        <v>64</v>
      </c>
      <c r="F247" s="30" t="s">
        <v>66</v>
      </c>
      <c r="G247" s="31" t="n">
        <v>46217</v>
      </c>
      <c r="H247" s="31" t="n">
        <v>46233</v>
      </c>
      <c r="I247" s="32" t="n">
        <v>16</v>
      </c>
      <c r="J247" s="30"/>
    </row>
    <row r="248" customFormat="false" ht="15" hidden="false" customHeight="false" outlineLevel="0" collapsed="false">
      <c r="A248" s="30" t="s">
        <v>61</v>
      </c>
      <c r="B248" s="30" t="s">
        <v>71</v>
      </c>
      <c r="C248" s="30" t="s">
        <v>1009</v>
      </c>
      <c r="D248" s="30"/>
      <c r="E248" s="30" t="s">
        <v>64</v>
      </c>
      <c r="F248" s="30" t="s">
        <v>66</v>
      </c>
      <c r="G248" s="31" t="n">
        <v>46217</v>
      </c>
      <c r="H248" s="31" t="n">
        <v>46233</v>
      </c>
      <c r="I248" s="32" t="n">
        <v>16</v>
      </c>
      <c r="J248" s="30"/>
    </row>
    <row r="249" customFormat="false" ht="15" hidden="false" customHeight="false" outlineLevel="0" collapsed="false">
      <c r="A249" s="30" t="s">
        <v>61</v>
      </c>
      <c r="B249" s="30" t="s">
        <v>71</v>
      </c>
      <c r="C249" s="30" t="s">
        <v>1010</v>
      </c>
      <c r="D249" s="30"/>
      <c r="E249" s="30" t="s">
        <v>64</v>
      </c>
      <c r="F249" s="30" t="s">
        <v>66</v>
      </c>
      <c r="G249" s="31" t="n">
        <v>46217</v>
      </c>
      <c r="H249" s="31" t="n">
        <v>46233</v>
      </c>
      <c r="I249" s="32" t="n">
        <v>16</v>
      </c>
      <c r="J249" s="30"/>
    </row>
    <row r="250" customFormat="false" ht="15" hidden="false" customHeight="false" outlineLevel="0" collapsed="false">
      <c r="A250" s="30" t="s">
        <v>61</v>
      </c>
      <c r="B250" s="30" t="s">
        <v>71</v>
      </c>
      <c r="C250" s="30" t="s">
        <v>1011</v>
      </c>
      <c r="D250" s="30"/>
      <c r="E250" s="30" t="s">
        <v>64</v>
      </c>
      <c r="F250" s="30" t="s">
        <v>66</v>
      </c>
      <c r="G250" s="31" t="n">
        <v>46217</v>
      </c>
      <c r="H250" s="31" t="n">
        <v>46233</v>
      </c>
      <c r="I250" s="32" t="n">
        <v>16</v>
      </c>
      <c r="J250" s="30"/>
    </row>
    <row r="251" customFormat="false" ht="15" hidden="false" customHeight="false" outlineLevel="0" collapsed="false">
      <c r="A251" s="30" t="s">
        <v>61</v>
      </c>
      <c r="B251" s="30" t="s">
        <v>71</v>
      </c>
      <c r="C251" s="30" t="s">
        <v>1012</v>
      </c>
      <c r="D251" s="30"/>
      <c r="E251" s="30" t="s">
        <v>64</v>
      </c>
      <c r="F251" s="30" t="s">
        <v>66</v>
      </c>
      <c r="G251" s="31" t="n">
        <v>46217</v>
      </c>
      <c r="H251" s="31" t="n">
        <v>46233</v>
      </c>
      <c r="I251" s="32" t="n">
        <v>16</v>
      </c>
      <c r="J251" s="30"/>
    </row>
    <row r="252" customFormat="false" ht="15" hidden="false" customHeight="false" outlineLevel="0" collapsed="false">
      <c r="A252" s="30" t="s">
        <v>61</v>
      </c>
      <c r="B252" s="30" t="s">
        <v>69</v>
      </c>
      <c r="C252" s="30" t="s">
        <v>1013</v>
      </c>
      <c r="D252" s="30"/>
      <c r="E252" s="30" t="s">
        <v>64</v>
      </c>
      <c r="F252" s="30" t="s">
        <v>66</v>
      </c>
      <c r="G252" s="31" t="n">
        <v>46217</v>
      </c>
      <c r="H252" s="31" t="n">
        <v>46233</v>
      </c>
      <c r="I252" s="32" t="n">
        <v>16</v>
      </c>
      <c r="J252" s="30"/>
    </row>
    <row r="253" customFormat="false" ht="15" hidden="false" customHeight="false" outlineLevel="0" collapsed="false">
      <c r="A253" s="30" t="s">
        <v>61</v>
      </c>
      <c r="B253" s="30" t="s">
        <v>69</v>
      </c>
      <c r="C253" s="30" t="s">
        <v>1014</v>
      </c>
      <c r="D253" s="30"/>
      <c r="E253" s="30" t="s">
        <v>64</v>
      </c>
      <c r="F253" s="30" t="s">
        <v>66</v>
      </c>
      <c r="G253" s="31" t="n">
        <v>46217</v>
      </c>
      <c r="H253" s="31" t="n">
        <v>46233</v>
      </c>
      <c r="I253" s="32" t="n">
        <v>16</v>
      </c>
      <c r="J253" s="30"/>
    </row>
    <row r="254" customFormat="false" ht="15" hidden="false" customHeight="false" outlineLevel="0" collapsed="false">
      <c r="A254" s="30" t="s">
        <v>61</v>
      </c>
      <c r="B254" s="30" t="s">
        <v>62</v>
      </c>
      <c r="C254" s="30" t="s">
        <v>1015</v>
      </c>
      <c r="D254" s="30"/>
      <c r="E254" s="30" t="s">
        <v>64</v>
      </c>
      <c r="F254" s="30" t="s">
        <v>66</v>
      </c>
      <c r="G254" s="31" t="n">
        <v>46217</v>
      </c>
      <c r="H254" s="31" t="n">
        <v>46233</v>
      </c>
      <c r="I254" s="32" t="n">
        <v>16</v>
      </c>
      <c r="J254" s="30"/>
    </row>
    <row r="255" customFormat="false" ht="15" hidden="false" customHeight="false" outlineLevel="0" collapsed="false">
      <c r="A255" s="30" t="s">
        <v>61</v>
      </c>
      <c r="B255" s="30" t="s">
        <v>62</v>
      </c>
      <c r="C255" s="30" t="s">
        <v>1016</v>
      </c>
      <c r="D255" s="30"/>
      <c r="E255" s="30" t="s">
        <v>64</v>
      </c>
      <c r="F255" s="30" t="s">
        <v>66</v>
      </c>
      <c r="G255" s="31" t="n">
        <v>46217</v>
      </c>
      <c r="H255" s="31" t="n">
        <v>46233</v>
      </c>
      <c r="I255" s="32" t="n">
        <v>16</v>
      </c>
      <c r="J255" s="30"/>
    </row>
    <row r="256" customFormat="false" ht="15" hidden="false" customHeight="false" outlineLevel="0" collapsed="false">
      <c r="A256" s="30" t="s">
        <v>61</v>
      </c>
      <c r="B256" s="30" t="s">
        <v>62</v>
      </c>
      <c r="C256" s="30" t="s">
        <v>1017</v>
      </c>
      <c r="D256" s="30"/>
      <c r="E256" s="30" t="s">
        <v>64</v>
      </c>
      <c r="F256" s="30" t="s">
        <v>66</v>
      </c>
      <c r="G256" s="31" t="n">
        <v>46217</v>
      </c>
      <c r="H256" s="31" t="n">
        <v>46233</v>
      </c>
      <c r="I256" s="32" t="n">
        <v>16</v>
      </c>
      <c r="J256" s="30"/>
    </row>
    <row r="257" customFormat="false" ht="15" hidden="false" customHeight="false" outlineLevel="0" collapsed="false">
      <c r="A257" s="30" t="s">
        <v>61</v>
      </c>
      <c r="B257" s="30" t="s">
        <v>1018</v>
      </c>
      <c r="C257" s="30" t="s">
        <v>1019</v>
      </c>
      <c r="D257" s="30"/>
      <c r="E257" s="30" t="s">
        <v>64</v>
      </c>
      <c r="F257" s="30" t="s">
        <v>66</v>
      </c>
      <c r="G257" s="31" t="n">
        <v>46217</v>
      </c>
      <c r="H257" s="31" t="n">
        <v>46233</v>
      </c>
      <c r="I257" s="32" t="n">
        <v>16</v>
      </c>
      <c r="J257" s="30"/>
    </row>
    <row r="258" customFormat="false" ht="15" hidden="false" customHeight="false" outlineLevel="0" collapsed="false">
      <c r="A258" s="30" t="s">
        <v>61</v>
      </c>
      <c r="B258" s="30" t="s">
        <v>1018</v>
      </c>
      <c r="C258" s="30" t="s">
        <v>1020</v>
      </c>
      <c r="D258" s="30"/>
      <c r="E258" s="30" t="s">
        <v>64</v>
      </c>
      <c r="F258" s="30" t="s">
        <v>66</v>
      </c>
      <c r="G258" s="31" t="n">
        <v>46217</v>
      </c>
      <c r="H258" s="31" t="n">
        <v>46233</v>
      </c>
      <c r="I258" s="32" t="n">
        <v>16</v>
      </c>
      <c r="J258" s="30"/>
    </row>
    <row r="259" customFormat="false" ht="15" hidden="false" customHeight="false" outlineLevel="0" collapsed="false">
      <c r="A259" s="30" t="s">
        <v>61</v>
      </c>
      <c r="B259" s="30" t="s">
        <v>1018</v>
      </c>
      <c r="C259" s="30" t="s">
        <v>1021</v>
      </c>
      <c r="D259" s="30"/>
      <c r="E259" s="30" t="s">
        <v>64</v>
      </c>
      <c r="F259" s="30" t="s">
        <v>66</v>
      </c>
      <c r="G259" s="31" t="n">
        <v>46217</v>
      </c>
      <c r="H259" s="31" t="n">
        <v>46233</v>
      </c>
      <c r="I259" s="32" t="n">
        <v>16</v>
      </c>
      <c r="J259" s="30"/>
    </row>
    <row r="260" customFormat="false" ht="15" hidden="false" customHeight="false" outlineLevel="0" collapsed="false">
      <c r="A260" s="30" t="s">
        <v>61</v>
      </c>
      <c r="B260" s="30" t="s">
        <v>1018</v>
      </c>
      <c r="C260" s="30" t="s">
        <v>1022</v>
      </c>
      <c r="D260" s="30"/>
      <c r="E260" s="30" t="s">
        <v>64</v>
      </c>
      <c r="F260" s="30" t="s">
        <v>66</v>
      </c>
      <c r="G260" s="31" t="n">
        <v>46217</v>
      </c>
      <c r="H260" s="31" t="n">
        <v>46233</v>
      </c>
      <c r="I260" s="32" t="n">
        <v>16</v>
      </c>
      <c r="J260" s="30"/>
    </row>
    <row r="261" customFormat="false" ht="15" hidden="false" customHeight="false" outlineLevel="0" collapsed="false">
      <c r="A261" s="30" t="s">
        <v>61</v>
      </c>
      <c r="B261" s="30" t="s">
        <v>1018</v>
      </c>
      <c r="C261" s="30" t="s">
        <v>1023</v>
      </c>
      <c r="D261" s="30"/>
      <c r="E261" s="30" t="s">
        <v>64</v>
      </c>
      <c r="F261" s="30" t="s">
        <v>66</v>
      </c>
      <c r="G261" s="31" t="n">
        <v>46217</v>
      </c>
      <c r="H261" s="31" t="n">
        <v>46233</v>
      </c>
      <c r="I261" s="32" t="n">
        <v>16</v>
      </c>
      <c r="J261" s="30"/>
    </row>
    <row r="262" customFormat="false" ht="15" hidden="false" customHeight="false" outlineLevel="0" collapsed="false">
      <c r="A262" s="30" t="s">
        <v>61</v>
      </c>
      <c r="B262" s="30" t="s">
        <v>1018</v>
      </c>
      <c r="C262" s="30" t="s">
        <v>1024</v>
      </c>
      <c r="D262" s="30"/>
      <c r="E262" s="30" t="s">
        <v>64</v>
      </c>
      <c r="F262" s="30" t="s">
        <v>66</v>
      </c>
      <c r="G262" s="31" t="n">
        <v>46217</v>
      </c>
      <c r="H262" s="31" t="n">
        <v>46233</v>
      </c>
      <c r="I262" s="32" t="n">
        <v>16</v>
      </c>
      <c r="J262" s="30"/>
    </row>
    <row r="263" customFormat="false" ht="15" hidden="false" customHeight="false" outlineLevel="0" collapsed="false">
      <c r="A263" s="30" t="s">
        <v>61</v>
      </c>
      <c r="B263" s="30" t="s">
        <v>1018</v>
      </c>
      <c r="C263" s="30" t="s">
        <v>1025</v>
      </c>
      <c r="D263" s="30"/>
      <c r="E263" s="30" t="s">
        <v>64</v>
      </c>
      <c r="F263" s="30" t="s">
        <v>66</v>
      </c>
      <c r="G263" s="31" t="n">
        <v>46217</v>
      </c>
      <c r="H263" s="31" t="n">
        <v>46233</v>
      </c>
      <c r="I263" s="32" t="n">
        <v>16</v>
      </c>
      <c r="J263" s="30"/>
    </row>
    <row r="264" customFormat="false" ht="15" hidden="false" customHeight="false" outlineLevel="0" collapsed="false">
      <c r="A264" s="30" t="s">
        <v>61</v>
      </c>
      <c r="B264" s="30" t="s">
        <v>1018</v>
      </c>
      <c r="C264" s="30" t="s">
        <v>1026</v>
      </c>
      <c r="D264" s="30"/>
      <c r="E264" s="30" t="s">
        <v>64</v>
      </c>
      <c r="F264" s="30" t="s">
        <v>66</v>
      </c>
      <c r="G264" s="31" t="n">
        <v>46217</v>
      </c>
      <c r="H264" s="31" t="n">
        <v>46233</v>
      </c>
      <c r="I264" s="32" t="n">
        <v>16</v>
      </c>
      <c r="J264" s="30"/>
    </row>
    <row r="265" customFormat="false" ht="15" hidden="false" customHeight="false" outlineLevel="0" collapsed="false">
      <c r="A265" s="30" t="s">
        <v>61</v>
      </c>
      <c r="B265" s="30" t="s">
        <v>1018</v>
      </c>
      <c r="C265" s="30" t="s">
        <v>1027</v>
      </c>
      <c r="D265" s="30"/>
      <c r="E265" s="30" t="s">
        <v>64</v>
      </c>
      <c r="F265" s="30" t="s">
        <v>66</v>
      </c>
      <c r="G265" s="31" t="n">
        <v>46217</v>
      </c>
      <c r="H265" s="31" t="n">
        <v>46233</v>
      </c>
      <c r="I265" s="32" t="n">
        <v>16</v>
      </c>
      <c r="J265" s="30"/>
    </row>
    <row r="266" customFormat="false" ht="15" hidden="false" customHeight="false" outlineLevel="0" collapsed="false">
      <c r="A266" s="30" t="s">
        <v>333</v>
      </c>
      <c r="B266" s="30" t="s">
        <v>334</v>
      </c>
      <c r="C266" s="30" t="s">
        <v>1028</v>
      </c>
      <c r="D266" s="30"/>
      <c r="E266" s="30"/>
      <c r="F266" s="30" t="s">
        <v>107</v>
      </c>
      <c r="G266" s="31" t="n">
        <v>46217</v>
      </c>
      <c r="H266" s="31" t="n">
        <v>46233</v>
      </c>
      <c r="I266" s="32" t="n">
        <v>16</v>
      </c>
      <c r="J266" s="30"/>
    </row>
    <row r="267" customFormat="false" ht="15" hidden="false" customHeight="false" outlineLevel="0" collapsed="false">
      <c r="A267" s="30" t="s">
        <v>51</v>
      </c>
      <c r="B267" s="30" t="s">
        <v>58</v>
      </c>
      <c r="C267" s="30" t="s">
        <v>1029</v>
      </c>
      <c r="D267" s="30"/>
      <c r="E267" s="30" t="s">
        <v>54</v>
      </c>
      <c r="F267" s="30" t="s">
        <v>56</v>
      </c>
      <c r="G267" s="31" t="n">
        <v>46216</v>
      </c>
      <c r="H267" s="31" t="n">
        <v>46233</v>
      </c>
      <c r="I267" s="32" t="n">
        <v>17</v>
      </c>
      <c r="J267" s="30"/>
    </row>
    <row r="268" customFormat="false" ht="15" hidden="false" customHeight="false" outlineLevel="0" collapsed="false">
      <c r="A268" s="30" t="s">
        <v>61</v>
      </c>
      <c r="B268" s="30" t="s">
        <v>786</v>
      </c>
      <c r="C268" s="30" t="s">
        <v>1030</v>
      </c>
      <c r="D268" s="30"/>
      <c r="E268" s="30" t="s">
        <v>1031</v>
      </c>
      <c r="F268" s="30" t="s">
        <v>29</v>
      </c>
      <c r="G268" s="31" t="n">
        <v>46217</v>
      </c>
      <c r="H268" s="31" t="n">
        <v>46233</v>
      </c>
      <c r="I268" s="32" t="n">
        <v>16</v>
      </c>
      <c r="J268" s="30"/>
    </row>
    <row r="269" customFormat="false" ht="15" hidden="false" customHeight="false" outlineLevel="0" collapsed="false">
      <c r="A269" s="30" t="s">
        <v>61</v>
      </c>
      <c r="B269" s="30" t="s">
        <v>786</v>
      </c>
      <c r="C269" s="30" t="s">
        <v>1032</v>
      </c>
      <c r="D269" s="30"/>
      <c r="E269" s="30" t="s">
        <v>1031</v>
      </c>
      <c r="F269" s="30" t="s">
        <v>29</v>
      </c>
      <c r="G269" s="31" t="n">
        <v>46217</v>
      </c>
      <c r="H269" s="31" t="n">
        <v>46233</v>
      </c>
      <c r="I269" s="32" t="n">
        <v>16</v>
      </c>
      <c r="J269" s="30"/>
    </row>
    <row r="270" customFormat="false" ht="15" hidden="false" customHeight="false" outlineLevel="0" collapsed="false">
      <c r="A270" s="30" t="s">
        <v>61</v>
      </c>
      <c r="B270" s="30" t="s">
        <v>786</v>
      </c>
      <c r="C270" s="30" t="s">
        <v>1033</v>
      </c>
      <c r="D270" s="30"/>
      <c r="E270" s="30" t="s">
        <v>1031</v>
      </c>
      <c r="F270" s="30" t="s">
        <v>29</v>
      </c>
      <c r="G270" s="31" t="n">
        <v>46217</v>
      </c>
      <c r="H270" s="31" t="n">
        <v>46233</v>
      </c>
      <c r="I270" s="32" t="n">
        <v>16</v>
      </c>
      <c r="J270" s="30"/>
    </row>
    <row r="271" customFormat="false" ht="15" hidden="false" customHeight="false" outlineLevel="0" collapsed="false">
      <c r="A271" s="30" t="s">
        <v>61</v>
      </c>
      <c r="B271" s="30" t="s">
        <v>786</v>
      </c>
      <c r="C271" s="30" t="s">
        <v>1034</v>
      </c>
      <c r="D271" s="30"/>
      <c r="E271" s="30" t="s">
        <v>1031</v>
      </c>
      <c r="F271" s="30" t="s">
        <v>29</v>
      </c>
      <c r="G271" s="31" t="n">
        <v>46217</v>
      </c>
      <c r="H271" s="31" t="n">
        <v>46233</v>
      </c>
      <c r="I271" s="32" t="n">
        <v>16</v>
      </c>
      <c r="J271" s="30"/>
    </row>
    <row r="272" customFormat="false" ht="15" hidden="false" customHeight="false" outlineLevel="0" collapsed="false">
      <c r="A272" s="30" t="s">
        <v>61</v>
      </c>
      <c r="B272" s="30" t="s">
        <v>786</v>
      </c>
      <c r="C272" s="30" t="s">
        <v>1035</v>
      </c>
      <c r="D272" s="30"/>
      <c r="E272" s="30" t="s">
        <v>1031</v>
      </c>
      <c r="F272" s="30" t="s">
        <v>29</v>
      </c>
      <c r="G272" s="31" t="n">
        <v>46217</v>
      </c>
      <c r="H272" s="31" t="n">
        <v>46233</v>
      </c>
      <c r="I272" s="32" t="n">
        <v>16</v>
      </c>
      <c r="J272" s="30"/>
    </row>
    <row r="273" customFormat="false" ht="15" hidden="false" customHeight="false" outlineLevel="0" collapsed="false">
      <c r="A273" s="30" t="s">
        <v>61</v>
      </c>
      <c r="B273" s="30" t="s">
        <v>786</v>
      </c>
      <c r="C273" s="30" t="s">
        <v>1036</v>
      </c>
      <c r="D273" s="30"/>
      <c r="E273" s="30" t="s">
        <v>1031</v>
      </c>
      <c r="F273" s="30" t="s">
        <v>29</v>
      </c>
      <c r="G273" s="31" t="n">
        <v>46217</v>
      </c>
      <c r="H273" s="31" t="n">
        <v>46233</v>
      </c>
      <c r="I273" s="32" t="n">
        <v>16</v>
      </c>
      <c r="J273" s="30"/>
    </row>
    <row r="274" customFormat="false" ht="15" hidden="false" customHeight="false" outlineLevel="0" collapsed="false">
      <c r="A274" s="30" t="s">
        <v>61</v>
      </c>
      <c r="B274" s="30" t="s">
        <v>786</v>
      </c>
      <c r="C274" s="30" t="s">
        <v>1037</v>
      </c>
      <c r="D274" s="30"/>
      <c r="E274" s="30" t="s">
        <v>1031</v>
      </c>
      <c r="F274" s="30" t="s">
        <v>29</v>
      </c>
      <c r="G274" s="31" t="n">
        <v>46217</v>
      </c>
      <c r="H274" s="31" t="n">
        <v>46233</v>
      </c>
      <c r="I274" s="32" t="n">
        <v>16</v>
      </c>
      <c r="J274" s="30"/>
    </row>
    <row r="275" customFormat="false" ht="15" hidden="false" customHeight="false" outlineLevel="0" collapsed="false">
      <c r="A275" s="30" t="s">
        <v>61</v>
      </c>
      <c r="B275" s="30" t="s">
        <v>786</v>
      </c>
      <c r="C275" s="30" t="s">
        <v>1038</v>
      </c>
      <c r="D275" s="30"/>
      <c r="E275" s="30" t="s">
        <v>1031</v>
      </c>
      <c r="F275" s="30" t="s">
        <v>29</v>
      </c>
      <c r="G275" s="31" t="n">
        <v>46217</v>
      </c>
      <c r="H275" s="31" t="n">
        <v>46233</v>
      </c>
      <c r="I275" s="32" t="n">
        <v>16</v>
      </c>
      <c r="J275" s="30"/>
    </row>
    <row r="276" customFormat="false" ht="15" hidden="false" customHeight="false" outlineLevel="0" collapsed="false">
      <c r="A276" s="30" t="s">
        <v>61</v>
      </c>
      <c r="B276" s="30" t="s">
        <v>786</v>
      </c>
      <c r="C276" s="30" t="s">
        <v>1039</v>
      </c>
      <c r="D276" s="30"/>
      <c r="E276" s="30" t="s">
        <v>1031</v>
      </c>
      <c r="F276" s="30" t="s">
        <v>29</v>
      </c>
      <c r="G276" s="31" t="n">
        <v>46217</v>
      </c>
      <c r="H276" s="31" t="n">
        <v>46233</v>
      </c>
      <c r="I276" s="32" t="n">
        <v>16</v>
      </c>
      <c r="J276" s="30"/>
    </row>
    <row r="277" customFormat="false" ht="15" hidden="false" customHeight="false" outlineLevel="0" collapsed="false">
      <c r="A277" s="30" t="s">
        <v>61</v>
      </c>
      <c r="B277" s="30" t="s">
        <v>786</v>
      </c>
      <c r="C277" s="30" t="s">
        <v>1040</v>
      </c>
      <c r="D277" s="30"/>
      <c r="E277" s="30" t="s">
        <v>1031</v>
      </c>
      <c r="F277" s="30" t="s">
        <v>29</v>
      </c>
      <c r="G277" s="31" t="n">
        <v>46217</v>
      </c>
      <c r="H277" s="31" t="n">
        <v>46233</v>
      </c>
      <c r="I277" s="32" t="n">
        <v>16</v>
      </c>
      <c r="J277" s="30"/>
    </row>
    <row r="278" customFormat="false" ht="15" hidden="false" customHeight="false" outlineLevel="0" collapsed="false">
      <c r="A278" s="30" t="s">
        <v>61</v>
      </c>
      <c r="B278" s="30" t="s">
        <v>786</v>
      </c>
      <c r="C278" s="30" t="s">
        <v>1041</v>
      </c>
      <c r="D278" s="30"/>
      <c r="E278" s="30" t="s">
        <v>1031</v>
      </c>
      <c r="F278" s="30" t="s">
        <v>29</v>
      </c>
      <c r="G278" s="31" t="n">
        <v>46217</v>
      </c>
      <c r="H278" s="31" t="n">
        <v>46233</v>
      </c>
      <c r="I278" s="32" t="n">
        <v>16</v>
      </c>
      <c r="J278" s="30"/>
    </row>
    <row r="279" customFormat="false" ht="15" hidden="false" customHeight="false" outlineLevel="0" collapsed="false">
      <c r="A279" s="30" t="s">
        <v>61</v>
      </c>
      <c r="B279" s="30" t="s">
        <v>786</v>
      </c>
      <c r="C279" s="30" t="s">
        <v>1042</v>
      </c>
      <c r="D279" s="30"/>
      <c r="E279" s="30" t="s">
        <v>1031</v>
      </c>
      <c r="F279" s="30" t="s">
        <v>29</v>
      </c>
      <c r="G279" s="31" t="n">
        <v>46217</v>
      </c>
      <c r="H279" s="31" t="n">
        <v>46233</v>
      </c>
      <c r="I279" s="32" t="n">
        <v>16</v>
      </c>
      <c r="J279" s="30"/>
    </row>
    <row r="280" customFormat="false" ht="15" hidden="false" customHeight="false" outlineLevel="0" collapsed="false">
      <c r="A280" s="30" t="s">
        <v>61</v>
      </c>
      <c r="B280" s="30" t="s">
        <v>786</v>
      </c>
      <c r="C280" s="30" t="s">
        <v>1043</v>
      </c>
      <c r="D280" s="30"/>
      <c r="E280" s="30" t="s">
        <v>1031</v>
      </c>
      <c r="F280" s="30" t="s">
        <v>29</v>
      </c>
      <c r="G280" s="31" t="n">
        <v>46217</v>
      </c>
      <c r="H280" s="31" t="n">
        <v>46233</v>
      </c>
      <c r="I280" s="32" t="n">
        <v>16</v>
      </c>
      <c r="J280" s="30"/>
    </row>
    <row r="281" customFormat="false" ht="15" hidden="false" customHeight="false" outlineLevel="0" collapsed="false">
      <c r="A281" s="30" t="s">
        <v>61</v>
      </c>
      <c r="B281" s="30" t="s">
        <v>786</v>
      </c>
      <c r="C281" s="30" t="s">
        <v>1044</v>
      </c>
      <c r="D281" s="30"/>
      <c r="E281" s="30" t="s">
        <v>1031</v>
      </c>
      <c r="F281" s="30" t="s">
        <v>29</v>
      </c>
      <c r="G281" s="31" t="n">
        <v>46217</v>
      </c>
      <c r="H281" s="31" t="n">
        <v>46233</v>
      </c>
      <c r="I281" s="32" t="n">
        <v>16</v>
      </c>
      <c r="J281" s="30"/>
    </row>
    <row r="282" customFormat="false" ht="15" hidden="false" customHeight="false" outlineLevel="0" collapsed="false">
      <c r="A282" s="30" t="s">
        <v>61</v>
      </c>
      <c r="B282" s="30" t="s">
        <v>786</v>
      </c>
      <c r="C282" s="30" t="s">
        <v>1045</v>
      </c>
      <c r="D282" s="30"/>
      <c r="E282" s="30" t="s">
        <v>1031</v>
      </c>
      <c r="F282" s="30" t="s">
        <v>29</v>
      </c>
      <c r="G282" s="31" t="n">
        <v>46217</v>
      </c>
      <c r="H282" s="31" t="n">
        <v>46233</v>
      </c>
      <c r="I282" s="32" t="n">
        <v>16</v>
      </c>
      <c r="J282" s="30"/>
    </row>
    <row r="283" customFormat="false" ht="15" hidden="false" customHeight="false" outlineLevel="0" collapsed="false">
      <c r="A283" s="30" t="s">
        <v>61</v>
      </c>
      <c r="B283" s="30" t="s">
        <v>789</v>
      </c>
      <c r="C283" s="30" t="s">
        <v>1046</v>
      </c>
      <c r="D283" s="30"/>
      <c r="E283" s="30" t="s">
        <v>1031</v>
      </c>
      <c r="F283" s="30" t="s">
        <v>29</v>
      </c>
      <c r="G283" s="31" t="n">
        <v>46217</v>
      </c>
      <c r="H283" s="31" t="n">
        <v>46233</v>
      </c>
      <c r="I283" s="32" t="n">
        <v>16</v>
      </c>
      <c r="J283" s="30"/>
    </row>
    <row r="284" customFormat="false" ht="15" hidden="false" customHeight="false" outlineLevel="0" collapsed="false">
      <c r="A284" s="30" t="s">
        <v>61</v>
      </c>
      <c r="B284" s="30" t="s">
        <v>789</v>
      </c>
      <c r="C284" s="30" t="s">
        <v>1047</v>
      </c>
      <c r="D284" s="30"/>
      <c r="E284" s="30" t="s">
        <v>1031</v>
      </c>
      <c r="F284" s="30" t="s">
        <v>29</v>
      </c>
      <c r="G284" s="31" t="n">
        <v>46217</v>
      </c>
      <c r="H284" s="31" t="n">
        <v>46233</v>
      </c>
      <c r="I284" s="32" t="n">
        <v>16</v>
      </c>
      <c r="J284" s="30"/>
    </row>
    <row r="285" customFormat="false" ht="15" hidden="false" customHeight="false" outlineLevel="0" collapsed="false">
      <c r="A285" s="30" t="s">
        <v>61</v>
      </c>
      <c r="B285" s="30" t="s">
        <v>789</v>
      </c>
      <c r="C285" s="30" t="s">
        <v>1048</v>
      </c>
      <c r="D285" s="30"/>
      <c r="E285" s="30" t="s">
        <v>1031</v>
      </c>
      <c r="F285" s="30" t="s">
        <v>29</v>
      </c>
      <c r="G285" s="31" t="n">
        <v>46217</v>
      </c>
      <c r="H285" s="31" t="n">
        <v>46233</v>
      </c>
      <c r="I285" s="32" t="n">
        <v>16</v>
      </c>
      <c r="J285" s="30"/>
    </row>
    <row r="286" customFormat="false" ht="15" hidden="false" customHeight="false" outlineLevel="0" collapsed="false">
      <c r="A286" s="30" t="s">
        <v>61</v>
      </c>
      <c r="B286" s="30" t="s">
        <v>789</v>
      </c>
      <c r="C286" s="30" t="s">
        <v>1049</v>
      </c>
      <c r="D286" s="30"/>
      <c r="E286" s="30" t="s">
        <v>1031</v>
      </c>
      <c r="F286" s="30" t="s">
        <v>29</v>
      </c>
      <c r="G286" s="31" t="n">
        <v>46217</v>
      </c>
      <c r="H286" s="31" t="n">
        <v>46233</v>
      </c>
      <c r="I286" s="32" t="n">
        <v>16</v>
      </c>
      <c r="J286" s="30"/>
    </row>
    <row r="287" customFormat="false" ht="15" hidden="false" customHeight="false" outlineLevel="0" collapsed="false">
      <c r="A287" s="30" t="s">
        <v>61</v>
      </c>
      <c r="B287" s="30" t="s">
        <v>789</v>
      </c>
      <c r="C287" s="30" t="s">
        <v>1050</v>
      </c>
      <c r="D287" s="30"/>
      <c r="E287" s="30" t="s">
        <v>1031</v>
      </c>
      <c r="F287" s="30" t="s">
        <v>29</v>
      </c>
      <c r="G287" s="31" t="n">
        <v>46217</v>
      </c>
      <c r="H287" s="31" t="n">
        <v>46233</v>
      </c>
      <c r="I287" s="32" t="n">
        <v>16</v>
      </c>
      <c r="J287" s="30"/>
    </row>
    <row r="288" customFormat="false" ht="15" hidden="false" customHeight="false" outlineLevel="0" collapsed="false">
      <c r="A288" s="30" t="s">
        <v>61</v>
      </c>
      <c r="B288" s="30" t="s">
        <v>789</v>
      </c>
      <c r="C288" s="30" t="s">
        <v>1051</v>
      </c>
      <c r="D288" s="30"/>
      <c r="E288" s="30" t="s">
        <v>1031</v>
      </c>
      <c r="F288" s="30" t="s">
        <v>29</v>
      </c>
      <c r="G288" s="31" t="n">
        <v>46217</v>
      </c>
      <c r="H288" s="31" t="n">
        <v>46233</v>
      </c>
      <c r="I288" s="32" t="n">
        <v>16</v>
      </c>
      <c r="J288" s="30"/>
    </row>
    <row r="289" customFormat="false" ht="15" hidden="false" customHeight="false" outlineLevel="0" collapsed="false">
      <c r="A289" s="30" t="s">
        <v>61</v>
      </c>
      <c r="B289" s="30" t="s">
        <v>789</v>
      </c>
      <c r="C289" s="30" t="s">
        <v>1052</v>
      </c>
      <c r="D289" s="30"/>
      <c r="E289" s="30" t="s">
        <v>1031</v>
      </c>
      <c r="F289" s="30" t="s">
        <v>29</v>
      </c>
      <c r="G289" s="31" t="n">
        <v>46217</v>
      </c>
      <c r="H289" s="31" t="n">
        <v>46233</v>
      </c>
      <c r="I289" s="32" t="n">
        <v>16</v>
      </c>
      <c r="J289" s="30"/>
    </row>
    <row r="290" customFormat="false" ht="15" hidden="false" customHeight="false" outlineLevel="0" collapsed="false">
      <c r="A290" s="30" t="s">
        <v>61</v>
      </c>
      <c r="B290" s="30" t="s">
        <v>789</v>
      </c>
      <c r="C290" s="30" t="s">
        <v>1053</v>
      </c>
      <c r="D290" s="30"/>
      <c r="E290" s="30" t="s">
        <v>1031</v>
      </c>
      <c r="F290" s="30" t="s">
        <v>29</v>
      </c>
      <c r="G290" s="31" t="n">
        <v>46217</v>
      </c>
      <c r="H290" s="31" t="n">
        <v>46233</v>
      </c>
      <c r="I290" s="32" t="n">
        <v>16</v>
      </c>
      <c r="J290" s="30"/>
    </row>
    <row r="291" customFormat="false" ht="15" hidden="false" customHeight="false" outlineLevel="0" collapsed="false">
      <c r="A291" s="30" t="s">
        <v>61</v>
      </c>
      <c r="B291" s="30" t="s">
        <v>789</v>
      </c>
      <c r="C291" s="30" t="s">
        <v>1054</v>
      </c>
      <c r="D291" s="30"/>
      <c r="E291" s="30" t="s">
        <v>1031</v>
      </c>
      <c r="F291" s="30" t="s">
        <v>29</v>
      </c>
      <c r="G291" s="31" t="n">
        <v>46217</v>
      </c>
      <c r="H291" s="31" t="n">
        <v>46233</v>
      </c>
      <c r="I291" s="32" t="n">
        <v>16</v>
      </c>
      <c r="J291" s="30"/>
    </row>
    <row r="292" customFormat="false" ht="15" hidden="false" customHeight="false" outlineLevel="0" collapsed="false">
      <c r="A292" s="30" t="s">
        <v>61</v>
      </c>
      <c r="B292" s="30" t="s">
        <v>789</v>
      </c>
      <c r="C292" s="30" t="s">
        <v>1055</v>
      </c>
      <c r="D292" s="30"/>
      <c r="E292" s="30" t="s">
        <v>1031</v>
      </c>
      <c r="F292" s="30" t="s">
        <v>29</v>
      </c>
      <c r="G292" s="31" t="n">
        <v>46217</v>
      </c>
      <c r="H292" s="31" t="n">
        <v>46233</v>
      </c>
      <c r="I292" s="32" t="n">
        <v>16</v>
      </c>
      <c r="J292" s="30"/>
    </row>
    <row r="293" customFormat="false" ht="15" hidden="false" customHeight="false" outlineLevel="0" collapsed="false">
      <c r="A293" s="30" t="s">
        <v>61</v>
      </c>
      <c r="B293" s="30" t="s">
        <v>789</v>
      </c>
      <c r="C293" s="30" t="s">
        <v>1056</v>
      </c>
      <c r="D293" s="30"/>
      <c r="E293" s="30" t="s">
        <v>1031</v>
      </c>
      <c r="F293" s="30" t="s">
        <v>29</v>
      </c>
      <c r="G293" s="31" t="n">
        <v>46217</v>
      </c>
      <c r="H293" s="31" t="n">
        <v>46233</v>
      </c>
      <c r="I293" s="32" t="n">
        <v>16</v>
      </c>
      <c r="J293" s="30"/>
    </row>
    <row r="294" customFormat="false" ht="15" hidden="false" customHeight="false" outlineLevel="0" collapsed="false">
      <c r="A294" s="30" t="s">
        <v>61</v>
      </c>
      <c r="B294" s="30" t="s">
        <v>789</v>
      </c>
      <c r="C294" s="30" t="s">
        <v>1057</v>
      </c>
      <c r="D294" s="30"/>
      <c r="E294" s="30" t="s">
        <v>1031</v>
      </c>
      <c r="F294" s="30" t="s">
        <v>29</v>
      </c>
      <c r="G294" s="31" t="n">
        <v>46217</v>
      </c>
      <c r="H294" s="31" t="n">
        <v>46233</v>
      </c>
      <c r="I294" s="32" t="n">
        <v>16</v>
      </c>
      <c r="J294" s="30"/>
    </row>
    <row r="295" customFormat="false" ht="15" hidden="false" customHeight="false" outlineLevel="0" collapsed="false">
      <c r="A295" s="30" t="s">
        <v>61</v>
      </c>
      <c r="B295" s="30" t="s">
        <v>789</v>
      </c>
      <c r="C295" s="30" t="s">
        <v>1058</v>
      </c>
      <c r="D295" s="30"/>
      <c r="E295" s="30" t="s">
        <v>1031</v>
      </c>
      <c r="F295" s="30" t="s">
        <v>29</v>
      </c>
      <c r="G295" s="31" t="n">
        <v>46217</v>
      </c>
      <c r="H295" s="31" t="n">
        <v>46233</v>
      </c>
      <c r="I295" s="32" t="n">
        <v>16</v>
      </c>
      <c r="J295" s="30"/>
    </row>
    <row r="296" customFormat="false" ht="15" hidden="false" customHeight="false" outlineLevel="0" collapsed="false">
      <c r="A296" s="30" t="s">
        <v>61</v>
      </c>
      <c r="B296" s="30" t="s">
        <v>789</v>
      </c>
      <c r="C296" s="30" t="s">
        <v>1059</v>
      </c>
      <c r="D296" s="30"/>
      <c r="E296" s="30" t="s">
        <v>1031</v>
      </c>
      <c r="F296" s="30" t="s">
        <v>29</v>
      </c>
      <c r="G296" s="31" t="n">
        <v>46217</v>
      </c>
      <c r="H296" s="31" t="n">
        <v>46233</v>
      </c>
      <c r="I296" s="32" t="n">
        <v>16</v>
      </c>
      <c r="J296" s="30"/>
    </row>
    <row r="297" customFormat="false" ht="15" hidden="false" customHeight="false" outlineLevel="0" collapsed="false">
      <c r="A297" s="30" t="s">
        <v>61</v>
      </c>
      <c r="B297" s="30" t="s">
        <v>789</v>
      </c>
      <c r="C297" s="30" t="s">
        <v>1060</v>
      </c>
      <c r="D297" s="30"/>
      <c r="E297" s="30" t="s">
        <v>1031</v>
      </c>
      <c r="F297" s="30" t="s">
        <v>29</v>
      </c>
      <c r="G297" s="31" t="n">
        <v>46217</v>
      </c>
      <c r="H297" s="31" t="n">
        <v>46233</v>
      </c>
      <c r="I297" s="32" t="n">
        <v>16</v>
      </c>
      <c r="J297" s="30"/>
    </row>
    <row r="298" customFormat="false" ht="15" hidden="false" customHeight="false" outlineLevel="0" collapsed="false">
      <c r="A298" s="30" t="s">
        <v>61</v>
      </c>
      <c r="B298" s="30" t="s">
        <v>792</v>
      </c>
      <c r="C298" s="30" t="s">
        <v>1061</v>
      </c>
      <c r="D298" s="30"/>
      <c r="E298" s="30" t="s">
        <v>1062</v>
      </c>
      <c r="F298" s="30" t="s">
        <v>29</v>
      </c>
      <c r="G298" s="31" t="n">
        <v>46213</v>
      </c>
      <c r="H298" s="31" t="n">
        <v>46233</v>
      </c>
      <c r="I298" s="32" t="n">
        <v>20</v>
      </c>
      <c r="J298" s="30"/>
    </row>
    <row r="299" customFormat="false" ht="15" hidden="false" customHeight="false" outlineLevel="0" collapsed="false">
      <c r="A299" s="30" t="s">
        <v>61</v>
      </c>
      <c r="B299" s="30" t="s">
        <v>792</v>
      </c>
      <c r="C299" s="30" t="s">
        <v>1063</v>
      </c>
      <c r="D299" s="30"/>
      <c r="E299" s="30" t="s">
        <v>1062</v>
      </c>
      <c r="F299" s="30" t="s">
        <v>29</v>
      </c>
      <c r="G299" s="31" t="n">
        <v>46213</v>
      </c>
      <c r="H299" s="31" t="n">
        <v>46233</v>
      </c>
      <c r="I299" s="32" t="n">
        <v>20</v>
      </c>
      <c r="J299" s="30"/>
    </row>
    <row r="300" customFormat="false" ht="15" hidden="false" customHeight="false" outlineLevel="0" collapsed="false">
      <c r="A300" s="30" t="s">
        <v>61</v>
      </c>
      <c r="B300" s="30" t="s">
        <v>792</v>
      </c>
      <c r="C300" s="30" t="s">
        <v>1064</v>
      </c>
      <c r="D300" s="30"/>
      <c r="E300" s="30" t="s">
        <v>1062</v>
      </c>
      <c r="F300" s="30" t="s">
        <v>29</v>
      </c>
      <c r="G300" s="31" t="n">
        <v>46213</v>
      </c>
      <c r="H300" s="31" t="n">
        <v>46233</v>
      </c>
      <c r="I300" s="32" t="n">
        <v>20</v>
      </c>
      <c r="J300" s="30"/>
    </row>
    <row r="301" customFormat="false" ht="15" hidden="false" customHeight="false" outlineLevel="0" collapsed="false">
      <c r="A301" s="30" t="s">
        <v>61</v>
      </c>
      <c r="B301" s="30" t="s">
        <v>792</v>
      </c>
      <c r="C301" s="30" t="s">
        <v>1065</v>
      </c>
      <c r="D301" s="30"/>
      <c r="E301" s="30" t="s">
        <v>1062</v>
      </c>
      <c r="F301" s="30" t="s">
        <v>29</v>
      </c>
      <c r="G301" s="31" t="n">
        <v>46213</v>
      </c>
      <c r="H301" s="31" t="n">
        <v>46233</v>
      </c>
      <c r="I301" s="32" t="n">
        <v>20</v>
      </c>
      <c r="J301" s="30"/>
    </row>
    <row r="302" customFormat="false" ht="15" hidden="false" customHeight="false" outlineLevel="0" collapsed="false">
      <c r="A302" s="30" t="s">
        <v>61</v>
      </c>
      <c r="B302" s="30" t="s">
        <v>792</v>
      </c>
      <c r="C302" s="30" t="s">
        <v>1066</v>
      </c>
      <c r="D302" s="30"/>
      <c r="E302" s="30" t="s">
        <v>1062</v>
      </c>
      <c r="F302" s="30" t="s">
        <v>29</v>
      </c>
      <c r="G302" s="31" t="n">
        <v>46213</v>
      </c>
      <c r="H302" s="31" t="n">
        <v>46233</v>
      </c>
      <c r="I302" s="32" t="n">
        <v>20</v>
      </c>
      <c r="J302" s="30"/>
    </row>
    <row r="303" customFormat="false" ht="15" hidden="false" customHeight="false" outlineLevel="0" collapsed="false">
      <c r="A303" s="30" t="s">
        <v>61</v>
      </c>
      <c r="B303" s="30" t="s">
        <v>786</v>
      </c>
      <c r="C303" s="30" t="s">
        <v>1067</v>
      </c>
      <c r="D303" s="30"/>
      <c r="E303" s="30" t="s">
        <v>1062</v>
      </c>
      <c r="F303" s="30" t="s">
        <v>29</v>
      </c>
      <c r="G303" s="31" t="n">
        <v>46213</v>
      </c>
      <c r="H303" s="31" t="n">
        <v>46233</v>
      </c>
      <c r="I303" s="32" t="n">
        <v>20</v>
      </c>
      <c r="J303" s="30"/>
    </row>
    <row r="304" customFormat="false" ht="15" hidden="false" customHeight="false" outlineLevel="0" collapsed="false">
      <c r="A304" s="30" t="s">
        <v>61</v>
      </c>
      <c r="B304" s="30" t="s">
        <v>786</v>
      </c>
      <c r="C304" s="30" t="s">
        <v>1068</v>
      </c>
      <c r="D304" s="30"/>
      <c r="E304" s="30" t="s">
        <v>1062</v>
      </c>
      <c r="F304" s="30" t="s">
        <v>29</v>
      </c>
      <c r="G304" s="31" t="n">
        <v>46213</v>
      </c>
      <c r="H304" s="31" t="n">
        <v>46233</v>
      </c>
      <c r="I304" s="32" t="n">
        <v>20</v>
      </c>
      <c r="J304" s="30"/>
    </row>
    <row r="305" customFormat="false" ht="15" hidden="false" customHeight="false" outlineLevel="0" collapsed="false">
      <c r="A305" s="30" t="s">
        <v>61</v>
      </c>
      <c r="B305" s="30" t="s">
        <v>786</v>
      </c>
      <c r="C305" s="30" t="s">
        <v>1069</v>
      </c>
      <c r="D305" s="30"/>
      <c r="E305" s="30" t="s">
        <v>1062</v>
      </c>
      <c r="F305" s="30" t="s">
        <v>29</v>
      </c>
      <c r="G305" s="31" t="n">
        <v>46213</v>
      </c>
      <c r="H305" s="31" t="n">
        <v>46233</v>
      </c>
      <c r="I305" s="32" t="n">
        <v>20</v>
      </c>
      <c r="J305" s="30"/>
    </row>
    <row r="306" customFormat="false" ht="15" hidden="false" customHeight="false" outlineLevel="0" collapsed="false">
      <c r="A306" s="30" t="s">
        <v>61</v>
      </c>
      <c r="B306" s="30" t="s">
        <v>786</v>
      </c>
      <c r="C306" s="30" t="s">
        <v>1070</v>
      </c>
      <c r="D306" s="30"/>
      <c r="E306" s="30" t="s">
        <v>1062</v>
      </c>
      <c r="F306" s="30" t="s">
        <v>29</v>
      </c>
      <c r="G306" s="31" t="n">
        <v>46213</v>
      </c>
      <c r="H306" s="31" t="n">
        <v>46233</v>
      </c>
      <c r="I306" s="32" t="n">
        <v>20</v>
      </c>
      <c r="J306" s="30"/>
    </row>
    <row r="307" customFormat="false" ht="15" hidden="false" customHeight="false" outlineLevel="0" collapsed="false">
      <c r="A307" s="30" t="s">
        <v>61</v>
      </c>
      <c r="B307" s="30" t="s">
        <v>786</v>
      </c>
      <c r="C307" s="30" t="s">
        <v>1071</v>
      </c>
      <c r="D307" s="30"/>
      <c r="E307" s="30" t="s">
        <v>1062</v>
      </c>
      <c r="F307" s="30" t="s">
        <v>29</v>
      </c>
      <c r="G307" s="31" t="n">
        <v>46213</v>
      </c>
      <c r="H307" s="31" t="n">
        <v>46233</v>
      </c>
      <c r="I307" s="32" t="n">
        <v>20</v>
      </c>
      <c r="J307" s="30"/>
    </row>
    <row r="308" customFormat="false" ht="15" hidden="false" customHeight="false" outlineLevel="0" collapsed="false">
      <c r="A308" s="30" t="s">
        <v>61</v>
      </c>
      <c r="B308" s="30" t="s">
        <v>786</v>
      </c>
      <c r="C308" s="30" t="s">
        <v>1072</v>
      </c>
      <c r="D308" s="30"/>
      <c r="E308" s="30" t="s">
        <v>1062</v>
      </c>
      <c r="F308" s="30" t="s">
        <v>29</v>
      </c>
      <c r="G308" s="31" t="n">
        <v>46213</v>
      </c>
      <c r="H308" s="31" t="n">
        <v>46233</v>
      </c>
      <c r="I308" s="32" t="n">
        <v>20</v>
      </c>
      <c r="J308" s="30"/>
    </row>
    <row r="309" customFormat="false" ht="15" hidden="false" customHeight="false" outlineLevel="0" collapsed="false">
      <c r="A309" s="30" t="s">
        <v>61</v>
      </c>
      <c r="B309" s="30" t="s">
        <v>786</v>
      </c>
      <c r="C309" s="30" t="s">
        <v>1073</v>
      </c>
      <c r="D309" s="30"/>
      <c r="E309" s="30" t="s">
        <v>1062</v>
      </c>
      <c r="F309" s="30" t="s">
        <v>29</v>
      </c>
      <c r="G309" s="31" t="n">
        <v>46213</v>
      </c>
      <c r="H309" s="31" t="n">
        <v>46233</v>
      </c>
      <c r="I309" s="32" t="n">
        <v>20</v>
      </c>
      <c r="J309" s="30"/>
    </row>
    <row r="310" customFormat="false" ht="15" hidden="false" customHeight="false" outlineLevel="0" collapsed="false">
      <c r="A310" s="30" t="s">
        <v>61</v>
      </c>
      <c r="B310" s="30" t="s">
        <v>786</v>
      </c>
      <c r="C310" s="30" t="s">
        <v>1074</v>
      </c>
      <c r="D310" s="30"/>
      <c r="E310" s="30" t="s">
        <v>1062</v>
      </c>
      <c r="F310" s="30" t="s">
        <v>29</v>
      </c>
      <c r="G310" s="31" t="n">
        <v>46213</v>
      </c>
      <c r="H310" s="31" t="n">
        <v>46233</v>
      </c>
      <c r="I310" s="32" t="n">
        <v>20</v>
      </c>
      <c r="J310" s="30"/>
    </row>
    <row r="311" customFormat="false" ht="15" hidden="false" customHeight="false" outlineLevel="0" collapsed="false">
      <c r="A311" s="30" t="s">
        <v>61</v>
      </c>
      <c r="B311" s="30" t="s">
        <v>786</v>
      </c>
      <c r="C311" s="30" t="s">
        <v>1075</v>
      </c>
      <c r="D311" s="30"/>
      <c r="E311" s="30" t="s">
        <v>1062</v>
      </c>
      <c r="F311" s="30" t="s">
        <v>29</v>
      </c>
      <c r="G311" s="31" t="n">
        <v>46213</v>
      </c>
      <c r="H311" s="31" t="n">
        <v>46233</v>
      </c>
      <c r="I311" s="32" t="n">
        <v>20</v>
      </c>
      <c r="J311" s="30"/>
    </row>
    <row r="312" customFormat="false" ht="15" hidden="false" customHeight="false" outlineLevel="0" collapsed="false">
      <c r="A312" s="30" t="s">
        <v>61</v>
      </c>
      <c r="B312" s="30" t="s">
        <v>786</v>
      </c>
      <c r="C312" s="30" t="s">
        <v>1076</v>
      </c>
      <c r="D312" s="30"/>
      <c r="E312" s="30" t="s">
        <v>1062</v>
      </c>
      <c r="F312" s="30" t="s">
        <v>29</v>
      </c>
      <c r="G312" s="31" t="n">
        <v>46213</v>
      </c>
      <c r="H312" s="31" t="n">
        <v>46233</v>
      </c>
      <c r="I312" s="32" t="n">
        <v>20</v>
      </c>
      <c r="J312" s="30"/>
    </row>
    <row r="313" customFormat="false" ht="15" hidden="false" customHeight="false" outlineLevel="0" collapsed="false">
      <c r="A313" s="30" t="s">
        <v>61</v>
      </c>
      <c r="B313" s="30" t="s">
        <v>786</v>
      </c>
      <c r="C313" s="30" t="s">
        <v>1077</v>
      </c>
      <c r="D313" s="30"/>
      <c r="E313" s="30" t="s">
        <v>1062</v>
      </c>
      <c r="F313" s="30" t="s">
        <v>29</v>
      </c>
      <c r="G313" s="31" t="n">
        <v>46213</v>
      </c>
      <c r="H313" s="31" t="n">
        <v>46233</v>
      </c>
      <c r="I313" s="32" t="n">
        <v>20</v>
      </c>
      <c r="J313" s="30"/>
    </row>
    <row r="314" customFormat="false" ht="15" hidden="false" customHeight="false" outlineLevel="0" collapsed="false">
      <c r="A314" s="30" t="s">
        <v>61</v>
      </c>
      <c r="B314" s="30" t="s">
        <v>786</v>
      </c>
      <c r="C314" s="30" t="s">
        <v>1078</v>
      </c>
      <c r="D314" s="30"/>
      <c r="E314" s="30" t="s">
        <v>1062</v>
      </c>
      <c r="F314" s="30" t="s">
        <v>29</v>
      </c>
      <c r="G314" s="31" t="n">
        <v>46213</v>
      </c>
      <c r="H314" s="31" t="n">
        <v>46233</v>
      </c>
      <c r="I314" s="32" t="n">
        <v>20</v>
      </c>
      <c r="J314" s="30"/>
    </row>
    <row r="315" customFormat="false" ht="15" hidden="false" customHeight="false" outlineLevel="0" collapsed="false">
      <c r="A315" s="30" t="s">
        <v>61</v>
      </c>
      <c r="B315" s="30" t="s">
        <v>786</v>
      </c>
      <c r="C315" s="30" t="s">
        <v>1079</v>
      </c>
      <c r="D315" s="30"/>
      <c r="E315" s="30" t="s">
        <v>1062</v>
      </c>
      <c r="F315" s="30" t="s">
        <v>29</v>
      </c>
      <c r="G315" s="31" t="n">
        <v>46213</v>
      </c>
      <c r="H315" s="31" t="n">
        <v>46233</v>
      </c>
      <c r="I315" s="32" t="n">
        <v>20</v>
      </c>
      <c r="J315" s="30"/>
    </row>
    <row r="316" customFormat="false" ht="15" hidden="false" customHeight="false" outlineLevel="0" collapsed="false">
      <c r="A316" s="30" t="s">
        <v>61</v>
      </c>
      <c r="B316" s="30" t="s">
        <v>786</v>
      </c>
      <c r="C316" s="30" t="s">
        <v>1080</v>
      </c>
      <c r="D316" s="30"/>
      <c r="E316" s="30" t="s">
        <v>1062</v>
      </c>
      <c r="F316" s="30" t="s">
        <v>29</v>
      </c>
      <c r="G316" s="31" t="n">
        <v>46213</v>
      </c>
      <c r="H316" s="31" t="n">
        <v>46233</v>
      </c>
      <c r="I316" s="32" t="n">
        <v>20</v>
      </c>
      <c r="J316" s="30"/>
    </row>
    <row r="317" customFormat="false" ht="15" hidden="false" customHeight="false" outlineLevel="0" collapsed="false">
      <c r="A317" s="30" t="s">
        <v>61</v>
      </c>
      <c r="B317" s="30" t="s">
        <v>786</v>
      </c>
      <c r="C317" s="30" t="s">
        <v>1081</v>
      </c>
      <c r="D317" s="30"/>
      <c r="E317" s="30" t="s">
        <v>1062</v>
      </c>
      <c r="F317" s="30" t="s">
        <v>29</v>
      </c>
      <c r="G317" s="31" t="n">
        <v>46213</v>
      </c>
      <c r="H317" s="31" t="n">
        <v>46233</v>
      </c>
      <c r="I317" s="32" t="n">
        <v>20</v>
      </c>
      <c r="J317" s="30"/>
    </row>
    <row r="318" customFormat="false" ht="15" hidden="false" customHeight="false" outlineLevel="0" collapsed="false">
      <c r="A318" s="30" t="s">
        <v>61</v>
      </c>
      <c r="B318" s="30" t="s">
        <v>786</v>
      </c>
      <c r="C318" s="30" t="s">
        <v>1082</v>
      </c>
      <c r="D318" s="30"/>
      <c r="E318" s="30" t="s">
        <v>1062</v>
      </c>
      <c r="F318" s="30" t="s">
        <v>29</v>
      </c>
      <c r="G318" s="31" t="n">
        <v>46217</v>
      </c>
      <c r="H318" s="31" t="n">
        <v>46233</v>
      </c>
      <c r="I318" s="32" t="n">
        <v>16</v>
      </c>
      <c r="J318" s="30"/>
    </row>
    <row r="319" customFormat="false" ht="15" hidden="false" customHeight="false" outlineLevel="0" collapsed="false">
      <c r="A319" s="30" t="s">
        <v>61</v>
      </c>
      <c r="B319" s="30" t="s">
        <v>786</v>
      </c>
      <c r="C319" s="30" t="s">
        <v>1083</v>
      </c>
      <c r="D319" s="30"/>
      <c r="E319" s="30" t="s">
        <v>1062</v>
      </c>
      <c r="F319" s="30" t="s">
        <v>29</v>
      </c>
      <c r="G319" s="31" t="n">
        <v>46213</v>
      </c>
      <c r="H319" s="31" t="n">
        <v>46233</v>
      </c>
      <c r="I319" s="32" t="n">
        <v>20</v>
      </c>
      <c r="J319" s="30"/>
    </row>
    <row r="320" customFormat="false" ht="15" hidden="false" customHeight="false" outlineLevel="0" collapsed="false">
      <c r="A320" s="30" t="s">
        <v>61</v>
      </c>
      <c r="B320" s="30" t="s">
        <v>786</v>
      </c>
      <c r="C320" s="30" t="s">
        <v>1084</v>
      </c>
      <c r="D320" s="30"/>
      <c r="E320" s="30" t="s">
        <v>1062</v>
      </c>
      <c r="F320" s="30" t="s">
        <v>29</v>
      </c>
      <c r="G320" s="31" t="n">
        <v>46213</v>
      </c>
      <c r="H320" s="31" t="n">
        <v>46233</v>
      </c>
      <c r="I320" s="32" t="n">
        <v>20</v>
      </c>
      <c r="J320" s="30"/>
    </row>
    <row r="321" customFormat="false" ht="15" hidden="false" customHeight="false" outlineLevel="0" collapsed="false">
      <c r="A321" s="30" t="s">
        <v>61</v>
      </c>
      <c r="B321" s="30" t="s">
        <v>786</v>
      </c>
      <c r="C321" s="30" t="s">
        <v>1085</v>
      </c>
      <c r="D321" s="30"/>
      <c r="E321" s="30" t="s">
        <v>1062</v>
      </c>
      <c r="F321" s="30" t="s">
        <v>29</v>
      </c>
      <c r="G321" s="31" t="n">
        <v>46213</v>
      </c>
      <c r="H321" s="31" t="n">
        <v>46233</v>
      </c>
      <c r="I321" s="32" t="n">
        <v>20</v>
      </c>
      <c r="J321" s="30"/>
    </row>
    <row r="322" customFormat="false" ht="15" hidden="false" customHeight="false" outlineLevel="0" collapsed="false">
      <c r="A322" s="30" t="s">
        <v>61</v>
      </c>
      <c r="B322" s="30" t="s">
        <v>786</v>
      </c>
      <c r="C322" s="30" t="s">
        <v>1086</v>
      </c>
      <c r="D322" s="30"/>
      <c r="E322" s="30" t="s">
        <v>1062</v>
      </c>
      <c r="F322" s="30" t="s">
        <v>29</v>
      </c>
      <c r="G322" s="31" t="n">
        <v>46213</v>
      </c>
      <c r="H322" s="31" t="n">
        <v>46233</v>
      </c>
      <c r="I322" s="32" t="n">
        <v>20</v>
      </c>
      <c r="J322" s="30"/>
    </row>
    <row r="323" customFormat="false" ht="15" hidden="false" customHeight="false" outlineLevel="0" collapsed="false">
      <c r="A323" s="30" t="s">
        <v>61</v>
      </c>
      <c r="B323" s="30" t="s">
        <v>789</v>
      </c>
      <c r="C323" s="30" t="s">
        <v>1087</v>
      </c>
      <c r="D323" s="30"/>
      <c r="E323" s="30" t="s">
        <v>1062</v>
      </c>
      <c r="F323" s="30" t="s">
        <v>29</v>
      </c>
      <c r="G323" s="31" t="n">
        <v>46213</v>
      </c>
      <c r="H323" s="31" t="n">
        <v>46233</v>
      </c>
      <c r="I323" s="32" t="n">
        <v>20</v>
      </c>
      <c r="J323" s="30"/>
    </row>
    <row r="324" customFormat="false" ht="15" hidden="false" customHeight="false" outlineLevel="0" collapsed="false">
      <c r="A324" s="30" t="s">
        <v>61</v>
      </c>
      <c r="B324" s="30" t="s">
        <v>789</v>
      </c>
      <c r="C324" s="30" t="s">
        <v>1088</v>
      </c>
      <c r="D324" s="30"/>
      <c r="E324" s="30" t="s">
        <v>1062</v>
      </c>
      <c r="F324" s="30" t="s">
        <v>29</v>
      </c>
      <c r="G324" s="31" t="n">
        <v>46213</v>
      </c>
      <c r="H324" s="31" t="n">
        <v>46233</v>
      </c>
      <c r="I324" s="32" t="n">
        <v>20</v>
      </c>
      <c r="J324" s="30"/>
    </row>
    <row r="325" customFormat="false" ht="15" hidden="false" customHeight="false" outlineLevel="0" collapsed="false">
      <c r="A325" s="30" t="s">
        <v>61</v>
      </c>
      <c r="B325" s="30" t="s">
        <v>789</v>
      </c>
      <c r="C325" s="30" t="s">
        <v>1089</v>
      </c>
      <c r="D325" s="30"/>
      <c r="E325" s="30" t="s">
        <v>1062</v>
      </c>
      <c r="F325" s="30" t="s">
        <v>29</v>
      </c>
      <c r="G325" s="31" t="n">
        <v>46213</v>
      </c>
      <c r="H325" s="31" t="n">
        <v>46233</v>
      </c>
      <c r="I325" s="32" t="n">
        <v>20</v>
      </c>
      <c r="J325" s="30"/>
    </row>
    <row r="326" customFormat="false" ht="15" hidden="false" customHeight="false" outlineLevel="0" collapsed="false">
      <c r="A326" s="30" t="s">
        <v>61</v>
      </c>
      <c r="B326" s="30" t="s">
        <v>789</v>
      </c>
      <c r="C326" s="30" t="s">
        <v>1090</v>
      </c>
      <c r="D326" s="30"/>
      <c r="E326" s="30" t="s">
        <v>1062</v>
      </c>
      <c r="F326" s="30" t="s">
        <v>29</v>
      </c>
      <c r="G326" s="31" t="n">
        <v>46213</v>
      </c>
      <c r="H326" s="31" t="n">
        <v>46233</v>
      </c>
      <c r="I326" s="32" t="n">
        <v>20</v>
      </c>
      <c r="J326" s="30"/>
    </row>
    <row r="327" customFormat="false" ht="15" hidden="false" customHeight="false" outlineLevel="0" collapsed="false">
      <c r="A327" s="30" t="s">
        <v>61</v>
      </c>
      <c r="B327" s="30" t="s">
        <v>789</v>
      </c>
      <c r="C327" s="30" t="s">
        <v>1091</v>
      </c>
      <c r="D327" s="30"/>
      <c r="E327" s="30" t="s">
        <v>1062</v>
      </c>
      <c r="F327" s="30" t="s">
        <v>29</v>
      </c>
      <c r="G327" s="31" t="n">
        <v>46213</v>
      </c>
      <c r="H327" s="31" t="n">
        <v>46233</v>
      </c>
      <c r="I327" s="32" t="n">
        <v>20</v>
      </c>
      <c r="J327" s="30"/>
    </row>
    <row r="328" customFormat="false" ht="15" hidden="false" customHeight="false" outlineLevel="0" collapsed="false">
      <c r="A328" s="30" t="s">
        <v>51</v>
      </c>
      <c r="B328" s="30" t="s">
        <v>1092</v>
      </c>
      <c r="C328" s="30" t="s">
        <v>1093</v>
      </c>
      <c r="D328" s="30"/>
      <c r="E328" s="30" t="s">
        <v>355</v>
      </c>
      <c r="F328" s="30" t="s">
        <v>29</v>
      </c>
      <c r="G328" s="31" t="n">
        <v>46212</v>
      </c>
      <c r="H328" s="31" t="n">
        <v>46233</v>
      </c>
      <c r="I328" s="32" t="n">
        <v>21</v>
      </c>
      <c r="J328" s="30"/>
    </row>
    <row r="329" customFormat="false" ht="15" hidden="false" customHeight="false" outlineLevel="0" collapsed="false">
      <c r="A329" s="30" t="s">
        <v>51</v>
      </c>
      <c r="B329" s="30" t="s">
        <v>1092</v>
      </c>
      <c r="C329" s="30" t="s">
        <v>1094</v>
      </c>
      <c r="D329" s="30"/>
      <c r="E329" s="30" t="s">
        <v>355</v>
      </c>
      <c r="F329" s="30" t="s">
        <v>29</v>
      </c>
      <c r="G329" s="31" t="n">
        <v>46212</v>
      </c>
      <c r="H329" s="31" t="n">
        <v>46233</v>
      </c>
      <c r="I329" s="32" t="n">
        <v>21</v>
      </c>
      <c r="J329" s="30"/>
    </row>
    <row r="330" customFormat="false" ht="15" hidden="false" customHeight="false" outlineLevel="0" collapsed="false">
      <c r="A330" s="30" t="s">
        <v>51</v>
      </c>
      <c r="B330" s="30" t="s">
        <v>819</v>
      </c>
      <c r="C330" s="30" t="s">
        <v>1095</v>
      </c>
      <c r="D330" s="30"/>
      <c r="E330" s="30" t="s">
        <v>355</v>
      </c>
      <c r="F330" s="30" t="s">
        <v>29</v>
      </c>
      <c r="G330" s="31" t="n">
        <v>46212</v>
      </c>
      <c r="H330" s="31" t="n">
        <v>46233</v>
      </c>
      <c r="I330" s="32" t="n">
        <v>21</v>
      </c>
      <c r="J330" s="30"/>
    </row>
    <row r="331" customFormat="false" ht="15" hidden="false" customHeight="false" outlineLevel="0" collapsed="false">
      <c r="A331" s="30" t="s">
        <v>51</v>
      </c>
      <c r="B331" s="30" t="s">
        <v>815</v>
      </c>
      <c r="C331" s="30" t="s">
        <v>1096</v>
      </c>
      <c r="D331" s="30"/>
      <c r="E331" s="30" t="s">
        <v>355</v>
      </c>
      <c r="F331" s="30" t="s">
        <v>29</v>
      </c>
      <c r="G331" s="31" t="n">
        <v>46212</v>
      </c>
      <c r="H331" s="31" t="n">
        <v>46233</v>
      </c>
      <c r="I331" s="32" t="n">
        <v>21</v>
      </c>
      <c r="J331" s="30"/>
    </row>
    <row r="332" customFormat="false" ht="15" hidden="false" customHeight="false" outlineLevel="0" collapsed="false">
      <c r="A332" s="30" t="s">
        <v>51</v>
      </c>
      <c r="B332" s="30" t="s">
        <v>815</v>
      </c>
      <c r="C332" s="30" t="s">
        <v>1097</v>
      </c>
      <c r="D332" s="30"/>
      <c r="E332" s="30" t="s">
        <v>355</v>
      </c>
      <c r="F332" s="30" t="s">
        <v>29</v>
      </c>
      <c r="G332" s="31" t="n">
        <v>46212</v>
      </c>
      <c r="H332" s="31" t="n">
        <v>46233</v>
      </c>
      <c r="I332" s="32" t="n">
        <v>21</v>
      </c>
      <c r="J332" s="30"/>
    </row>
    <row r="333" customFormat="false" ht="15" hidden="false" customHeight="false" outlineLevel="0" collapsed="false">
      <c r="A333" s="30" t="s">
        <v>51</v>
      </c>
      <c r="B333" s="30" t="s">
        <v>815</v>
      </c>
      <c r="C333" s="30" t="s">
        <v>1098</v>
      </c>
      <c r="D333" s="30"/>
      <c r="E333" s="30" t="s">
        <v>355</v>
      </c>
      <c r="F333" s="30" t="s">
        <v>29</v>
      </c>
      <c r="G333" s="31" t="n">
        <v>46212</v>
      </c>
      <c r="H333" s="31" t="n">
        <v>46233</v>
      </c>
      <c r="I333" s="32" t="n">
        <v>21</v>
      </c>
      <c r="J333" s="30"/>
    </row>
    <row r="334" customFormat="false" ht="15" hidden="false" customHeight="false" outlineLevel="0" collapsed="false">
      <c r="A334" s="30" t="s">
        <v>51</v>
      </c>
      <c r="B334" s="30" t="s">
        <v>815</v>
      </c>
      <c r="C334" s="30" t="s">
        <v>1099</v>
      </c>
      <c r="D334" s="30"/>
      <c r="E334" s="30" t="s">
        <v>355</v>
      </c>
      <c r="F334" s="30" t="s">
        <v>29</v>
      </c>
      <c r="G334" s="31" t="n">
        <v>46212</v>
      </c>
      <c r="H334" s="31" t="n">
        <v>46233</v>
      </c>
      <c r="I334" s="32" t="n">
        <v>21</v>
      </c>
      <c r="J334" s="30"/>
    </row>
    <row r="335" customFormat="false" ht="15" hidden="false" customHeight="false" outlineLevel="0" collapsed="false">
      <c r="A335" s="30" t="s">
        <v>51</v>
      </c>
      <c r="B335" s="30" t="s">
        <v>819</v>
      </c>
      <c r="C335" s="30" t="s">
        <v>1100</v>
      </c>
      <c r="D335" s="30"/>
      <c r="E335" s="30" t="s">
        <v>355</v>
      </c>
      <c r="F335" s="30" t="s">
        <v>29</v>
      </c>
      <c r="G335" s="31" t="n">
        <v>46212</v>
      </c>
      <c r="H335" s="31" t="n">
        <v>46233</v>
      </c>
      <c r="I335" s="32" t="n">
        <v>21</v>
      </c>
      <c r="J335" s="30"/>
    </row>
    <row r="336" customFormat="false" ht="15" hidden="false" customHeight="false" outlineLevel="0" collapsed="false">
      <c r="A336" s="30" t="s">
        <v>51</v>
      </c>
      <c r="B336" s="30" t="s">
        <v>815</v>
      </c>
      <c r="C336" s="30" t="s">
        <v>1101</v>
      </c>
      <c r="D336" s="30"/>
      <c r="E336" s="30" t="s">
        <v>355</v>
      </c>
      <c r="F336" s="30" t="s">
        <v>29</v>
      </c>
      <c r="G336" s="31" t="n">
        <v>46212</v>
      </c>
      <c r="H336" s="31" t="n">
        <v>46233</v>
      </c>
      <c r="I336" s="32" t="n">
        <v>21</v>
      </c>
      <c r="J336" s="30"/>
    </row>
    <row r="337" customFormat="false" ht="15" hidden="false" customHeight="false" outlineLevel="0" collapsed="false">
      <c r="A337" s="30" t="s">
        <v>51</v>
      </c>
      <c r="B337" s="30" t="s">
        <v>815</v>
      </c>
      <c r="C337" s="30" t="s">
        <v>1102</v>
      </c>
      <c r="D337" s="30"/>
      <c r="E337" s="30" t="s">
        <v>355</v>
      </c>
      <c r="F337" s="30" t="s">
        <v>29</v>
      </c>
      <c r="G337" s="31" t="n">
        <v>46212</v>
      </c>
      <c r="H337" s="31" t="n">
        <v>46233</v>
      </c>
      <c r="I337" s="32" t="n">
        <v>21</v>
      </c>
      <c r="J337" s="30"/>
    </row>
    <row r="338" customFormat="false" ht="15" hidden="false" customHeight="false" outlineLevel="0" collapsed="false">
      <c r="A338" s="30" t="s">
        <v>51</v>
      </c>
      <c r="B338" s="30" t="s">
        <v>815</v>
      </c>
      <c r="C338" s="30" t="s">
        <v>1103</v>
      </c>
      <c r="D338" s="30"/>
      <c r="E338" s="30" t="s">
        <v>355</v>
      </c>
      <c r="F338" s="30" t="s">
        <v>29</v>
      </c>
      <c r="G338" s="31" t="n">
        <v>46212</v>
      </c>
      <c r="H338" s="31" t="n">
        <v>46233</v>
      </c>
      <c r="I338" s="32" t="n">
        <v>21</v>
      </c>
      <c r="J338" s="30"/>
    </row>
    <row r="339" customFormat="false" ht="15" hidden="false" customHeight="false" outlineLevel="0" collapsed="false">
      <c r="A339" s="30" t="s">
        <v>51</v>
      </c>
      <c r="B339" s="30" t="s">
        <v>815</v>
      </c>
      <c r="C339" s="30" t="s">
        <v>1104</v>
      </c>
      <c r="D339" s="30"/>
      <c r="E339" s="30" t="s">
        <v>355</v>
      </c>
      <c r="F339" s="30" t="s">
        <v>29</v>
      </c>
      <c r="G339" s="31" t="n">
        <v>46212</v>
      </c>
      <c r="H339" s="31" t="n">
        <v>46233</v>
      </c>
      <c r="I339" s="32" t="n">
        <v>21</v>
      </c>
      <c r="J339" s="30"/>
    </row>
    <row r="340" customFormat="false" ht="15" hidden="false" customHeight="false" outlineLevel="0" collapsed="false">
      <c r="A340" s="30" t="s">
        <v>51</v>
      </c>
      <c r="B340" s="30" t="s">
        <v>815</v>
      </c>
      <c r="C340" s="30" t="s">
        <v>1105</v>
      </c>
      <c r="D340" s="30"/>
      <c r="E340" s="30" t="s">
        <v>355</v>
      </c>
      <c r="F340" s="30" t="s">
        <v>29</v>
      </c>
      <c r="G340" s="31" t="n">
        <v>46212</v>
      </c>
      <c r="H340" s="31" t="n">
        <v>46233</v>
      </c>
      <c r="I340" s="32" t="n">
        <v>21</v>
      </c>
      <c r="J340" s="30"/>
    </row>
    <row r="341" customFormat="false" ht="15" hidden="false" customHeight="false" outlineLevel="0" collapsed="false">
      <c r="A341" s="30" t="s">
        <v>51</v>
      </c>
      <c r="B341" s="30" t="s">
        <v>815</v>
      </c>
      <c r="C341" s="30" t="s">
        <v>1106</v>
      </c>
      <c r="D341" s="30"/>
      <c r="E341" s="30" t="s">
        <v>355</v>
      </c>
      <c r="F341" s="30" t="s">
        <v>29</v>
      </c>
      <c r="G341" s="31" t="n">
        <v>46212</v>
      </c>
      <c r="H341" s="31" t="n">
        <v>46233</v>
      </c>
      <c r="I341" s="32" t="n">
        <v>21</v>
      </c>
      <c r="J341" s="30"/>
    </row>
    <row r="342" customFormat="false" ht="15" hidden="false" customHeight="false" outlineLevel="0" collapsed="false">
      <c r="A342" s="30" t="s">
        <v>51</v>
      </c>
      <c r="B342" s="30" t="s">
        <v>1092</v>
      </c>
      <c r="C342" s="30" t="s">
        <v>1107</v>
      </c>
      <c r="D342" s="30"/>
      <c r="E342" s="30" t="s">
        <v>355</v>
      </c>
      <c r="F342" s="30" t="s">
        <v>29</v>
      </c>
      <c r="G342" s="31" t="n">
        <v>46212</v>
      </c>
      <c r="H342" s="31" t="n">
        <v>46233</v>
      </c>
      <c r="I342" s="32" t="n">
        <v>21</v>
      </c>
      <c r="J342" s="30"/>
    </row>
    <row r="343" customFormat="false" ht="15" hidden="false" customHeight="false" outlineLevel="0" collapsed="false">
      <c r="A343" s="30" t="s">
        <v>51</v>
      </c>
      <c r="B343" s="30" t="s">
        <v>815</v>
      </c>
      <c r="C343" s="30" t="s">
        <v>1108</v>
      </c>
      <c r="D343" s="30"/>
      <c r="E343" s="30" t="s">
        <v>355</v>
      </c>
      <c r="F343" s="30" t="s">
        <v>29</v>
      </c>
      <c r="G343" s="31" t="n">
        <v>46212</v>
      </c>
      <c r="H343" s="31" t="n">
        <v>46233</v>
      </c>
      <c r="I343" s="32" t="n">
        <v>21</v>
      </c>
      <c r="J343" s="30"/>
    </row>
    <row r="344" customFormat="false" ht="15" hidden="false" customHeight="false" outlineLevel="0" collapsed="false">
      <c r="A344" s="30" t="s">
        <v>51</v>
      </c>
      <c r="B344" s="30" t="s">
        <v>815</v>
      </c>
      <c r="C344" s="30" t="s">
        <v>1109</v>
      </c>
      <c r="D344" s="30"/>
      <c r="E344" s="30" t="s">
        <v>355</v>
      </c>
      <c r="F344" s="30" t="s">
        <v>29</v>
      </c>
      <c r="G344" s="31" t="n">
        <v>46212</v>
      </c>
      <c r="H344" s="31" t="n">
        <v>46233</v>
      </c>
      <c r="I344" s="32" t="n">
        <v>21</v>
      </c>
      <c r="J344" s="30"/>
    </row>
    <row r="345" customFormat="false" ht="15" hidden="false" customHeight="false" outlineLevel="0" collapsed="false">
      <c r="A345" s="30" t="s">
        <v>51</v>
      </c>
      <c r="B345" s="30" t="s">
        <v>815</v>
      </c>
      <c r="C345" s="30" t="s">
        <v>1110</v>
      </c>
      <c r="D345" s="30"/>
      <c r="E345" s="30" t="s">
        <v>355</v>
      </c>
      <c r="F345" s="30" t="s">
        <v>29</v>
      </c>
      <c r="G345" s="31" t="n">
        <v>46212</v>
      </c>
      <c r="H345" s="31" t="n">
        <v>46233</v>
      </c>
      <c r="I345" s="32" t="n">
        <v>21</v>
      </c>
      <c r="J345" s="30"/>
    </row>
    <row r="346" customFormat="false" ht="15" hidden="false" customHeight="false" outlineLevel="0" collapsed="false">
      <c r="A346" s="30" t="s">
        <v>51</v>
      </c>
      <c r="B346" s="30" t="s">
        <v>815</v>
      </c>
      <c r="C346" s="30" t="s">
        <v>1111</v>
      </c>
      <c r="D346" s="30"/>
      <c r="E346" s="30" t="s">
        <v>355</v>
      </c>
      <c r="F346" s="30" t="s">
        <v>29</v>
      </c>
      <c r="G346" s="31" t="n">
        <v>46212</v>
      </c>
      <c r="H346" s="31" t="n">
        <v>46233</v>
      </c>
      <c r="I346" s="32" t="n">
        <v>21</v>
      </c>
      <c r="J346" s="30"/>
    </row>
    <row r="347" customFormat="false" ht="15" hidden="false" customHeight="false" outlineLevel="0" collapsed="false">
      <c r="A347" s="30" t="s">
        <v>51</v>
      </c>
      <c r="B347" s="30" t="s">
        <v>815</v>
      </c>
      <c r="C347" s="30" t="s">
        <v>1112</v>
      </c>
      <c r="D347" s="30"/>
      <c r="E347" s="30" t="s">
        <v>355</v>
      </c>
      <c r="F347" s="30" t="s">
        <v>29</v>
      </c>
      <c r="G347" s="31" t="n">
        <v>46212</v>
      </c>
      <c r="H347" s="31" t="n">
        <v>46233</v>
      </c>
      <c r="I347" s="32" t="n">
        <v>21</v>
      </c>
      <c r="J347" s="30"/>
    </row>
    <row r="348" customFormat="false" ht="15" hidden="false" customHeight="false" outlineLevel="0" collapsed="false">
      <c r="A348" s="30" t="s">
        <v>51</v>
      </c>
      <c r="B348" s="30" t="s">
        <v>815</v>
      </c>
      <c r="C348" s="30" t="s">
        <v>1113</v>
      </c>
      <c r="D348" s="30"/>
      <c r="E348" s="30" t="s">
        <v>355</v>
      </c>
      <c r="F348" s="30" t="s">
        <v>29</v>
      </c>
      <c r="G348" s="31" t="n">
        <v>46212</v>
      </c>
      <c r="H348" s="31" t="n">
        <v>46233</v>
      </c>
      <c r="I348" s="32" t="n">
        <v>21</v>
      </c>
      <c r="J348" s="30"/>
    </row>
    <row r="349" customFormat="false" ht="15" hidden="false" customHeight="false" outlineLevel="0" collapsed="false">
      <c r="A349" s="30" t="s">
        <v>51</v>
      </c>
      <c r="B349" s="30" t="s">
        <v>815</v>
      </c>
      <c r="C349" s="30" t="s">
        <v>1114</v>
      </c>
      <c r="D349" s="30"/>
      <c r="E349" s="30" t="s">
        <v>355</v>
      </c>
      <c r="F349" s="30" t="s">
        <v>29</v>
      </c>
      <c r="G349" s="31" t="n">
        <v>46212</v>
      </c>
      <c r="H349" s="31" t="n">
        <v>46233</v>
      </c>
      <c r="I349" s="32" t="n">
        <v>21</v>
      </c>
      <c r="J349" s="30"/>
    </row>
    <row r="350" customFormat="false" ht="15" hidden="false" customHeight="false" outlineLevel="0" collapsed="false">
      <c r="A350" s="30" t="s">
        <v>51</v>
      </c>
      <c r="B350" s="30" t="s">
        <v>815</v>
      </c>
      <c r="C350" s="30" t="s">
        <v>1115</v>
      </c>
      <c r="D350" s="30"/>
      <c r="E350" s="30" t="s">
        <v>355</v>
      </c>
      <c r="F350" s="30" t="s">
        <v>29</v>
      </c>
      <c r="G350" s="31" t="n">
        <v>46212</v>
      </c>
      <c r="H350" s="31" t="n">
        <v>46233</v>
      </c>
      <c r="I350" s="32" t="n">
        <v>21</v>
      </c>
      <c r="J350" s="30"/>
    </row>
    <row r="351" customFormat="false" ht="15" hidden="false" customHeight="false" outlineLevel="0" collapsed="false">
      <c r="A351" s="30" t="s">
        <v>51</v>
      </c>
      <c r="B351" s="30" t="s">
        <v>815</v>
      </c>
      <c r="C351" s="30" t="s">
        <v>1116</v>
      </c>
      <c r="D351" s="30"/>
      <c r="E351" s="30" t="s">
        <v>355</v>
      </c>
      <c r="F351" s="30" t="s">
        <v>29</v>
      </c>
      <c r="G351" s="31" t="n">
        <v>46212</v>
      </c>
      <c r="H351" s="31" t="n">
        <v>46233</v>
      </c>
      <c r="I351" s="32" t="n">
        <v>21</v>
      </c>
      <c r="J351" s="30"/>
    </row>
    <row r="352" customFormat="false" ht="15" hidden="false" customHeight="false" outlineLevel="0" collapsed="false">
      <c r="A352" s="30" t="s">
        <v>51</v>
      </c>
      <c r="B352" s="30" t="s">
        <v>815</v>
      </c>
      <c r="C352" s="30" t="s">
        <v>1117</v>
      </c>
      <c r="D352" s="30"/>
      <c r="E352" s="30" t="s">
        <v>355</v>
      </c>
      <c r="F352" s="30" t="s">
        <v>29</v>
      </c>
      <c r="G352" s="31" t="n">
        <v>46212</v>
      </c>
      <c r="H352" s="31" t="n">
        <v>46233</v>
      </c>
      <c r="I352" s="32" t="n">
        <v>21</v>
      </c>
      <c r="J352" s="30"/>
    </row>
    <row r="353" customFormat="false" ht="15" hidden="false" customHeight="false" outlineLevel="0" collapsed="false">
      <c r="A353" s="30" t="s">
        <v>51</v>
      </c>
      <c r="B353" s="30" t="s">
        <v>1092</v>
      </c>
      <c r="C353" s="30" t="s">
        <v>1118</v>
      </c>
      <c r="D353" s="30"/>
      <c r="E353" s="30" t="s">
        <v>355</v>
      </c>
      <c r="F353" s="30" t="s">
        <v>29</v>
      </c>
      <c r="G353" s="31" t="n">
        <v>46212</v>
      </c>
      <c r="H353" s="31" t="n">
        <v>46233</v>
      </c>
      <c r="I353" s="32" t="n">
        <v>21</v>
      </c>
      <c r="J353" s="30"/>
    </row>
    <row r="354" customFormat="false" ht="15" hidden="false" customHeight="false" outlineLevel="0" collapsed="false">
      <c r="A354" s="30" t="s">
        <v>51</v>
      </c>
      <c r="B354" s="30" t="s">
        <v>815</v>
      </c>
      <c r="C354" s="30" t="s">
        <v>1119</v>
      </c>
      <c r="D354" s="30"/>
      <c r="E354" s="30" t="s">
        <v>355</v>
      </c>
      <c r="F354" s="30" t="s">
        <v>29</v>
      </c>
      <c r="G354" s="31" t="n">
        <v>46212</v>
      </c>
      <c r="H354" s="31" t="n">
        <v>46233</v>
      </c>
      <c r="I354" s="32" t="n">
        <v>21</v>
      </c>
      <c r="J354" s="30"/>
    </row>
    <row r="355" customFormat="false" ht="15" hidden="false" customHeight="false" outlineLevel="0" collapsed="false">
      <c r="A355" s="30" t="s">
        <v>51</v>
      </c>
      <c r="B355" s="30" t="s">
        <v>815</v>
      </c>
      <c r="C355" s="30" t="s">
        <v>1120</v>
      </c>
      <c r="D355" s="30"/>
      <c r="E355" s="30" t="s">
        <v>355</v>
      </c>
      <c r="F355" s="30" t="s">
        <v>29</v>
      </c>
      <c r="G355" s="31" t="n">
        <v>46212</v>
      </c>
      <c r="H355" s="31" t="n">
        <v>46233</v>
      </c>
      <c r="I355" s="32" t="n">
        <v>21</v>
      </c>
      <c r="J355" s="30"/>
    </row>
    <row r="356" customFormat="false" ht="15" hidden="false" customHeight="false" outlineLevel="0" collapsed="false">
      <c r="A356" s="30" t="s">
        <v>51</v>
      </c>
      <c r="B356" s="30" t="s">
        <v>815</v>
      </c>
      <c r="C356" s="30" t="s">
        <v>1121</v>
      </c>
      <c r="D356" s="30"/>
      <c r="E356" s="30" t="s">
        <v>355</v>
      </c>
      <c r="F356" s="30" t="s">
        <v>29</v>
      </c>
      <c r="G356" s="31" t="n">
        <v>46212</v>
      </c>
      <c r="H356" s="31" t="n">
        <v>46233</v>
      </c>
      <c r="I356" s="32" t="n">
        <v>21</v>
      </c>
      <c r="J356" s="30"/>
    </row>
    <row r="357" customFormat="false" ht="15" hidden="false" customHeight="false" outlineLevel="0" collapsed="false">
      <c r="A357" s="30" t="s">
        <v>51</v>
      </c>
      <c r="B357" s="30" t="s">
        <v>815</v>
      </c>
      <c r="C357" s="30" t="s">
        <v>1122</v>
      </c>
      <c r="D357" s="30"/>
      <c r="E357" s="30" t="s">
        <v>355</v>
      </c>
      <c r="F357" s="30" t="s">
        <v>29</v>
      </c>
      <c r="G357" s="31" t="n">
        <v>46212</v>
      </c>
      <c r="H357" s="31" t="n">
        <v>46233</v>
      </c>
      <c r="I357" s="32" t="n">
        <v>21</v>
      </c>
      <c r="J357" s="30"/>
    </row>
    <row r="358" customFormat="false" ht="15" hidden="false" customHeight="false" outlineLevel="0" collapsed="false">
      <c r="A358" s="30" t="s">
        <v>51</v>
      </c>
      <c r="B358" s="30" t="s">
        <v>1092</v>
      </c>
      <c r="C358" s="30" t="s">
        <v>1123</v>
      </c>
      <c r="D358" s="30"/>
      <c r="E358" s="30" t="s">
        <v>355</v>
      </c>
      <c r="F358" s="30" t="s">
        <v>29</v>
      </c>
      <c r="G358" s="31" t="n">
        <v>46212</v>
      </c>
      <c r="H358" s="31" t="n">
        <v>46233</v>
      </c>
      <c r="I358" s="32" t="n">
        <v>21</v>
      </c>
      <c r="J358" s="30"/>
    </row>
    <row r="359" customFormat="false" ht="15" hidden="false" customHeight="false" outlineLevel="0" collapsed="false">
      <c r="A359" s="30" t="s">
        <v>51</v>
      </c>
      <c r="B359" s="30" t="s">
        <v>1092</v>
      </c>
      <c r="C359" s="30" t="s">
        <v>1124</v>
      </c>
      <c r="D359" s="30"/>
      <c r="E359" s="30" t="s">
        <v>355</v>
      </c>
      <c r="F359" s="30" t="s">
        <v>29</v>
      </c>
      <c r="G359" s="31" t="n">
        <v>46212</v>
      </c>
      <c r="H359" s="31" t="n">
        <v>46233</v>
      </c>
      <c r="I359" s="32" t="n">
        <v>21</v>
      </c>
      <c r="J359" s="30"/>
    </row>
    <row r="360" customFormat="false" ht="15" hidden="false" customHeight="false" outlineLevel="0" collapsed="false">
      <c r="A360" s="30" t="s">
        <v>51</v>
      </c>
      <c r="B360" s="30" t="s">
        <v>815</v>
      </c>
      <c r="C360" s="30" t="s">
        <v>1125</v>
      </c>
      <c r="D360" s="30"/>
      <c r="E360" s="30" t="s">
        <v>355</v>
      </c>
      <c r="F360" s="30" t="s">
        <v>29</v>
      </c>
      <c r="G360" s="31" t="n">
        <v>46212</v>
      </c>
      <c r="H360" s="31" t="n">
        <v>46233</v>
      </c>
      <c r="I360" s="32" t="n">
        <v>21</v>
      </c>
      <c r="J360" s="30"/>
    </row>
    <row r="361" customFormat="false" ht="15" hidden="false" customHeight="false" outlineLevel="0" collapsed="false">
      <c r="A361" s="30" t="s">
        <v>51</v>
      </c>
      <c r="B361" s="30" t="s">
        <v>815</v>
      </c>
      <c r="C361" s="30" t="s">
        <v>1126</v>
      </c>
      <c r="D361" s="30"/>
      <c r="E361" s="30" t="s">
        <v>355</v>
      </c>
      <c r="F361" s="30" t="s">
        <v>29</v>
      </c>
      <c r="G361" s="31" t="n">
        <v>46212</v>
      </c>
      <c r="H361" s="31" t="n">
        <v>46233</v>
      </c>
      <c r="I361" s="32" t="n">
        <v>21</v>
      </c>
      <c r="J361" s="30"/>
    </row>
    <row r="362" customFormat="false" ht="15" hidden="false" customHeight="false" outlineLevel="0" collapsed="false">
      <c r="A362" s="30" t="s">
        <v>51</v>
      </c>
      <c r="B362" s="30" t="s">
        <v>815</v>
      </c>
      <c r="C362" s="30" t="s">
        <v>1127</v>
      </c>
      <c r="D362" s="30"/>
      <c r="E362" s="30" t="s">
        <v>355</v>
      </c>
      <c r="F362" s="30" t="s">
        <v>29</v>
      </c>
      <c r="G362" s="31" t="n">
        <v>46212</v>
      </c>
      <c r="H362" s="31" t="n">
        <v>46233</v>
      </c>
      <c r="I362" s="32" t="n">
        <v>21</v>
      </c>
      <c r="J362" s="30"/>
    </row>
    <row r="363" customFormat="false" ht="15" hidden="false" customHeight="false" outlineLevel="0" collapsed="false">
      <c r="A363" s="30" t="s">
        <v>51</v>
      </c>
      <c r="B363" s="30" t="s">
        <v>815</v>
      </c>
      <c r="C363" s="30" t="s">
        <v>1128</v>
      </c>
      <c r="D363" s="30"/>
      <c r="E363" s="30" t="s">
        <v>355</v>
      </c>
      <c r="F363" s="30" t="s">
        <v>29</v>
      </c>
      <c r="G363" s="31" t="n">
        <v>46212</v>
      </c>
      <c r="H363" s="31" t="n">
        <v>46233</v>
      </c>
      <c r="I363" s="32" t="n">
        <v>21</v>
      </c>
      <c r="J363" s="30"/>
    </row>
    <row r="364" customFormat="false" ht="15" hidden="false" customHeight="false" outlineLevel="0" collapsed="false">
      <c r="A364" s="30" t="s">
        <v>51</v>
      </c>
      <c r="B364" s="30" t="s">
        <v>815</v>
      </c>
      <c r="C364" s="30" t="s">
        <v>1129</v>
      </c>
      <c r="D364" s="30"/>
      <c r="E364" s="30" t="s">
        <v>355</v>
      </c>
      <c r="F364" s="30" t="s">
        <v>29</v>
      </c>
      <c r="G364" s="31" t="n">
        <v>46212</v>
      </c>
      <c r="H364" s="31" t="n">
        <v>46233</v>
      </c>
      <c r="I364" s="32" t="n">
        <v>21</v>
      </c>
      <c r="J364" s="30"/>
    </row>
    <row r="365" customFormat="false" ht="15" hidden="false" customHeight="false" outlineLevel="0" collapsed="false">
      <c r="A365" s="30" t="s">
        <v>51</v>
      </c>
      <c r="B365" s="30" t="s">
        <v>1092</v>
      </c>
      <c r="C365" s="30" t="s">
        <v>1130</v>
      </c>
      <c r="D365" s="30"/>
      <c r="E365" s="30" t="s">
        <v>355</v>
      </c>
      <c r="F365" s="30" t="s">
        <v>29</v>
      </c>
      <c r="G365" s="31" t="n">
        <v>46212</v>
      </c>
      <c r="H365" s="31" t="n">
        <v>46233</v>
      </c>
      <c r="I365" s="32" t="n">
        <v>21</v>
      </c>
      <c r="J365" s="30"/>
    </row>
    <row r="366" customFormat="false" ht="15" hidden="false" customHeight="false" outlineLevel="0" collapsed="false">
      <c r="A366" s="30" t="s">
        <v>51</v>
      </c>
      <c r="B366" s="30" t="s">
        <v>815</v>
      </c>
      <c r="C366" s="30" t="s">
        <v>1131</v>
      </c>
      <c r="D366" s="30"/>
      <c r="E366" s="30" t="s">
        <v>355</v>
      </c>
      <c r="F366" s="30" t="s">
        <v>29</v>
      </c>
      <c r="G366" s="31" t="n">
        <v>46212</v>
      </c>
      <c r="H366" s="31" t="n">
        <v>46233</v>
      </c>
      <c r="I366" s="32" t="n">
        <v>21</v>
      </c>
      <c r="J366" s="30"/>
    </row>
    <row r="367" customFormat="false" ht="15" hidden="false" customHeight="false" outlineLevel="0" collapsed="false">
      <c r="A367" s="30" t="s">
        <v>51</v>
      </c>
      <c r="B367" s="30" t="s">
        <v>815</v>
      </c>
      <c r="C367" s="30" t="s">
        <v>1132</v>
      </c>
      <c r="D367" s="30"/>
      <c r="E367" s="30" t="s">
        <v>355</v>
      </c>
      <c r="F367" s="30" t="s">
        <v>29</v>
      </c>
      <c r="G367" s="31" t="n">
        <v>46212</v>
      </c>
      <c r="H367" s="31" t="n">
        <v>46233</v>
      </c>
      <c r="I367" s="32" t="n">
        <v>21</v>
      </c>
      <c r="J367" s="30"/>
    </row>
    <row r="368" customFormat="false" ht="15" hidden="false" customHeight="false" outlineLevel="0" collapsed="false">
      <c r="A368" s="30" t="s">
        <v>51</v>
      </c>
      <c r="B368" s="30" t="s">
        <v>353</v>
      </c>
      <c r="C368" s="30" t="s">
        <v>1133</v>
      </c>
      <c r="D368" s="30"/>
      <c r="E368" s="30" t="s">
        <v>719</v>
      </c>
      <c r="F368" s="30" t="s">
        <v>107</v>
      </c>
      <c r="G368" s="31" t="n">
        <v>46211</v>
      </c>
      <c r="H368" s="31" t="n">
        <v>46233</v>
      </c>
      <c r="I368" s="32" t="n">
        <v>22</v>
      </c>
      <c r="J368" s="30"/>
    </row>
    <row r="369" customFormat="false" ht="15" hidden="false" customHeight="false" outlineLevel="0" collapsed="false">
      <c r="A369" s="30" t="s">
        <v>51</v>
      </c>
      <c r="B369" s="30" t="s">
        <v>353</v>
      </c>
      <c r="C369" s="30" t="s">
        <v>1134</v>
      </c>
      <c r="D369" s="30"/>
      <c r="E369" s="30" t="s">
        <v>719</v>
      </c>
      <c r="F369" s="30" t="s">
        <v>107</v>
      </c>
      <c r="G369" s="31" t="n">
        <v>46211</v>
      </c>
      <c r="H369" s="31" t="n">
        <v>46233</v>
      </c>
      <c r="I369" s="32" t="n">
        <v>22</v>
      </c>
      <c r="J369" s="30"/>
    </row>
    <row r="370" customFormat="false" ht="15" hidden="false" customHeight="false" outlineLevel="0" collapsed="false">
      <c r="A370" s="30" t="s">
        <v>51</v>
      </c>
      <c r="B370" s="30" t="s">
        <v>353</v>
      </c>
      <c r="C370" s="30" t="s">
        <v>1135</v>
      </c>
      <c r="D370" s="30"/>
      <c r="E370" s="30" t="s">
        <v>719</v>
      </c>
      <c r="F370" s="30" t="s">
        <v>107</v>
      </c>
      <c r="G370" s="31" t="n">
        <v>46211</v>
      </c>
      <c r="H370" s="31" t="n">
        <v>46233</v>
      </c>
      <c r="I370" s="32" t="n">
        <v>22</v>
      </c>
      <c r="J370" s="30"/>
    </row>
    <row r="371" customFormat="false" ht="15" hidden="false" customHeight="false" outlineLevel="0" collapsed="false">
      <c r="A371" s="30" t="s">
        <v>51</v>
      </c>
      <c r="B371" s="30" t="s">
        <v>353</v>
      </c>
      <c r="C371" s="30" t="s">
        <v>1136</v>
      </c>
      <c r="D371" s="30"/>
      <c r="E371" s="30" t="s">
        <v>719</v>
      </c>
      <c r="F371" s="30" t="s">
        <v>107</v>
      </c>
      <c r="G371" s="31" t="n">
        <v>46211</v>
      </c>
      <c r="H371" s="31" t="n">
        <v>46233</v>
      </c>
      <c r="I371" s="32" t="n">
        <v>22</v>
      </c>
      <c r="J371" s="30"/>
    </row>
    <row r="372" customFormat="false" ht="15" hidden="false" customHeight="false" outlineLevel="0" collapsed="false">
      <c r="A372" s="30" t="s">
        <v>51</v>
      </c>
      <c r="B372" s="30" t="s">
        <v>353</v>
      </c>
      <c r="C372" s="30" t="s">
        <v>1137</v>
      </c>
      <c r="D372" s="30"/>
      <c r="E372" s="30" t="s">
        <v>719</v>
      </c>
      <c r="F372" s="30" t="s">
        <v>107</v>
      </c>
      <c r="G372" s="31" t="n">
        <v>46211</v>
      </c>
      <c r="H372" s="31" t="n">
        <v>46233</v>
      </c>
      <c r="I372" s="32" t="n">
        <v>22</v>
      </c>
      <c r="J372" s="30"/>
    </row>
    <row r="373" customFormat="false" ht="15" hidden="false" customHeight="false" outlineLevel="0" collapsed="false">
      <c r="A373" s="30" t="s">
        <v>51</v>
      </c>
      <c r="B373" s="30" t="s">
        <v>353</v>
      </c>
      <c r="C373" s="30" t="s">
        <v>1138</v>
      </c>
      <c r="D373" s="30"/>
      <c r="E373" s="30" t="s">
        <v>719</v>
      </c>
      <c r="F373" s="30" t="s">
        <v>107</v>
      </c>
      <c r="G373" s="31" t="n">
        <v>46211</v>
      </c>
      <c r="H373" s="31" t="n">
        <v>46233</v>
      </c>
      <c r="I373" s="32" t="n">
        <v>22</v>
      </c>
      <c r="J373" s="30"/>
    </row>
    <row r="374" customFormat="false" ht="15" hidden="false" customHeight="false" outlineLevel="0" collapsed="false">
      <c r="A374" s="30" t="s">
        <v>51</v>
      </c>
      <c r="B374" s="30" t="s">
        <v>353</v>
      </c>
      <c r="C374" s="30" t="s">
        <v>1139</v>
      </c>
      <c r="D374" s="30"/>
      <c r="E374" s="30" t="s">
        <v>719</v>
      </c>
      <c r="F374" s="30" t="s">
        <v>107</v>
      </c>
      <c r="G374" s="31" t="n">
        <v>46211</v>
      </c>
      <c r="H374" s="31" t="n">
        <v>46233</v>
      </c>
      <c r="I374" s="32" t="n">
        <v>22</v>
      </c>
      <c r="J374" s="30"/>
    </row>
    <row r="375" customFormat="false" ht="15" hidden="false" customHeight="false" outlineLevel="0" collapsed="false">
      <c r="A375" s="30" t="s">
        <v>1140</v>
      </c>
      <c r="B375" s="30" t="s">
        <v>1141</v>
      </c>
      <c r="C375" s="30" t="s">
        <v>1142</v>
      </c>
      <c r="D375" s="30"/>
      <c r="E375" s="30" t="s">
        <v>1143</v>
      </c>
      <c r="F375" s="30" t="s">
        <v>107</v>
      </c>
      <c r="G375" s="31" t="n">
        <v>46211</v>
      </c>
      <c r="H375" s="31" t="n">
        <v>46233</v>
      </c>
      <c r="I375" s="32" t="n">
        <v>22</v>
      </c>
      <c r="J375" s="30"/>
    </row>
    <row r="376" customFormat="false" ht="15" hidden="false" customHeight="false" outlineLevel="0" collapsed="false">
      <c r="A376" s="30" t="s">
        <v>1140</v>
      </c>
      <c r="B376" s="30" t="s">
        <v>1141</v>
      </c>
      <c r="C376" s="30" t="s">
        <v>1144</v>
      </c>
      <c r="D376" s="30"/>
      <c r="E376" s="30" t="s">
        <v>1143</v>
      </c>
      <c r="F376" s="30" t="s">
        <v>107</v>
      </c>
      <c r="G376" s="31" t="n">
        <v>46211</v>
      </c>
      <c r="H376" s="31" t="n">
        <v>46233</v>
      </c>
      <c r="I376" s="32" t="n">
        <v>22</v>
      </c>
      <c r="J376" s="30"/>
    </row>
    <row r="377" customFormat="false" ht="15" hidden="false" customHeight="false" outlineLevel="0" collapsed="false">
      <c r="A377" s="30" t="s">
        <v>1140</v>
      </c>
      <c r="B377" s="30" t="s">
        <v>1141</v>
      </c>
      <c r="C377" s="30" t="s">
        <v>1145</v>
      </c>
      <c r="D377" s="30"/>
      <c r="E377" s="30" t="s">
        <v>1143</v>
      </c>
      <c r="F377" s="30" t="s">
        <v>107</v>
      </c>
      <c r="G377" s="31" t="n">
        <v>46211</v>
      </c>
      <c r="H377" s="31" t="n">
        <v>46233</v>
      </c>
      <c r="I377" s="32" t="n">
        <v>22</v>
      </c>
      <c r="J377" s="30"/>
    </row>
    <row r="378" customFormat="false" ht="15" hidden="false" customHeight="false" outlineLevel="0" collapsed="false">
      <c r="A378" s="30" t="s">
        <v>1140</v>
      </c>
      <c r="B378" s="30" t="s">
        <v>1141</v>
      </c>
      <c r="C378" s="30" t="s">
        <v>1146</v>
      </c>
      <c r="D378" s="30"/>
      <c r="E378" s="30" t="s">
        <v>1143</v>
      </c>
      <c r="F378" s="30" t="s">
        <v>107</v>
      </c>
      <c r="G378" s="31" t="n">
        <v>46211</v>
      </c>
      <c r="H378" s="31" t="n">
        <v>46233</v>
      </c>
      <c r="I378" s="32" t="n">
        <v>22</v>
      </c>
      <c r="J378" s="30"/>
    </row>
    <row r="379" customFormat="false" ht="15" hidden="false" customHeight="false" outlineLevel="0" collapsed="false">
      <c r="A379" s="30" t="s">
        <v>1140</v>
      </c>
      <c r="B379" s="30" t="s">
        <v>1141</v>
      </c>
      <c r="C379" s="30" t="s">
        <v>1147</v>
      </c>
      <c r="D379" s="30"/>
      <c r="E379" s="30" t="s">
        <v>1143</v>
      </c>
      <c r="F379" s="30" t="s">
        <v>107</v>
      </c>
      <c r="G379" s="31" t="n">
        <v>46211</v>
      </c>
      <c r="H379" s="31" t="n">
        <v>46233</v>
      </c>
      <c r="I379" s="32" t="n">
        <v>22</v>
      </c>
      <c r="J379" s="30"/>
    </row>
    <row r="380" customFormat="false" ht="15" hidden="false" customHeight="false" outlineLevel="0" collapsed="false">
      <c r="A380" s="30" t="s">
        <v>1140</v>
      </c>
      <c r="B380" s="30" t="s">
        <v>1141</v>
      </c>
      <c r="C380" s="30" t="s">
        <v>1148</v>
      </c>
      <c r="D380" s="30"/>
      <c r="E380" s="30" t="s">
        <v>1143</v>
      </c>
      <c r="F380" s="30" t="s">
        <v>107</v>
      </c>
      <c r="G380" s="31" t="n">
        <v>46211</v>
      </c>
      <c r="H380" s="31" t="n">
        <v>46233</v>
      </c>
      <c r="I380" s="32" t="n">
        <v>22</v>
      </c>
      <c r="J380" s="30"/>
    </row>
    <row r="381" customFormat="false" ht="15" hidden="false" customHeight="false" outlineLevel="0" collapsed="false">
      <c r="A381" s="30" t="s">
        <v>1140</v>
      </c>
      <c r="B381" s="30" t="s">
        <v>1141</v>
      </c>
      <c r="C381" s="30" t="s">
        <v>1149</v>
      </c>
      <c r="D381" s="30"/>
      <c r="E381" s="30" t="s">
        <v>1143</v>
      </c>
      <c r="F381" s="30" t="s">
        <v>107</v>
      </c>
      <c r="G381" s="31" t="n">
        <v>46211</v>
      </c>
      <c r="H381" s="31" t="n">
        <v>46233</v>
      </c>
      <c r="I381" s="32" t="n">
        <v>22</v>
      </c>
      <c r="J381" s="30"/>
    </row>
    <row r="382" customFormat="false" ht="15" hidden="false" customHeight="false" outlineLevel="0" collapsed="false">
      <c r="A382" s="30" t="s">
        <v>1140</v>
      </c>
      <c r="B382" s="30" t="s">
        <v>1141</v>
      </c>
      <c r="C382" s="30" t="s">
        <v>1150</v>
      </c>
      <c r="D382" s="30"/>
      <c r="E382" s="30" t="s">
        <v>1143</v>
      </c>
      <c r="F382" s="30" t="s">
        <v>107</v>
      </c>
      <c r="G382" s="31" t="n">
        <v>46211</v>
      </c>
      <c r="H382" s="31" t="n">
        <v>46233</v>
      </c>
      <c r="I382" s="32" t="n">
        <v>22</v>
      </c>
      <c r="J382" s="30"/>
    </row>
    <row r="383" customFormat="false" ht="15" hidden="false" customHeight="false" outlineLevel="0" collapsed="false">
      <c r="A383" s="30" t="s">
        <v>1140</v>
      </c>
      <c r="B383" s="30" t="s">
        <v>1141</v>
      </c>
      <c r="C383" s="30" t="s">
        <v>1151</v>
      </c>
      <c r="D383" s="30"/>
      <c r="E383" s="30" t="s">
        <v>1143</v>
      </c>
      <c r="F383" s="30" t="s">
        <v>107</v>
      </c>
      <c r="G383" s="31" t="n">
        <v>46211</v>
      </c>
      <c r="H383" s="31" t="n">
        <v>46233</v>
      </c>
      <c r="I383" s="32" t="n">
        <v>22</v>
      </c>
      <c r="J383" s="30"/>
    </row>
    <row r="384" customFormat="false" ht="15" hidden="false" customHeight="false" outlineLevel="0" collapsed="false">
      <c r="A384" s="30" t="s">
        <v>1140</v>
      </c>
      <c r="B384" s="30" t="s">
        <v>1141</v>
      </c>
      <c r="C384" s="30" t="s">
        <v>1152</v>
      </c>
      <c r="D384" s="30"/>
      <c r="E384" s="30" t="s">
        <v>1143</v>
      </c>
      <c r="F384" s="30" t="s">
        <v>107</v>
      </c>
      <c r="G384" s="31" t="n">
        <v>46211</v>
      </c>
      <c r="H384" s="31" t="n">
        <v>46233</v>
      </c>
      <c r="I384" s="32" t="n">
        <v>22</v>
      </c>
      <c r="J384" s="30"/>
    </row>
    <row r="385" customFormat="false" ht="15" hidden="false" customHeight="false" outlineLevel="0" collapsed="false">
      <c r="A385" s="30" t="s">
        <v>51</v>
      </c>
      <c r="B385" s="30" t="s">
        <v>1153</v>
      </c>
      <c r="C385" s="30" t="s">
        <v>1154</v>
      </c>
      <c r="D385" s="30"/>
      <c r="E385" s="30" t="s">
        <v>719</v>
      </c>
      <c r="F385" s="30" t="s">
        <v>56</v>
      </c>
      <c r="G385" s="31" t="n">
        <v>46216</v>
      </c>
      <c r="H385" s="31" t="n">
        <v>46233</v>
      </c>
      <c r="I385" s="32" t="n">
        <v>17</v>
      </c>
      <c r="J385" s="30"/>
    </row>
    <row r="386" customFormat="false" ht="15" hidden="false" customHeight="false" outlineLevel="0" collapsed="false">
      <c r="A386" s="30" t="s">
        <v>51</v>
      </c>
      <c r="B386" s="30" t="s">
        <v>1155</v>
      </c>
      <c r="C386" s="30" t="s">
        <v>1156</v>
      </c>
      <c r="D386" s="30"/>
      <c r="E386" s="30" t="s">
        <v>719</v>
      </c>
      <c r="F386" s="30" t="s">
        <v>56</v>
      </c>
      <c r="G386" s="31" t="n">
        <v>46216</v>
      </c>
      <c r="H386" s="31" t="n">
        <v>46233</v>
      </c>
      <c r="I386" s="32" t="n">
        <v>17</v>
      </c>
      <c r="J386" s="30"/>
    </row>
    <row r="387" customFormat="false" ht="15" hidden="false" customHeight="false" outlineLevel="0" collapsed="false">
      <c r="A387" s="30" t="s">
        <v>51</v>
      </c>
      <c r="B387" s="30" t="s">
        <v>1155</v>
      </c>
      <c r="C387" s="30" t="s">
        <v>1157</v>
      </c>
      <c r="D387" s="30"/>
      <c r="E387" s="30" t="s">
        <v>719</v>
      </c>
      <c r="F387" s="30" t="s">
        <v>56</v>
      </c>
      <c r="G387" s="31" t="n">
        <v>46216</v>
      </c>
      <c r="H387" s="31" t="n">
        <v>46233</v>
      </c>
      <c r="I387" s="32" t="n">
        <v>17</v>
      </c>
      <c r="J387" s="30"/>
    </row>
    <row r="388" customFormat="false" ht="15" hidden="false" customHeight="false" outlineLevel="0" collapsed="false">
      <c r="A388" s="30" t="s">
        <v>51</v>
      </c>
      <c r="B388" s="30" t="s">
        <v>1155</v>
      </c>
      <c r="C388" s="30" t="s">
        <v>1158</v>
      </c>
      <c r="D388" s="30"/>
      <c r="E388" s="30" t="s">
        <v>719</v>
      </c>
      <c r="F388" s="30" t="s">
        <v>56</v>
      </c>
      <c r="G388" s="31" t="n">
        <v>46216</v>
      </c>
      <c r="H388" s="31" t="n">
        <v>46233</v>
      </c>
      <c r="I388" s="32" t="n">
        <v>17</v>
      </c>
      <c r="J388" s="30"/>
    </row>
    <row r="389" customFormat="false" ht="15" hidden="false" customHeight="false" outlineLevel="0" collapsed="false">
      <c r="A389" s="30" t="s">
        <v>51</v>
      </c>
      <c r="B389" s="30" t="s">
        <v>1155</v>
      </c>
      <c r="C389" s="30" t="s">
        <v>1159</v>
      </c>
      <c r="D389" s="30"/>
      <c r="E389" s="30" t="s">
        <v>719</v>
      </c>
      <c r="F389" s="30" t="s">
        <v>56</v>
      </c>
      <c r="G389" s="31" t="n">
        <v>46216</v>
      </c>
      <c r="H389" s="31" t="n">
        <v>46233</v>
      </c>
      <c r="I389" s="32" t="n">
        <v>17</v>
      </c>
      <c r="J389" s="30"/>
    </row>
    <row r="390" customFormat="false" ht="15" hidden="false" customHeight="false" outlineLevel="0" collapsed="false">
      <c r="A390" s="30" t="s">
        <v>51</v>
      </c>
      <c r="B390" s="30" t="s">
        <v>1160</v>
      </c>
      <c r="C390" s="30" t="s">
        <v>1161</v>
      </c>
      <c r="D390" s="30"/>
      <c r="E390" s="30" t="s">
        <v>719</v>
      </c>
      <c r="F390" s="30" t="s">
        <v>56</v>
      </c>
      <c r="G390" s="31" t="n">
        <v>46216</v>
      </c>
      <c r="H390" s="31" t="n">
        <v>46233</v>
      </c>
      <c r="I390" s="32" t="n">
        <v>17</v>
      </c>
      <c r="J390" s="30"/>
    </row>
    <row r="391" customFormat="false" ht="15" hidden="false" customHeight="false" outlineLevel="0" collapsed="false">
      <c r="A391" s="30" t="s">
        <v>51</v>
      </c>
      <c r="B391" s="30" t="s">
        <v>1160</v>
      </c>
      <c r="C391" s="30" t="s">
        <v>1162</v>
      </c>
      <c r="D391" s="30"/>
      <c r="E391" s="30" t="s">
        <v>719</v>
      </c>
      <c r="F391" s="30" t="s">
        <v>56</v>
      </c>
      <c r="G391" s="31" t="n">
        <v>46216</v>
      </c>
      <c r="H391" s="31" t="n">
        <v>46233</v>
      </c>
      <c r="I391" s="32" t="n">
        <v>17</v>
      </c>
      <c r="J391" s="30"/>
    </row>
    <row r="392" customFormat="false" ht="15" hidden="false" customHeight="false" outlineLevel="0" collapsed="false">
      <c r="A392" s="30" t="s">
        <v>51</v>
      </c>
      <c r="B392" s="30" t="s">
        <v>1160</v>
      </c>
      <c r="C392" s="30" t="s">
        <v>1163</v>
      </c>
      <c r="D392" s="30"/>
      <c r="E392" s="30" t="s">
        <v>719</v>
      </c>
      <c r="F392" s="30" t="s">
        <v>56</v>
      </c>
      <c r="G392" s="31" t="n">
        <v>46216</v>
      </c>
      <c r="H392" s="31" t="n">
        <v>46233</v>
      </c>
      <c r="I392" s="32" t="n">
        <v>17</v>
      </c>
      <c r="J392" s="30"/>
    </row>
    <row r="393" customFormat="false" ht="15" hidden="false" customHeight="false" outlineLevel="0" collapsed="false">
      <c r="A393" s="30" t="s">
        <v>51</v>
      </c>
      <c r="B393" s="30" t="s">
        <v>1160</v>
      </c>
      <c r="C393" s="30" t="s">
        <v>1164</v>
      </c>
      <c r="D393" s="30"/>
      <c r="E393" s="30" t="s">
        <v>719</v>
      </c>
      <c r="F393" s="30" t="s">
        <v>56</v>
      </c>
      <c r="G393" s="31" t="n">
        <v>46216</v>
      </c>
      <c r="H393" s="31" t="n">
        <v>46233</v>
      </c>
      <c r="I393" s="32" t="n">
        <v>17</v>
      </c>
      <c r="J393" s="30"/>
    </row>
    <row r="394" customFormat="false" ht="15" hidden="false" customHeight="false" outlineLevel="0" collapsed="false">
      <c r="A394" s="30" t="s">
        <v>51</v>
      </c>
      <c r="B394" s="30" t="s">
        <v>1160</v>
      </c>
      <c r="C394" s="30" t="s">
        <v>1165</v>
      </c>
      <c r="D394" s="30"/>
      <c r="E394" s="30" t="s">
        <v>719</v>
      </c>
      <c r="F394" s="30" t="s">
        <v>56</v>
      </c>
      <c r="G394" s="31" t="n">
        <v>46216</v>
      </c>
      <c r="H394" s="31" t="n">
        <v>46233</v>
      </c>
      <c r="I394" s="32" t="n">
        <v>17</v>
      </c>
      <c r="J394" s="30"/>
    </row>
    <row r="395" customFormat="false" ht="15" hidden="false" customHeight="false" outlineLevel="0" collapsed="false">
      <c r="A395" s="30" t="s">
        <v>51</v>
      </c>
      <c r="B395" s="30" t="s">
        <v>1160</v>
      </c>
      <c r="C395" s="30" t="s">
        <v>1166</v>
      </c>
      <c r="D395" s="30"/>
      <c r="E395" s="30" t="s">
        <v>719</v>
      </c>
      <c r="F395" s="30" t="s">
        <v>56</v>
      </c>
      <c r="G395" s="31" t="n">
        <v>46216</v>
      </c>
      <c r="H395" s="31" t="n">
        <v>46233</v>
      </c>
      <c r="I395" s="32" t="n">
        <v>17</v>
      </c>
      <c r="J395" s="30"/>
    </row>
    <row r="396" customFormat="false" ht="15" hidden="false" customHeight="false" outlineLevel="0" collapsed="false">
      <c r="A396" s="30" t="s">
        <v>51</v>
      </c>
      <c r="B396" s="30" t="s">
        <v>1160</v>
      </c>
      <c r="C396" s="30" t="s">
        <v>1167</v>
      </c>
      <c r="D396" s="30"/>
      <c r="E396" s="30" t="s">
        <v>719</v>
      </c>
      <c r="F396" s="30" t="s">
        <v>56</v>
      </c>
      <c r="G396" s="31" t="n">
        <v>46216</v>
      </c>
      <c r="H396" s="31" t="n">
        <v>46233</v>
      </c>
      <c r="I396" s="32" t="n">
        <v>17</v>
      </c>
      <c r="J396" s="30"/>
    </row>
    <row r="397" customFormat="false" ht="15" hidden="false" customHeight="false" outlineLevel="0" collapsed="false">
      <c r="A397" s="30" t="s">
        <v>51</v>
      </c>
      <c r="B397" s="30" t="s">
        <v>1160</v>
      </c>
      <c r="C397" s="30" t="s">
        <v>1168</v>
      </c>
      <c r="D397" s="30"/>
      <c r="E397" s="30" t="s">
        <v>719</v>
      </c>
      <c r="F397" s="30" t="s">
        <v>56</v>
      </c>
      <c r="G397" s="31" t="n">
        <v>46216</v>
      </c>
      <c r="H397" s="31" t="n">
        <v>46233</v>
      </c>
      <c r="I397" s="32" t="n">
        <v>17</v>
      </c>
      <c r="J397" s="30"/>
    </row>
    <row r="398" customFormat="false" ht="15" hidden="false" customHeight="false" outlineLevel="0" collapsed="false">
      <c r="A398" s="30" t="s">
        <v>51</v>
      </c>
      <c r="B398" s="30" t="s">
        <v>1160</v>
      </c>
      <c r="C398" s="30" t="s">
        <v>1169</v>
      </c>
      <c r="D398" s="30"/>
      <c r="E398" s="30" t="s">
        <v>719</v>
      </c>
      <c r="F398" s="30" t="s">
        <v>56</v>
      </c>
      <c r="G398" s="31" t="n">
        <v>46216</v>
      </c>
      <c r="H398" s="31" t="n">
        <v>46233</v>
      </c>
      <c r="I398" s="32" t="n">
        <v>17</v>
      </c>
      <c r="J398" s="30"/>
    </row>
    <row r="399" customFormat="false" ht="15" hidden="false" customHeight="false" outlineLevel="0" collapsed="false">
      <c r="A399" s="30" t="s">
        <v>51</v>
      </c>
      <c r="B399" s="30" t="s">
        <v>1160</v>
      </c>
      <c r="C399" s="30" t="s">
        <v>1170</v>
      </c>
      <c r="D399" s="30"/>
      <c r="E399" s="30" t="s">
        <v>719</v>
      </c>
      <c r="F399" s="30" t="s">
        <v>56</v>
      </c>
      <c r="G399" s="31" t="n">
        <v>46216</v>
      </c>
      <c r="H399" s="31" t="n">
        <v>46233</v>
      </c>
      <c r="I399" s="32" t="n">
        <v>17</v>
      </c>
      <c r="J399" s="30"/>
    </row>
    <row r="400" customFormat="false" ht="15" hidden="false" customHeight="false" outlineLevel="0" collapsed="false">
      <c r="A400" s="30" t="s">
        <v>51</v>
      </c>
      <c r="B400" s="30" t="s">
        <v>1155</v>
      </c>
      <c r="C400" s="30" t="s">
        <v>1171</v>
      </c>
      <c r="D400" s="30"/>
      <c r="E400" s="30" t="s">
        <v>719</v>
      </c>
      <c r="F400" s="30" t="s">
        <v>56</v>
      </c>
      <c r="G400" s="31" t="n">
        <v>46216</v>
      </c>
      <c r="H400" s="31" t="n">
        <v>46233</v>
      </c>
      <c r="I400" s="32" t="n">
        <v>17</v>
      </c>
      <c r="J400" s="30"/>
    </row>
    <row r="401" customFormat="false" ht="15" hidden="false" customHeight="false" outlineLevel="0" collapsed="false">
      <c r="A401" s="30" t="s">
        <v>51</v>
      </c>
      <c r="B401" s="30" t="s">
        <v>1155</v>
      </c>
      <c r="C401" s="30" t="s">
        <v>1172</v>
      </c>
      <c r="D401" s="30"/>
      <c r="E401" s="30" t="s">
        <v>719</v>
      </c>
      <c r="F401" s="30" t="s">
        <v>56</v>
      </c>
      <c r="G401" s="31" t="n">
        <v>46216</v>
      </c>
      <c r="H401" s="31" t="n">
        <v>46233</v>
      </c>
      <c r="I401" s="32" t="n">
        <v>17</v>
      </c>
      <c r="J401" s="30"/>
    </row>
    <row r="402" customFormat="false" ht="15" hidden="false" customHeight="false" outlineLevel="0" collapsed="false">
      <c r="A402" s="30" t="s">
        <v>51</v>
      </c>
      <c r="B402" s="30" t="s">
        <v>1160</v>
      </c>
      <c r="C402" s="30" t="s">
        <v>1173</v>
      </c>
      <c r="D402" s="30"/>
      <c r="E402" s="30" t="s">
        <v>719</v>
      </c>
      <c r="F402" s="30" t="s">
        <v>56</v>
      </c>
      <c r="G402" s="31" t="n">
        <v>46216</v>
      </c>
      <c r="H402" s="31" t="n">
        <v>46233</v>
      </c>
      <c r="I402" s="32" t="n">
        <v>17</v>
      </c>
      <c r="J402" s="30"/>
    </row>
    <row r="403" customFormat="false" ht="15" hidden="false" customHeight="false" outlineLevel="0" collapsed="false">
      <c r="A403" s="30" t="s">
        <v>51</v>
      </c>
      <c r="B403" s="30" t="s">
        <v>1155</v>
      </c>
      <c r="C403" s="30" t="s">
        <v>1174</v>
      </c>
      <c r="D403" s="30"/>
      <c r="E403" s="30" t="s">
        <v>719</v>
      </c>
      <c r="F403" s="30" t="s">
        <v>56</v>
      </c>
      <c r="G403" s="31" t="n">
        <v>46216</v>
      </c>
      <c r="H403" s="31" t="n">
        <v>46233</v>
      </c>
      <c r="I403" s="32" t="n">
        <v>17</v>
      </c>
      <c r="J403" s="30"/>
    </row>
    <row r="404" customFormat="false" ht="15" hidden="false" customHeight="false" outlineLevel="0" collapsed="false">
      <c r="A404" s="30" t="s">
        <v>51</v>
      </c>
      <c r="B404" s="30" t="s">
        <v>1155</v>
      </c>
      <c r="C404" s="30" t="s">
        <v>1175</v>
      </c>
      <c r="D404" s="30"/>
      <c r="E404" s="30" t="s">
        <v>719</v>
      </c>
      <c r="F404" s="30" t="s">
        <v>56</v>
      </c>
      <c r="G404" s="31" t="n">
        <v>46216</v>
      </c>
      <c r="H404" s="31" t="n">
        <v>46233</v>
      </c>
      <c r="I404" s="32" t="n">
        <v>17</v>
      </c>
      <c r="J404" s="30"/>
    </row>
    <row r="405" customFormat="false" ht="15" hidden="false" customHeight="false" outlineLevel="0" collapsed="false">
      <c r="A405" s="30" t="s">
        <v>51</v>
      </c>
      <c r="B405" s="30" t="s">
        <v>1155</v>
      </c>
      <c r="C405" s="30" t="s">
        <v>1176</v>
      </c>
      <c r="D405" s="30"/>
      <c r="E405" s="30" t="s">
        <v>719</v>
      </c>
      <c r="F405" s="30" t="s">
        <v>56</v>
      </c>
      <c r="G405" s="31" t="n">
        <v>46216</v>
      </c>
      <c r="H405" s="31" t="n">
        <v>46233</v>
      </c>
      <c r="I405" s="32" t="n">
        <v>17</v>
      </c>
      <c r="J405" s="30"/>
    </row>
    <row r="406" customFormat="false" ht="15" hidden="false" customHeight="false" outlineLevel="0" collapsed="false">
      <c r="A406" s="30" t="s">
        <v>51</v>
      </c>
      <c r="B406" s="30" t="s">
        <v>1155</v>
      </c>
      <c r="C406" s="30" t="s">
        <v>1177</v>
      </c>
      <c r="D406" s="30"/>
      <c r="E406" s="30" t="s">
        <v>719</v>
      </c>
      <c r="F406" s="30" t="s">
        <v>56</v>
      </c>
      <c r="G406" s="31" t="n">
        <v>46216</v>
      </c>
      <c r="H406" s="31" t="n">
        <v>46233</v>
      </c>
      <c r="I406" s="32" t="n">
        <v>17</v>
      </c>
      <c r="J406" s="30"/>
    </row>
    <row r="407" customFormat="false" ht="15" hidden="false" customHeight="false" outlineLevel="0" collapsed="false">
      <c r="A407" s="30" t="s">
        <v>51</v>
      </c>
      <c r="B407" s="30" t="s">
        <v>1155</v>
      </c>
      <c r="C407" s="30" t="s">
        <v>1178</v>
      </c>
      <c r="D407" s="30"/>
      <c r="E407" s="30" t="s">
        <v>719</v>
      </c>
      <c r="F407" s="30" t="s">
        <v>56</v>
      </c>
      <c r="G407" s="31" t="n">
        <v>46216</v>
      </c>
      <c r="H407" s="31" t="n">
        <v>46233</v>
      </c>
      <c r="I407" s="32" t="n">
        <v>17</v>
      </c>
      <c r="J407" s="30"/>
    </row>
    <row r="408" customFormat="false" ht="15" hidden="false" customHeight="false" outlineLevel="0" collapsed="false">
      <c r="A408" s="30" t="s">
        <v>51</v>
      </c>
      <c r="B408" s="30" t="s">
        <v>1155</v>
      </c>
      <c r="C408" s="30" t="s">
        <v>1179</v>
      </c>
      <c r="D408" s="30"/>
      <c r="E408" s="30" t="s">
        <v>719</v>
      </c>
      <c r="F408" s="30" t="s">
        <v>56</v>
      </c>
      <c r="G408" s="31" t="n">
        <v>46216</v>
      </c>
      <c r="H408" s="31" t="n">
        <v>46233</v>
      </c>
      <c r="I408" s="32" t="n">
        <v>17</v>
      </c>
      <c r="J408" s="30" t="s">
        <v>1180</v>
      </c>
    </row>
    <row r="409" customFormat="false" ht="15" hidden="false" customHeight="false" outlineLevel="0" collapsed="false">
      <c r="A409" s="30" t="s">
        <v>333</v>
      </c>
      <c r="B409" s="30" t="s">
        <v>1181</v>
      </c>
      <c r="C409" s="30" t="s">
        <v>1182</v>
      </c>
      <c r="D409" s="30"/>
      <c r="E409" s="30" t="s">
        <v>1183</v>
      </c>
      <c r="F409" s="30" t="s">
        <v>107</v>
      </c>
      <c r="G409" s="31" t="n">
        <v>46180</v>
      </c>
      <c r="H409" s="31" t="n">
        <v>46233</v>
      </c>
      <c r="I409" s="32" t="n">
        <v>53</v>
      </c>
      <c r="J409" s="30"/>
    </row>
    <row r="410" customFormat="false" ht="15" hidden="false" customHeight="false" outlineLevel="0" collapsed="false">
      <c r="A410" s="30" t="s">
        <v>333</v>
      </c>
      <c r="B410" s="30" t="s">
        <v>1181</v>
      </c>
      <c r="C410" s="30" t="s">
        <v>1184</v>
      </c>
      <c r="D410" s="30"/>
      <c r="E410" s="30" t="s">
        <v>1183</v>
      </c>
      <c r="F410" s="30" t="s">
        <v>107</v>
      </c>
      <c r="G410" s="31" t="n">
        <v>46209</v>
      </c>
      <c r="H410" s="31" t="n">
        <v>46233</v>
      </c>
      <c r="I410" s="32" t="n">
        <v>24</v>
      </c>
      <c r="J410" s="30"/>
    </row>
    <row r="411" customFormat="false" ht="15" hidden="false" customHeight="false" outlineLevel="0" collapsed="false">
      <c r="A411" s="30" t="s">
        <v>333</v>
      </c>
      <c r="B411" s="30" t="s">
        <v>1181</v>
      </c>
      <c r="C411" s="30" t="s">
        <v>1185</v>
      </c>
      <c r="D411" s="30"/>
      <c r="E411" s="30" t="s">
        <v>1183</v>
      </c>
      <c r="F411" s="30" t="s">
        <v>107</v>
      </c>
      <c r="G411" s="31" t="n">
        <v>46209</v>
      </c>
      <c r="H411" s="31" t="n">
        <v>46233</v>
      </c>
      <c r="I411" s="32" t="n">
        <v>24</v>
      </c>
      <c r="J411" s="30"/>
    </row>
    <row r="412" customFormat="false" ht="15" hidden="false" customHeight="false" outlineLevel="0" collapsed="false">
      <c r="A412" s="30" t="s">
        <v>333</v>
      </c>
      <c r="B412" s="30" t="s">
        <v>1181</v>
      </c>
      <c r="C412" s="30" t="s">
        <v>1186</v>
      </c>
      <c r="D412" s="30"/>
      <c r="E412" s="30" t="s">
        <v>1183</v>
      </c>
      <c r="F412" s="30" t="s">
        <v>107</v>
      </c>
      <c r="G412" s="31" t="n">
        <v>46209</v>
      </c>
      <c r="H412" s="31" t="n">
        <v>46233</v>
      </c>
      <c r="I412" s="32" t="n">
        <v>24</v>
      </c>
      <c r="J412" s="30"/>
    </row>
    <row r="413" customFormat="false" ht="15" hidden="false" customHeight="false" outlineLevel="0" collapsed="false">
      <c r="A413" s="30" t="s">
        <v>333</v>
      </c>
      <c r="B413" s="30" t="s">
        <v>1181</v>
      </c>
      <c r="C413" s="30" t="s">
        <v>1187</v>
      </c>
      <c r="D413" s="30"/>
      <c r="E413" s="30" t="s">
        <v>1183</v>
      </c>
      <c r="F413" s="30" t="s">
        <v>107</v>
      </c>
      <c r="G413" s="31" t="n">
        <v>46209</v>
      </c>
      <c r="H413" s="31" t="n">
        <v>46233</v>
      </c>
      <c r="I413" s="32" t="n">
        <v>24</v>
      </c>
      <c r="J413" s="30"/>
    </row>
    <row r="414" customFormat="false" ht="15" hidden="false" customHeight="false" outlineLevel="0" collapsed="false">
      <c r="A414" s="30" t="s">
        <v>333</v>
      </c>
      <c r="B414" s="30" t="s">
        <v>1181</v>
      </c>
      <c r="C414" s="30" t="s">
        <v>1188</v>
      </c>
      <c r="D414" s="30"/>
      <c r="E414" s="30" t="s">
        <v>1183</v>
      </c>
      <c r="F414" s="30" t="s">
        <v>107</v>
      </c>
      <c r="G414" s="31" t="n">
        <v>46209</v>
      </c>
      <c r="H414" s="31" t="n">
        <v>46233</v>
      </c>
      <c r="I414" s="32" t="n">
        <v>24</v>
      </c>
      <c r="J414" s="30"/>
    </row>
    <row r="415" customFormat="false" ht="15" hidden="false" customHeight="false" outlineLevel="0" collapsed="false">
      <c r="A415" s="30" t="s">
        <v>333</v>
      </c>
      <c r="B415" s="30" t="s">
        <v>1181</v>
      </c>
      <c r="C415" s="30" t="s">
        <v>1189</v>
      </c>
      <c r="D415" s="30"/>
      <c r="E415" s="30" t="s">
        <v>1183</v>
      </c>
      <c r="F415" s="30" t="s">
        <v>107</v>
      </c>
      <c r="G415" s="31" t="n">
        <v>46209</v>
      </c>
      <c r="H415" s="31" t="n">
        <v>46233</v>
      </c>
      <c r="I415" s="32" t="n">
        <v>24</v>
      </c>
      <c r="J415" s="30"/>
    </row>
    <row r="416" customFormat="false" ht="15" hidden="false" customHeight="false" outlineLevel="0" collapsed="false">
      <c r="A416" s="30" t="s">
        <v>333</v>
      </c>
      <c r="B416" s="30" t="s">
        <v>1181</v>
      </c>
      <c r="C416" s="30" t="s">
        <v>1190</v>
      </c>
      <c r="D416" s="30"/>
      <c r="E416" s="30" t="s">
        <v>1183</v>
      </c>
      <c r="F416" s="30" t="s">
        <v>107</v>
      </c>
      <c r="G416" s="31" t="n">
        <v>46209</v>
      </c>
      <c r="H416" s="31" t="n">
        <v>46233</v>
      </c>
      <c r="I416" s="32" t="n">
        <v>24</v>
      </c>
      <c r="J416" s="30"/>
    </row>
    <row r="417" customFormat="false" ht="15" hidden="false" customHeight="false" outlineLevel="0" collapsed="false">
      <c r="A417" s="30" t="s">
        <v>333</v>
      </c>
      <c r="B417" s="30" t="s">
        <v>1181</v>
      </c>
      <c r="C417" s="30" t="s">
        <v>1191</v>
      </c>
      <c r="D417" s="30"/>
      <c r="E417" s="30" t="s">
        <v>1183</v>
      </c>
      <c r="F417" s="30" t="s">
        <v>107</v>
      </c>
      <c r="G417" s="31" t="n">
        <v>46209</v>
      </c>
      <c r="H417" s="31" t="n">
        <v>46233</v>
      </c>
      <c r="I417" s="32" t="n">
        <v>24</v>
      </c>
      <c r="J417" s="30"/>
    </row>
    <row r="418" customFormat="false" ht="15" hidden="false" customHeight="false" outlineLevel="0" collapsed="false">
      <c r="A418" s="30" t="s">
        <v>333</v>
      </c>
      <c r="B418" s="30" t="s">
        <v>1181</v>
      </c>
      <c r="C418" s="30" t="s">
        <v>1192</v>
      </c>
      <c r="D418" s="30"/>
      <c r="E418" s="30" t="s">
        <v>1183</v>
      </c>
      <c r="F418" s="30" t="s">
        <v>107</v>
      </c>
      <c r="G418" s="31" t="n">
        <v>46209</v>
      </c>
      <c r="H418" s="31" t="n">
        <v>46233</v>
      </c>
      <c r="I418" s="32" t="n">
        <v>24</v>
      </c>
      <c r="J418" s="30"/>
    </row>
    <row r="419" customFormat="false" ht="15" hidden="false" customHeight="false" outlineLevel="0" collapsed="false">
      <c r="A419" s="30" t="s">
        <v>333</v>
      </c>
      <c r="B419" s="30" t="s">
        <v>1181</v>
      </c>
      <c r="C419" s="30" t="s">
        <v>1193</v>
      </c>
      <c r="D419" s="30"/>
      <c r="E419" s="30" t="s">
        <v>1183</v>
      </c>
      <c r="F419" s="30" t="s">
        <v>107</v>
      </c>
      <c r="G419" s="31" t="n">
        <v>46209</v>
      </c>
      <c r="H419" s="31" t="n">
        <v>46233</v>
      </c>
      <c r="I419" s="32" t="n">
        <v>24</v>
      </c>
      <c r="J419" s="30"/>
    </row>
    <row r="420" customFormat="false" ht="15" hidden="false" customHeight="false" outlineLevel="0" collapsed="false">
      <c r="A420" s="30" t="s">
        <v>333</v>
      </c>
      <c r="B420" s="30" t="s">
        <v>1181</v>
      </c>
      <c r="C420" s="30" t="s">
        <v>1194</v>
      </c>
      <c r="D420" s="30"/>
      <c r="E420" s="30" t="s">
        <v>1183</v>
      </c>
      <c r="F420" s="30" t="s">
        <v>107</v>
      </c>
      <c r="G420" s="31" t="n">
        <v>46209</v>
      </c>
      <c r="H420" s="31" t="n">
        <v>46233</v>
      </c>
      <c r="I420" s="32" t="n">
        <v>24</v>
      </c>
      <c r="J420" s="30"/>
    </row>
    <row r="421" customFormat="false" ht="15" hidden="false" customHeight="false" outlineLevel="0" collapsed="false">
      <c r="A421" s="30" t="s">
        <v>333</v>
      </c>
      <c r="B421" s="30" t="s">
        <v>1181</v>
      </c>
      <c r="C421" s="30" t="s">
        <v>1195</v>
      </c>
      <c r="D421" s="30"/>
      <c r="E421" s="30" t="s">
        <v>1183</v>
      </c>
      <c r="F421" s="30" t="s">
        <v>107</v>
      </c>
      <c r="G421" s="31" t="n">
        <v>46209</v>
      </c>
      <c r="H421" s="31" t="n">
        <v>46233</v>
      </c>
      <c r="I421" s="32" t="n">
        <v>24</v>
      </c>
      <c r="J421" s="30"/>
    </row>
    <row r="422" customFormat="false" ht="15" hidden="false" customHeight="false" outlineLevel="0" collapsed="false">
      <c r="A422" s="30" t="s">
        <v>333</v>
      </c>
      <c r="B422" s="30" t="s">
        <v>1181</v>
      </c>
      <c r="C422" s="30" t="s">
        <v>1196</v>
      </c>
      <c r="D422" s="30"/>
      <c r="E422" s="30" t="s">
        <v>1183</v>
      </c>
      <c r="F422" s="30" t="s">
        <v>107</v>
      </c>
      <c r="G422" s="31" t="n">
        <v>46209</v>
      </c>
      <c r="H422" s="31" t="n">
        <v>46233</v>
      </c>
      <c r="I422" s="32" t="n">
        <v>24</v>
      </c>
      <c r="J422" s="30"/>
    </row>
    <row r="423" customFormat="false" ht="15" hidden="false" customHeight="false" outlineLevel="0" collapsed="false">
      <c r="A423" s="30" t="s">
        <v>333</v>
      </c>
      <c r="B423" s="30" t="s">
        <v>1181</v>
      </c>
      <c r="C423" s="30" t="s">
        <v>1197</v>
      </c>
      <c r="D423" s="30"/>
      <c r="E423" s="30" t="s">
        <v>1183</v>
      </c>
      <c r="F423" s="30" t="s">
        <v>107</v>
      </c>
      <c r="G423" s="31" t="n">
        <v>46209</v>
      </c>
      <c r="H423" s="31" t="n">
        <v>46233</v>
      </c>
      <c r="I423" s="32" t="n">
        <v>24</v>
      </c>
      <c r="J423" s="30"/>
    </row>
    <row r="424" customFormat="false" ht="15" hidden="false" customHeight="false" outlineLevel="0" collapsed="false">
      <c r="A424" s="30" t="s">
        <v>333</v>
      </c>
      <c r="B424" s="30" t="s">
        <v>1181</v>
      </c>
      <c r="C424" s="30" t="s">
        <v>1198</v>
      </c>
      <c r="D424" s="30"/>
      <c r="E424" s="30" t="s">
        <v>1183</v>
      </c>
      <c r="F424" s="30" t="s">
        <v>107</v>
      </c>
      <c r="G424" s="31" t="n">
        <v>46209</v>
      </c>
      <c r="H424" s="31" t="n">
        <v>46233</v>
      </c>
      <c r="I424" s="32" t="n">
        <v>24</v>
      </c>
      <c r="J424" s="30"/>
    </row>
    <row r="425" customFormat="false" ht="15" hidden="false" customHeight="false" outlineLevel="0" collapsed="false">
      <c r="A425" s="30" t="s">
        <v>333</v>
      </c>
      <c r="B425" s="30" t="s">
        <v>1181</v>
      </c>
      <c r="C425" s="30" t="s">
        <v>1199</v>
      </c>
      <c r="D425" s="30"/>
      <c r="E425" s="30" t="s">
        <v>1183</v>
      </c>
      <c r="F425" s="30" t="s">
        <v>107</v>
      </c>
      <c r="G425" s="31" t="n">
        <v>46209</v>
      </c>
      <c r="H425" s="31" t="n">
        <v>46233</v>
      </c>
      <c r="I425" s="32" t="n">
        <v>24</v>
      </c>
      <c r="J425" s="30"/>
    </row>
    <row r="426" customFormat="false" ht="15" hidden="false" customHeight="false" outlineLevel="0" collapsed="false">
      <c r="A426" s="30" t="s">
        <v>333</v>
      </c>
      <c r="B426" s="30" t="s">
        <v>1181</v>
      </c>
      <c r="C426" s="30" t="s">
        <v>1200</v>
      </c>
      <c r="D426" s="30"/>
      <c r="E426" s="30" t="s">
        <v>1183</v>
      </c>
      <c r="F426" s="30" t="s">
        <v>107</v>
      </c>
      <c r="G426" s="31" t="n">
        <v>46209</v>
      </c>
      <c r="H426" s="31" t="n">
        <v>46233</v>
      </c>
      <c r="I426" s="32" t="n">
        <v>24</v>
      </c>
      <c r="J426" s="30"/>
    </row>
    <row r="427" customFormat="false" ht="15" hidden="false" customHeight="false" outlineLevel="0" collapsed="false">
      <c r="A427" s="30" t="s">
        <v>333</v>
      </c>
      <c r="B427" s="30" t="s">
        <v>1181</v>
      </c>
      <c r="C427" s="30" t="s">
        <v>1201</v>
      </c>
      <c r="D427" s="30"/>
      <c r="E427" s="30" t="s">
        <v>1183</v>
      </c>
      <c r="F427" s="30" t="s">
        <v>107</v>
      </c>
      <c r="G427" s="31" t="n">
        <v>46209</v>
      </c>
      <c r="H427" s="31" t="n">
        <v>46233</v>
      </c>
      <c r="I427" s="32" t="n">
        <v>24</v>
      </c>
      <c r="J427" s="30"/>
    </row>
    <row r="428" customFormat="false" ht="15" hidden="false" customHeight="false" outlineLevel="0" collapsed="false">
      <c r="A428" s="30" t="s">
        <v>333</v>
      </c>
      <c r="B428" s="30" t="s">
        <v>1181</v>
      </c>
      <c r="C428" s="30" t="s">
        <v>1202</v>
      </c>
      <c r="D428" s="30"/>
      <c r="E428" s="30" t="s">
        <v>1183</v>
      </c>
      <c r="F428" s="30" t="s">
        <v>107</v>
      </c>
      <c r="G428" s="31" t="n">
        <v>46209</v>
      </c>
      <c r="H428" s="31" t="n">
        <v>46233</v>
      </c>
      <c r="I428" s="32" t="n">
        <v>24</v>
      </c>
      <c r="J428" s="30"/>
    </row>
    <row r="429" customFormat="false" ht="15" hidden="false" customHeight="false" outlineLevel="0" collapsed="false">
      <c r="A429" s="30" t="s">
        <v>25</v>
      </c>
      <c r="B429" s="30" t="s">
        <v>797</v>
      </c>
      <c r="C429" s="30" t="s">
        <v>1203</v>
      </c>
      <c r="D429" s="30"/>
      <c r="E429" s="30" t="s">
        <v>1204</v>
      </c>
      <c r="F429" s="30" t="s">
        <v>66</v>
      </c>
      <c r="G429" s="31" t="n">
        <v>46210</v>
      </c>
      <c r="H429" s="31" t="n">
        <v>46233</v>
      </c>
      <c r="I429" s="32" t="n">
        <v>23</v>
      </c>
      <c r="J429" s="30"/>
    </row>
    <row r="430" customFormat="false" ht="15" hidden="false" customHeight="false" outlineLevel="0" collapsed="false">
      <c r="A430" s="30" t="s">
        <v>25</v>
      </c>
      <c r="B430" s="30" t="s">
        <v>797</v>
      </c>
      <c r="C430" s="30" t="s">
        <v>1205</v>
      </c>
      <c r="D430" s="30"/>
      <c r="E430" s="30" t="s">
        <v>1204</v>
      </c>
      <c r="F430" s="30" t="s">
        <v>66</v>
      </c>
      <c r="G430" s="31" t="n">
        <v>46210</v>
      </c>
      <c r="H430" s="31" t="n">
        <v>46233</v>
      </c>
      <c r="I430" s="32" t="n">
        <v>23</v>
      </c>
      <c r="J430" s="30"/>
    </row>
    <row r="431" customFormat="false" ht="15" hidden="false" customHeight="false" outlineLevel="0" collapsed="false">
      <c r="A431" s="30" t="s">
        <v>25</v>
      </c>
      <c r="B431" s="30" t="s">
        <v>797</v>
      </c>
      <c r="C431" s="30" t="s">
        <v>1206</v>
      </c>
      <c r="D431" s="30"/>
      <c r="E431" s="30" t="s">
        <v>1204</v>
      </c>
      <c r="F431" s="30" t="s">
        <v>66</v>
      </c>
      <c r="G431" s="31" t="n">
        <v>46210</v>
      </c>
      <c r="H431" s="31" t="n">
        <v>46233</v>
      </c>
      <c r="I431" s="32" t="n">
        <v>23</v>
      </c>
      <c r="J431" s="30"/>
    </row>
    <row r="432" customFormat="false" ht="15" hidden="false" customHeight="false" outlineLevel="0" collapsed="false">
      <c r="A432" s="30" t="s">
        <v>25</v>
      </c>
      <c r="B432" s="30" t="s">
        <v>797</v>
      </c>
      <c r="C432" s="30" t="s">
        <v>1207</v>
      </c>
      <c r="D432" s="30"/>
      <c r="E432" s="30" t="s">
        <v>1204</v>
      </c>
      <c r="F432" s="30" t="s">
        <v>66</v>
      </c>
      <c r="G432" s="31" t="n">
        <v>46210</v>
      </c>
      <c r="H432" s="31" t="n">
        <v>46233</v>
      </c>
      <c r="I432" s="32" t="n">
        <v>23</v>
      </c>
      <c r="J432" s="30"/>
    </row>
    <row r="433" customFormat="false" ht="15" hidden="false" customHeight="false" outlineLevel="0" collapsed="false">
      <c r="A433" s="30" t="s">
        <v>25</v>
      </c>
      <c r="B433" s="30" t="s">
        <v>1208</v>
      </c>
      <c r="C433" s="30" t="s">
        <v>1209</v>
      </c>
      <c r="D433" s="30"/>
      <c r="E433" s="30" t="s">
        <v>1204</v>
      </c>
      <c r="F433" s="30" t="s">
        <v>66</v>
      </c>
      <c r="G433" s="31" t="n">
        <v>46210</v>
      </c>
      <c r="H433" s="31" t="n">
        <v>46233</v>
      </c>
      <c r="I433" s="32" t="n">
        <v>23</v>
      </c>
      <c r="J433" s="30"/>
    </row>
    <row r="434" customFormat="false" ht="15" hidden="false" customHeight="false" outlineLevel="0" collapsed="false">
      <c r="A434" s="30" t="s">
        <v>25</v>
      </c>
      <c r="B434" s="30" t="s">
        <v>1208</v>
      </c>
      <c r="C434" s="30" t="s">
        <v>1210</v>
      </c>
      <c r="D434" s="30"/>
      <c r="E434" s="30" t="s">
        <v>1204</v>
      </c>
      <c r="F434" s="30" t="s">
        <v>66</v>
      </c>
      <c r="G434" s="31" t="n">
        <v>46210</v>
      </c>
      <c r="H434" s="31" t="n">
        <v>46233</v>
      </c>
      <c r="I434" s="32" t="n">
        <v>23</v>
      </c>
      <c r="J434" s="30"/>
    </row>
    <row r="435" customFormat="false" ht="15" hidden="false" customHeight="false" outlineLevel="0" collapsed="false">
      <c r="A435" s="30" t="s">
        <v>25</v>
      </c>
      <c r="B435" s="30" t="s">
        <v>1208</v>
      </c>
      <c r="C435" s="30" t="s">
        <v>1211</v>
      </c>
      <c r="D435" s="30"/>
      <c r="E435" s="30" t="s">
        <v>1204</v>
      </c>
      <c r="F435" s="30" t="s">
        <v>66</v>
      </c>
      <c r="G435" s="31" t="n">
        <v>46210</v>
      </c>
      <c r="H435" s="31" t="n">
        <v>46233</v>
      </c>
      <c r="I435" s="32" t="n">
        <v>23</v>
      </c>
      <c r="J435" s="30"/>
    </row>
    <row r="436" customFormat="false" ht="15" hidden="false" customHeight="false" outlineLevel="0" collapsed="false">
      <c r="A436" s="30" t="s">
        <v>25</v>
      </c>
      <c r="B436" s="30" t="s">
        <v>1208</v>
      </c>
      <c r="C436" s="30" t="s">
        <v>1212</v>
      </c>
      <c r="D436" s="30"/>
      <c r="E436" s="30" t="s">
        <v>1204</v>
      </c>
      <c r="F436" s="30" t="s">
        <v>66</v>
      </c>
      <c r="G436" s="31" t="n">
        <v>46210</v>
      </c>
      <c r="H436" s="31" t="n">
        <v>46233</v>
      </c>
      <c r="I436" s="32" t="n">
        <v>23</v>
      </c>
      <c r="J436" s="30"/>
    </row>
    <row r="437" customFormat="false" ht="15" hidden="false" customHeight="false" outlineLevel="0" collapsed="false">
      <c r="A437" s="30" t="s">
        <v>25</v>
      </c>
      <c r="B437" s="30" t="s">
        <v>1208</v>
      </c>
      <c r="C437" s="30" t="s">
        <v>1213</v>
      </c>
      <c r="D437" s="30"/>
      <c r="E437" s="30" t="s">
        <v>1204</v>
      </c>
      <c r="F437" s="30" t="s">
        <v>66</v>
      </c>
      <c r="G437" s="31" t="n">
        <v>46210</v>
      </c>
      <c r="H437" s="31" t="n">
        <v>46233</v>
      </c>
      <c r="I437" s="32" t="n">
        <v>23</v>
      </c>
      <c r="J437" s="30"/>
    </row>
    <row r="438" customFormat="false" ht="15" hidden="false" customHeight="false" outlineLevel="0" collapsed="false">
      <c r="A438" s="30" t="s">
        <v>25</v>
      </c>
      <c r="B438" s="30" t="s">
        <v>1214</v>
      </c>
      <c r="C438" s="30" t="s">
        <v>1215</v>
      </c>
      <c r="D438" s="30"/>
      <c r="E438" s="30" t="s">
        <v>1204</v>
      </c>
      <c r="F438" s="30" t="s">
        <v>66</v>
      </c>
      <c r="G438" s="31" t="n">
        <v>46210</v>
      </c>
      <c r="H438" s="31" t="n">
        <v>46233</v>
      </c>
      <c r="I438" s="32" t="n">
        <v>23</v>
      </c>
      <c r="J438" s="30"/>
    </row>
    <row r="439" customFormat="false" ht="15" hidden="false" customHeight="false" outlineLevel="0" collapsed="false">
      <c r="A439" s="30" t="s">
        <v>25</v>
      </c>
      <c r="B439" s="30" t="s">
        <v>1214</v>
      </c>
      <c r="C439" s="30" t="s">
        <v>1216</v>
      </c>
      <c r="D439" s="30"/>
      <c r="E439" s="30" t="s">
        <v>1204</v>
      </c>
      <c r="F439" s="30" t="s">
        <v>66</v>
      </c>
      <c r="G439" s="31" t="n">
        <v>46210</v>
      </c>
      <c r="H439" s="31" t="n">
        <v>46233</v>
      </c>
      <c r="I439" s="32" t="n">
        <v>23</v>
      </c>
      <c r="J439" s="30"/>
    </row>
    <row r="440" customFormat="false" ht="15" hidden="false" customHeight="false" outlineLevel="0" collapsed="false">
      <c r="A440" s="30" t="s">
        <v>25</v>
      </c>
      <c r="B440" s="30" t="s">
        <v>1214</v>
      </c>
      <c r="C440" s="30" t="s">
        <v>1217</v>
      </c>
      <c r="D440" s="30"/>
      <c r="E440" s="30" t="s">
        <v>1204</v>
      </c>
      <c r="F440" s="30" t="s">
        <v>66</v>
      </c>
      <c r="G440" s="31" t="n">
        <v>46210</v>
      </c>
      <c r="H440" s="31" t="n">
        <v>46233</v>
      </c>
      <c r="I440" s="32" t="n">
        <v>23</v>
      </c>
      <c r="J440" s="30"/>
    </row>
    <row r="441" customFormat="false" ht="15" hidden="false" customHeight="false" outlineLevel="0" collapsed="false">
      <c r="A441" s="30" t="s">
        <v>25</v>
      </c>
      <c r="B441" s="30" t="s">
        <v>1214</v>
      </c>
      <c r="C441" s="30" t="s">
        <v>1218</v>
      </c>
      <c r="D441" s="30"/>
      <c r="E441" s="30" t="s">
        <v>1204</v>
      </c>
      <c r="F441" s="30" t="s">
        <v>66</v>
      </c>
      <c r="G441" s="31" t="n">
        <v>46210</v>
      </c>
      <c r="H441" s="31" t="n">
        <v>46233</v>
      </c>
      <c r="I441" s="32" t="n">
        <v>23</v>
      </c>
      <c r="J441" s="30"/>
    </row>
    <row r="442" customFormat="false" ht="15" hidden="false" customHeight="false" outlineLevel="0" collapsed="false">
      <c r="A442" s="30" t="s">
        <v>25</v>
      </c>
      <c r="B442" s="30" t="s">
        <v>1214</v>
      </c>
      <c r="C442" s="30" t="s">
        <v>1219</v>
      </c>
      <c r="D442" s="30"/>
      <c r="E442" s="30" t="s">
        <v>1204</v>
      </c>
      <c r="F442" s="30" t="s">
        <v>66</v>
      </c>
      <c r="G442" s="31" t="n">
        <v>46210</v>
      </c>
      <c r="H442" s="31" t="n">
        <v>46233</v>
      </c>
      <c r="I442" s="32" t="n">
        <v>23</v>
      </c>
      <c r="J442" s="30"/>
    </row>
    <row r="443" customFormat="false" ht="15" hidden="false" customHeight="false" outlineLevel="0" collapsed="false">
      <c r="A443" s="30" t="s">
        <v>336</v>
      </c>
      <c r="B443" s="30" t="s">
        <v>425</v>
      </c>
      <c r="C443" s="30" t="s">
        <v>1220</v>
      </c>
      <c r="D443" s="30"/>
      <c r="E443" s="30" t="s">
        <v>89</v>
      </c>
      <c r="F443" s="30" t="s">
        <v>29</v>
      </c>
      <c r="G443" s="31" t="n">
        <v>46206</v>
      </c>
      <c r="H443" s="31" t="n">
        <v>46233</v>
      </c>
      <c r="I443" s="32" t="n">
        <v>27</v>
      </c>
      <c r="J443" s="30"/>
    </row>
    <row r="444" customFormat="false" ht="15" hidden="false" customHeight="false" outlineLevel="0" collapsed="false">
      <c r="A444" s="30" t="s">
        <v>336</v>
      </c>
      <c r="B444" s="30" t="s">
        <v>425</v>
      </c>
      <c r="C444" s="30" t="s">
        <v>1221</v>
      </c>
      <c r="D444" s="30"/>
      <c r="E444" s="30" t="s">
        <v>89</v>
      </c>
      <c r="F444" s="30" t="s">
        <v>29</v>
      </c>
      <c r="G444" s="31" t="n">
        <v>46206</v>
      </c>
      <c r="H444" s="31" t="n">
        <v>46233</v>
      </c>
      <c r="I444" s="32" t="n">
        <v>27</v>
      </c>
      <c r="J444" s="30"/>
    </row>
    <row r="445" customFormat="false" ht="15" hidden="false" customHeight="false" outlineLevel="0" collapsed="false">
      <c r="A445" s="30" t="s">
        <v>336</v>
      </c>
      <c r="B445" s="30" t="s">
        <v>425</v>
      </c>
      <c r="C445" s="30" t="s">
        <v>1222</v>
      </c>
      <c r="D445" s="30"/>
      <c r="E445" s="30" t="s">
        <v>89</v>
      </c>
      <c r="F445" s="30" t="s">
        <v>29</v>
      </c>
      <c r="G445" s="31" t="n">
        <v>46206</v>
      </c>
      <c r="H445" s="31" t="n">
        <v>46233</v>
      </c>
      <c r="I445" s="32" t="n">
        <v>27</v>
      </c>
      <c r="J445" s="30"/>
    </row>
    <row r="446" customFormat="false" ht="15" hidden="false" customHeight="false" outlineLevel="0" collapsed="false">
      <c r="A446" s="30" t="s">
        <v>336</v>
      </c>
      <c r="B446" s="30" t="s">
        <v>425</v>
      </c>
      <c r="C446" s="30" t="s">
        <v>1223</v>
      </c>
      <c r="D446" s="30"/>
      <c r="E446" s="30" t="s">
        <v>89</v>
      </c>
      <c r="F446" s="30" t="s">
        <v>29</v>
      </c>
      <c r="G446" s="31" t="n">
        <v>46206</v>
      </c>
      <c r="H446" s="31" t="n">
        <v>46233</v>
      </c>
      <c r="I446" s="32" t="n">
        <v>27</v>
      </c>
      <c r="J446" s="30"/>
    </row>
    <row r="447" customFormat="false" ht="15" hidden="false" customHeight="false" outlineLevel="0" collapsed="false">
      <c r="A447" s="30" t="s">
        <v>336</v>
      </c>
      <c r="B447" s="30" t="s">
        <v>425</v>
      </c>
      <c r="C447" s="30" t="s">
        <v>1224</v>
      </c>
      <c r="D447" s="30"/>
      <c r="E447" s="30" t="s">
        <v>89</v>
      </c>
      <c r="F447" s="30" t="s">
        <v>29</v>
      </c>
      <c r="G447" s="31" t="n">
        <v>46206</v>
      </c>
      <c r="H447" s="31" t="n">
        <v>46233</v>
      </c>
      <c r="I447" s="32" t="n">
        <v>27</v>
      </c>
      <c r="J447" s="30"/>
    </row>
    <row r="448" customFormat="false" ht="15" hidden="false" customHeight="false" outlineLevel="0" collapsed="false">
      <c r="A448" s="30" t="s">
        <v>336</v>
      </c>
      <c r="B448" s="30" t="s">
        <v>425</v>
      </c>
      <c r="C448" s="30" t="s">
        <v>1225</v>
      </c>
      <c r="D448" s="30"/>
      <c r="E448" s="30" t="s">
        <v>89</v>
      </c>
      <c r="F448" s="30" t="s">
        <v>29</v>
      </c>
      <c r="G448" s="31" t="n">
        <v>46206</v>
      </c>
      <c r="H448" s="31" t="n">
        <v>46233</v>
      </c>
      <c r="I448" s="32" t="n">
        <v>27</v>
      </c>
      <c r="J448" s="30"/>
    </row>
    <row r="449" customFormat="false" ht="15" hidden="false" customHeight="false" outlineLevel="0" collapsed="false">
      <c r="A449" s="30" t="s">
        <v>336</v>
      </c>
      <c r="B449" s="30" t="s">
        <v>425</v>
      </c>
      <c r="C449" s="30" t="s">
        <v>1226</v>
      </c>
      <c r="D449" s="30"/>
      <c r="E449" s="30" t="s">
        <v>89</v>
      </c>
      <c r="F449" s="30" t="s">
        <v>29</v>
      </c>
      <c r="G449" s="31" t="n">
        <v>46206</v>
      </c>
      <c r="H449" s="31" t="n">
        <v>46233</v>
      </c>
      <c r="I449" s="32" t="n">
        <v>27</v>
      </c>
      <c r="J449" s="30"/>
    </row>
    <row r="450" customFormat="false" ht="15" hidden="false" customHeight="false" outlineLevel="0" collapsed="false">
      <c r="A450" s="30" t="s">
        <v>336</v>
      </c>
      <c r="B450" s="30" t="s">
        <v>425</v>
      </c>
      <c r="C450" s="30" t="s">
        <v>1227</v>
      </c>
      <c r="D450" s="30"/>
      <c r="E450" s="30" t="s">
        <v>89</v>
      </c>
      <c r="F450" s="30" t="s">
        <v>29</v>
      </c>
      <c r="G450" s="31" t="n">
        <v>46206</v>
      </c>
      <c r="H450" s="31" t="n">
        <v>46233</v>
      </c>
      <c r="I450" s="32" t="n">
        <v>27</v>
      </c>
      <c r="J450" s="30"/>
    </row>
    <row r="451" customFormat="false" ht="15" hidden="false" customHeight="false" outlineLevel="0" collapsed="false">
      <c r="A451" s="30" t="s">
        <v>336</v>
      </c>
      <c r="B451" s="30" t="s">
        <v>425</v>
      </c>
      <c r="C451" s="30" t="s">
        <v>1228</v>
      </c>
      <c r="D451" s="30"/>
      <c r="E451" s="30" t="s">
        <v>89</v>
      </c>
      <c r="F451" s="30" t="s">
        <v>29</v>
      </c>
      <c r="G451" s="31" t="n">
        <v>46206</v>
      </c>
      <c r="H451" s="31" t="n">
        <v>46233</v>
      </c>
      <c r="I451" s="32" t="n">
        <v>27</v>
      </c>
      <c r="J451" s="30"/>
    </row>
    <row r="452" customFormat="false" ht="15" hidden="false" customHeight="false" outlineLevel="0" collapsed="false">
      <c r="A452" s="30" t="s">
        <v>336</v>
      </c>
      <c r="B452" s="30" t="s">
        <v>425</v>
      </c>
      <c r="C452" s="30" t="s">
        <v>1229</v>
      </c>
      <c r="D452" s="30"/>
      <c r="E452" s="30" t="s">
        <v>89</v>
      </c>
      <c r="F452" s="30" t="s">
        <v>29</v>
      </c>
      <c r="G452" s="31" t="n">
        <v>46206</v>
      </c>
      <c r="H452" s="31" t="n">
        <v>46233</v>
      </c>
      <c r="I452" s="32" t="n">
        <v>27</v>
      </c>
      <c r="J452" s="30"/>
    </row>
    <row r="453" customFormat="false" ht="15" hidden="false" customHeight="false" outlineLevel="0" collapsed="false">
      <c r="A453" s="30" t="s">
        <v>336</v>
      </c>
      <c r="B453" s="30" t="s">
        <v>425</v>
      </c>
      <c r="C453" s="30" t="s">
        <v>1230</v>
      </c>
      <c r="D453" s="30"/>
      <c r="E453" s="30" t="s">
        <v>89</v>
      </c>
      <c r="F453" s="30" t="s">
        <v>29</v>
      </c>
      <c r="G453" s="31" t="n">
        <v>46206</v>
      </c>
      <c r="H453" s="31" t="n">
        <v>46233</v>
      </c>
      <c r="I453" s="32" t="n">
        <v>27</v>
      </c>
      <c r="J453" s="30"/>
    </row>
    <row r="454" customFormat="false" ht="15" hidden="false" customHeight="false" outlineLevel="0" collapsed="false">
      <c r="A454" s="30" t="s">
        <v>336</v>
      </c>
      <c r="B454" s="30" t="s">
        <v>425</v>
      </c>
      <c r="C454" s="30" t="s">
        <v>1231</v>
      </c>
      <c r="D454" s="30"/>
      <c r="E454" s="30" t="s">
        <v>89</v>
      </c>
      <c r="F454" s="30" t="s">
        <v>29</v>
      </c>
      <c r="G454" s="31" t="n">
        <v>46206</v>
      </c>
      <c r="H454" s="31" t="n">
        <v>46233</v>
      </c>
      <c r="I454" s="32" t="n">
        <v>27</v>
      </c>
      <c r="J454" s="30"/>
    </row>
    <row r="455" customFormat="false" ht="15" hidden="false" customHeight="false" outlineLevel="0" collapsed="false">
      <c r="A455" s="30" t="s">
        <v>336</v>
      </c>
      <c r="B455" s="30" t="s">
        <v>425</v>
      </c>
      <c r="C455" s="30" t="s">
        <v>1232</v>
      </c>
      <c r="D455" s="30"/>
      <c r="E455" s="30" t="s">
        <v>89</v>
      </c>
      <c r="F455" s="30" t="s">
        <v>29</v>
      </c>
      <c r="G455" s="31" t="n">
        <v>46206</v>
      </c>
      <c r="H455" s="31" t="n">
        <v>46233</v>
      </c>
      <c r="I455" s="32" t="n">
        <v>27</v>
      </c>
      <c r="J455" s="30"/>
    </row>
    <row r="456" customFormat="false" ht="15" hidden="false" customHeight="false" outlineLevel="0" collapsed="false">
      <c r="A456" s="30" t="s">
        <v>51</v>
      </c>
      <c r="B456" s="30" t="s">
        <v>793</v>
      </c>
      <c r="C456" s="30" t="s">
        <v>1233</v>
      </c>
      <c r="D456" s="30"/>
      <c r="E456" s="30" t="s">
        <v>719</v>
      </c>
      <c r="F456" s="30" t="s">
        <v>66</v>
      </c>
      <c r="G456" s="31" t="n">
        <v>46205</v>
      </c>
      <c r="H456" s="31" t="n">
        <v>46233</v>
      </c>
      <c r="I456" s="32" t="n">
        <v>28</v>
      </c>
      <c r="J456" s="30"/>
    </row>
    <row r="457" customFormat="false" ht="15" hidden="false" customHeight="false" outlineLevel="0" collapsed="false">
      <c r="A457" s="30" t="s">
        <v>51</v>
      </c>
      <c r="B457" s="30" t="s">
        <v>793</v>
      </c>
      <c r="C457" s="30" t="s">
        <v>1234</v>
      </c>
      <c r="D457" s="30"/>
      <c r="E457" s="30" t="s">
        <v>719</v>
      </c>
      <c r="F457" s="30" t="s">
        <v>66</v>
      </c>
      <c r="G457" s="31" t="n">
        <v>46205</v>
      </c>
      <c r="H457" s="31" t="n">
        <v>46233</v>
      </c>
      <c r="I457" s="32" t="n">
        <v>28</v>
      </c>
      <c r="J457" s="30"/>
    </row>
    <row r="458" customFormat="false" ht="15" hidden="false" customHeight="false" outlineLevel="0" collapsed="false">
      <c r="A458" s="30" t="s">
        <v>51</v>
      </c>
      <c r="B458" s="30" t="s">
        <v>52</v>
      </c>
      <c r="C458" s="30" t="s">
        <v>1235</v>
      </c>
      <c r="D458" s="30"/>
      <c r="E458" s="30" t="s">
        <v>54</v>
      </c>
      <c r="F458" s="30" t="s">
        <v>56</v>
      </c>
      <c r="G458" s="31" t="n">
        <v>46209</v>
      </c>
      <c r="H458" s="31" t="n">
        <v>46233</v>
      </c>
      <c r="I458" s="32" t="n">
        <v>24</v>
      </c>
      <c r="J458" s="30"/>
    </row>
    <row r="459" customFormat="false" ht="15" hidden="false" customHeight="false" outlineLevel="0" collapsed="false">
      <c r="A459" s="30" t="s">
        <v>51</v>
      </c>
      <c r="B459" s="30" t="s">
        <v>58</v>
      </c>
      <c r="C459" s="30" t="s">
        <v>1236</v>
      </c>
      <c r="D459" s="30"/>
      <c r="E459" s="30" t="s">
        <v>54</v>
      </c>
      <c r="F459" s="30" t="s">
        <v>56</v>
      </c>
      <c r="G459" s="31" t="n">
        <v>46209</v>
      </c>
      <c r="H459" s="31" t="n">
        <v>46233</v>
      </c>
      <c r="I459" s="32" t="n">
        <v>24</v>
      </c>
      <c r="J459" s="30"/>
    </row>
    <row r="460" customFormat="false" ht="15" hidden="false" customHeight="false" outlineLevel="0" collapsed="false">
      <c r="A460" s="30" t="s">
        <v>51</v>
      </c>
      <c r="B460" s="30" t="s">
        <v>58</v>
      </c>
      <c r="C460" s="30" t="s">
        <v>1237</v>
      </c>
      <c r="D460" s="30"/>
      <c r="E460" s="30" t="s">
        <v>54</v>
      </c>
      <c r="F460" s="30" t="s">
        <v>56</v>
      </c>
      <c r="G460" s="31" t="n">
        <v>46209</v>
      </c>
      <c r="H460" s="31" t="n">
        <v>46233</v>
      </c>
      <c r="I460" s="32" t="n">
        <v>24</v>
      </c>
      <c r="J460" s="30"/>
    </row>
    <row r="461" customFormat="false" ht="15" hidden="false" customHeight="false" outlineLevel="0" collapsed="false">
      <c r="A461" s="30" t="s">
        <v>51</v>
      </c>
      <c r="B461" s="30" t="s">
        <v>58</v>
      </c>
      <c r="C461" s="30" t="s">
        <v>1238</v>
      </c>
      <c r="D461" s="30"/>
      <c r="E461" s="30" t="s">
        <v>54</v>
      </c>
      <c r="F461" s="30" t="s">
        <v>56</v>
      </c>
      <c r="G461" s="31" t="n">
        <v>46209</v>
      </c>
      <c r="H461" s="31" t="n">
        <v>46233</v>
      </c>
      <c r="I461" s="32" t="n">
        <v>24</v>
      </c>
      <c r="J461" s="30"/>
    </row>
    <row r="462" customFormat="false" ht="15" hidden="false" customHeight="false" outlineLevel="0" collapsed="false">
      <c r="A462" s="30" t="s">
        <v>51</v>
      </c>
      <c r="B462" s="30" t="s">
        <v>52</v>
      </c>
      <c r="C462" s="30" t="s">
        <v>1239</v>
      </c>
      <c r="D462" s="30"/>
      <c r="E462" s="30" t="s">
        <v>54</v>
      </c>
      <c r="F462" s="30" t="s">
        <v>56</v>
      </c>
      <c r="G462" s="31" t="n">
        <v>46209</v>
      </c>
      <c r="H462" s="31" t="n">
        <v>46233</v>
      </c>
      <c r="I462" s="32" t="n">
        <v>24</v>
      </c>
      <c r="J462" s="30"/>
    </row>
  </sheetData>
  <autoFilter ref="A1:J462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2026-08-05T06:57:02Z</dcterms:created>
  <dc:creator/>
  <dc:description/>
  <dc:language>en-US</dc:language>
  <cp:lastModifiedBy/>
  <dcterms:modified xsi:type="dcterms:W3CDTF">2026-08-05T06:57:02Z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