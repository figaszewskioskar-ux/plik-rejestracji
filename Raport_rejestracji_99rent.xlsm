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7" sheetId="8" r:id="rId8"/>
  </sheets>
  <definedNames>
    <definedName name="_xlnm._FilterDatabase" localSheetId="7" hidden="1">'Archiwum 2026-07'!$A$1:$J$18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<sst xmlns="http://schemas.openxmlformats.org/spreadsheetml/2006/main" count="5106" uniqueCount="1122">
  <si>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</si>
  <si>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</si>
  <si>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</si>
  <si>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</si>
  <si>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</si>
  <si>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</si>
  <si>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</si>
  <si>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</si>
  <si>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</si>
  <si>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</si>
  <si>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</si>
  <si>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</si>
  <si>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</si>
  <si>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</si>
  <si>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</si>
  <si>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</si>
  <si>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</si>
  <si>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</si>
  <si>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</si>
  <si>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</si>
  <si>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</si>
  <si>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</si>
  <si>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</si>
  <si>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</si>
  <si>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</si>
  <si>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</si>
  <si>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</si>
  <si>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</si>
  <si>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</si>
  <si>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</si>
  <si>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</si>
  <si>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</si>
  <si>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</si>
  <si>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</si>
  <si>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</si>
  <si>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</si>
  <si>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</si>
  <si>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</si>
  <si>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</si>
  <si>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</si>
  <si>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</si>
  <si>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</si>
  <si>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</si>
  <si>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</si>
  <si>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</si>
  <si>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</si>
  <si>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</si>
  <si>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</si>
  <si>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</si>
  <si>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</si>
  <si>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</si>
  <si>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</si>
  <si>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</si>
  <si>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</si>
  <si>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</si>
  <si>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</si>
  <si>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</si>
  <si>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</si>
  <si>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</si>
  <si>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</si>
  <si>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</si>
  <si>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</si>
  <si>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</si>
  <si>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</si>
  <si>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</si>
  <si>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</si>
  <si>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</si>
  <si>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</si>
  <si>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</si>
  <si>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</si>
  <si>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</si>
  <si>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</si>
  <si>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</si>
  <si>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</si>
  <si>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</si>
  <si>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</si>
  <si>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</si>
  <si>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</si>
  <si>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</si>
  <si>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</si>
  <si>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</si>
  <si>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</si>
  <si>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</si>
  <si>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</si>
  <si>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</si>
  <si>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</si>
  <si>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</si>
  <si>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</si>
  <si>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</si>
  <si>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</si>
  <si>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</si>
  <si>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</si>
  <si>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</si>
  <si>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</si>
  <si>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</si>
  <si>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</si>
  <si>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</si>
  <si>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</si>
  <si>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</si>
  <si>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</si>
  <si>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</si>
  <si>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</si>
  <si>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</si>
  <si>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</si>
  <si>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</si>
  <si>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</si>
  <si>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</si>
  <si>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</si>
  <si>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</si>
  <si>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</si>
  <si>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</si>
  <si>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</si>
  <si>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</si>
  <si>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</si>
  <si>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</si>
  <si>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</si>
  <si>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</si>
  <si>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</si>
  <si>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</si>
  <si>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</si>
  <si>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</si>
  <si>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</si>
  <si>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</si>
  <si>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</si>
  <si>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</si>
  <si>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</si>
  <si>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</si>
  <si>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</si>
  <si>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</si>
  <si>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</si>
  <si>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</si>
  <si>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</si>
  <si>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</si>
  <si>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</si>
  <si>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</si>
  <si>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</si>
  <si>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</si>
  <si>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zakładki „Archiwum RRRR-MM” na dole pliku.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</si>
  <si>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</si>
  <si>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</si>
  <si>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</si>
  <si>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</si>
  <si>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</si>
  <si>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</si>
  <si>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</si>
  <si>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</si>
  <si>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</si>
  <si>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</si>
  <si>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</si>
  <si>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</si>
  <si>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</si>
  <si>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</si>
  <si>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</si>
  <si>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</si>
  <si>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</si>
  <si>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</si>
  <si>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</si>
  <si>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</si>
  <si>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</si>
  <si>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</si>
  <si>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</si>
  <si>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</si>
  <si>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</si>
  <si>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</si>
  <si>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</si>
  <si>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</si>
  <si>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</si>
  <si>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</si>
  <si>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</si>
  <si>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</si>
  <si>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</si>
  <si>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</si>
  <si>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</si>
  <si>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</si>
  <si>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</si>
  <si>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</si>
  <si>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</si>
  <si>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</si>
  <si>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</si>
  <si>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</si>
  <si>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</si>
  <si>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</si>
  <si>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</si>
  <si>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</si>
  <si>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</si>
  <si>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</si>
  <si>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</si>
  <si>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</si>
  <si>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</si>
  <si>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</si>
  <si>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</si>
  <si>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</si>
  <si>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</si>
  <si>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</si>
  <si>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</si>
  <si>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</si>
  <si>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</si>
  <si>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</si>
  <si>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</si>
  <si>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</si>
  <si>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</si>
  <si>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</si>
  <si>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</si>
  <si>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</si>
  <si>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</si>
  <si>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</si>
  <si>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</si>
  <si>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</si>
  <si>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</si>
  <si>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</si>
  <si>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</si>
  <si>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</si>
  <si>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</si>
  <si>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</si>
  <si>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</si>
  <si>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</si>
  <si>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</si>
  <si>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</si>
  <si>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</si>
  <si>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</si>
  <si>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</si>
  <si>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</si>
  <si>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</si>
  <si>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</si>
  <si>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</si>
  <si>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</si>
  <si>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</si>
  <si>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</si>
  <si>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</si>
  <si>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</si>
  <si>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</si>
  <si>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</si>
  <si>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</si>
  <si>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</si>
  <si>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</si>
  <si>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</si>
  <si>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</si>
  <si>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</si>
  <si>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</si>
  <si>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</si>
  <si>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</si>
  <si>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</si>
  <si>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</si>
  <si>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</si>
  <si>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</si>
  <si>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</si>
  <si>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</si>
  <si>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</si>
  <si>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</si>
  <si>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</si>
  <si>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</si>
  <si>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</si>
  <si>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</si>
  <si>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</si>
  <si>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</si>
  <si>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</si>
  <si>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</si>
  <si>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</si>
  <si>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</si>
  <si>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</si>
  <si>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</si>
  <si>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</si>
  <si>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</si>
  <si>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</si>
  <si>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</si>
  <si>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</si>
  <si>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</si>
  <si>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</si>
  <si>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</si>
  <si>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</si>
  <si>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</si>
  <si>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</si>
  <si>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</si>
  <si>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</si>
  <si>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</si>
  <si>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</si>
  <si>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</si>
  <si>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</si>
  <si>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</si>
  <si>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</si>
  <si>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</si>
  <si>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</si>
  <si>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</si>
  <si>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</si>
  <si>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</si>
  <si>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</si>
  <si>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</si>
  <si>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</si>
  <si>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</si>
  <si>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</si>
  <si>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</si>
  <si>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</si>
  <si>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</si>
  <si>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</si>
  <si>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</si>
  <si>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</si>
  <si>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</si>
  <si>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</si>
  <si>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</si>
  <si>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</si>
  <si>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</si>
  <si>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</si>
  <si>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</si>
  <si>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</si>
  <si>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</si>
  <si>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</si>
  <si>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</si>
  <si>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</si>
  <si>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</si>
  <si>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</si>
  <si>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</si>
  <si>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</si>
  <si>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</si>
  <si>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</si>
  <si>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</si>
  <si>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</si>
  <si>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</si>
  <si>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</si>
  <si>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</si>
  <si>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</si>
  <si>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</si>
  <si>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</si>
  <si>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</si>
  <si>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</si>
  <si>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</si>
  <si>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</si>
  <si>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</si>
  <si>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</si>
  <si>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</si>
  <si>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</si>
  <si>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</si>
  <si>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</si>
  <si>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</si>
  <si>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</si>
  <si>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</si>
  <si>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</si>
  <si>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</si>
  <si>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</si>
  <si>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</si>
  <si>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</si>
  <si>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</si>
  <si>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</si>
  <si>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</si>
  <si>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</si>
  <si>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</si>
  <si>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</si>
  <si>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</si>
  <si>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</si>
  <si>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</si>
  <si>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</si>
  <si>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</si>
  <si>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</si>
  <si>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</si>
  <si>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</si>
  <si>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</si>
  <si>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</si>
  <si>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</si>
  <si>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</si>
  <si>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</si>
  <si>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</si>
  <si>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</si>
  <si>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</si>
  <si>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</si>
  <si>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</si>
  <si>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</si>
  <si>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</si>
  <si>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</si>
  <si>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</si>
  <si>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</si>
  <si>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</si>
  <si>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</si>
  <si>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</si>
  <si>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</si>
  <si>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</si>
  <si>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</si>
  <si>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</si>
  <si>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</si>
  <si>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</si>
  <si>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</si>
  <si>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</si>
  <si>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</si>
  <si>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</si>
  <si>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</si>
  <si>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</si>
  <si>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</si>
  <si>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</si>
  <si>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</si>
  <si>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</si>
  <si>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</si>
  <si>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</si>
  <si>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</si>
  <si>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</si>
  <si>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</si>
  <si>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</si>
  <si>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</si>
  <si>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</si>
  <si>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</si>
  <si>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</si>
  <si>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</si>
  <si>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</si>
  <si>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</si>
  <si>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</si>
  <si>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</si>
  <si>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</si>
  <si>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</si>
  <si>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</si>
  <si>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</si>
  <si>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</si>
  <si>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</si>
  <si>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</si>
  <si>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</si>
  <si>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</si>
  <si>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</si>
  <si>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</si>
  <si>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</si>
  <si>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</si>
  <si>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</si>
  <si>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</si>
  <si>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</si>
  <si>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</si>
  <si>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</si>
  <si>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</si>
  <si>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</si>
  <si>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</si>
  <si>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</si>
  <si>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</si>
  <si>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</si>
  <si>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</si>
  <si>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</si>
  <si>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</si>
  <si>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</si>
  <si>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</si>
  <si>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</si>
  <si>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</si>
  <si>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</si>
  <si>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</si>
  <si>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</si>
  <si>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</si>
  <si>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</si>
  <si>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</si>
  <si>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</si>
  <si>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</si>
  <si>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</si>
  <si>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</si>
  <si>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</si>
  <si>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</si>
  <si>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</si>
  <si>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</si>
  <si>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</si>
  <si>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</si>
  <si>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</si>
  <si>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</si>
  <si>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</si>
  <si>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</si>
  <si>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</si>
  <si>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</si>
  <si>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</si>
  <si>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</si>
  <si>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</si>
  <si>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</si>
  <si>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</si>
  <si>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</si>
  <si>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</si>
  <si>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</si>
  <si>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</si>
  <si>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</si>
  <si>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</si>
  <si>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</si>
  <si>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</si>
  <si>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</si>
  <si>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</si>
  <si>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</si>
  <si>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</si>
  <si>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</si>
  <si>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</si>
  <si>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</si>
  <si>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</si>
  <si>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</si>
  <si>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</si>
  <si>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</si>
  <si>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</si>
  <si>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</si>
  <si>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</si>
  <si>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</si>
  <si>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</si>
  <si>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</si>
  <si>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</si>
  <si>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</si>
  <si>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</si>
  <si>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</si>
  <si>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</si>
  <si>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</si>
  <si>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</si>
  <si>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</si>
  <si>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</si>
  <si>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</si>
  <si>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</si>
  <si>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</si>
  <si>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</si>
  <si>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</si>
  <si>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</si>
  <si>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</si>
  <si>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</si>
  <si>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</si>
  <si>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</si>
  <si>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</si>
  <si>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</si>
  <si>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</si>
  <si>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</si>
  <si>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</si>
  <si>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MB Motors Poznań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</si>
  <si>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</si>
  <si>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</si>
  <si>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</si>
  <si>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</si>
  <si>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</si>
  <si>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</si>
  <si>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</si>
  <si>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</si>
  <si>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</si>
  <si>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</si>
  <si>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</si>
  <si>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</si>
  <si>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</si>
  <si>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</si>
  <si>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</si>
  <si>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</si>
  <si>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</si>
  <si>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</si>
  <si>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</si>
  <si>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</si>
  <si>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</si>
  <si>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</si>
  <si>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</si>
  <si>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</si>
  <si>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</si>
  <si>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</si>
  <si>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</si>
  <si>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</si>
  <si>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</si>
  <si>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</si>
  <si>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</si>
  <si>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</si>
  <si>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</si>
  <si>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</si>
  <si>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</si>
  <si>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</si>
  <si>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</si>
  <si>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</si>
  <si>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</si>
  <si>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</si>
  <si>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</si>
  <si>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</si>
  <si>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</si>
  <si>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</si>
  <si>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</si>
  <si>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</si>
  <si>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</si>
  <si>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Krotoski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</si>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</sst>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103</v>
      </c>
      <c r="C55" s="22" t="s">
        <v>104</v>
      </c>
      <c r="D55" s="22" t="s">
        <v>89</v>
      </c>
      <c r="E55" s="22" t="s">
        <v>90</v>
      </c>
      <c r="F55" s="22" t="s">
        <v>56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97</v>
      </c>
      <c r="C56" s="22" t="s">
        <v>105</v>
      </c>
      <c r="D56" s="22" t="s">
        <v>89</v>
      </c>
      <c r="E56" s="22" t="s">
        <v>90</v>
      </c>
      <c r="F56" s="22" t="s">
        <v>56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103</v>
      </c>
      <c r="C57" s="22" t="s">
        <v>106</v>
      </c>
      <c r="D57" s="22" t="s">
        <v>89</v>
      </c>
      <c r="E57" s="22" t="s">
        <v>90</v>
      </c>
      <c r="F57" s="22" t="s">
        <v>56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97</v>
      </c>
      <c r="C58" s="22" t="s">
        <v>107</v>
      </c>
      <c r="D58" s="22" t="s">
        <v>89</v>
      </c>
      <c r="E58" s="22" t="s">
        <v>90</v>
      </c>
      <c r="F58" s="22" t="s">
        <v>56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97</v>
      </c>
      <c r="C59" s="22" t="s">
        <v>108</v>
      </c>
      <c r="D59" s="22" t="s">
        <v>89</v>
      </c>
      <c r="E59" s="22" t="s">
        <v>90</v>
      </c>
      <c r="F59" s="22" t="s">
        <v>56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97</v>
      </c>
      <c r="C60" s="22" t="s">
        <v>109</v>
      </c>
      <c r="D60" s="22" t="s">
        <v>89</v>
      </c>
      <c r="E60" s="22" t="s">
        <v>90</v>
      </c>
      <c r="F60" s="22" t="s">
        <v>56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97</v>
      </c>
      <c r="C61" s="22" t="s">
        <v>110</v>
      </c>
      <c r="D61" s="22" t="s">
        <v>89</v>
      </c>
      <c r="E61" s="22" t="s">
        <v>90</v>
      </c>
      <c r="F61" s="22" t="s">
        <v>56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103</v>
      </c>
      <c r="C62" s="22" t="s">
        <v>111</v>
      </c>
      <c r="D62" s="22" t="s">
        <v>89</v>
      </c>
      <c r="E62" s="22" t="s">
        <v>90</v>
      </c>
      <c r="F62" s="22" t="s">
        <v>56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103</v>
      </c>
      <c r="C63" s="22" t="s">
        <v>112</v>
      </c>
      <c r="D63" s="22" t="s">
        <v>89</v>
      </c>
      <c r="E63" s="22" t="s">
        <v>90</v>
      </c>
      <c r="F63" s="22" t="s">
        <v>56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97</v>
      </c>
      <c r="C64" s="22" t="s">
        <v>113</v>
      </c>
      <c r="D64" s="22" t="s">
        <v>89</v>
      </c>
      <c r="E64" s="22" t="s">
        <v>90</v>
      </c>
      <c r="F64" s="22" t="s">
        <v>56</v>
      </c>
      <c r="G64" s="23">
        <v>46227</v>
      </c>
      <c r="H64" s="24">
        <f>IF($G64="","",TODAY()-$G64)</f>
        <v>0</v>
      </c>
      <c r="I64" s="22"/>
    </row>
    <row r="65" spans="1:9">
      <c r="A65" s="22" t="s">
        <v>114</v>
      </c>
      <c r="B65" s="22" t="s">
        <v>115</v>
      </c>
      <c r="C65" s="22" t="s">
        <v>116</v>
      </c>
      <c r="D65" s="22" t="s">
        <v>117</v>
      </c>
      <c r="E65" s="22" t="s">
        <v>90</v>
      </c>
      <c r="F65" s="22" t="s">
        <v>118</v>
      </c>
      <c r="G65" s="23">
        <v>46234</v>
      </c>
      <c r="H65" s="24">
        <f>IF($G65="","",TODAY()-$G65)</f>
        <v>0</v>
      </c>
      <c r="I65" s="22"/>
    </row>
    <row r="66" spans="1:9">
      <c r="A66" s="22" t="s">
        <v>114</v>
      </c>
      <c r="B66" s="22" t="s">
        <v>115</v>
      </c>
      <c r="C66" s="22" t="s">
        <v>119</v>
      </c>
      <c r="D66" s="22" t="s">
        <v>117</v>
      </c>
      <c r="E66" s="22" t="s">
        <v>90</v>
      </c>
      <c r="F66" s="22" t="s">
        <v>118</v>
      </c>
      <c r="G66" s="23">
        <v>46234</v>
      </c>
      <c r="H66" s="24">
        <f>IF($G66="","",TODAY()-$G66)</f>
        <v>0</v>
      </c>
      <c r="I66" s="22"/>
    </row>
    <row r="67" spans="1:9">
      <c r="A67" s="22" t="s">
        <v>114</v>
      </c>
      <c r="B67" s="22" t="s">
        <v>115</v>
      </c>
      <c r="C67" s="22" t="s">
        <v>120</v>
      </c>
      <c r="D67" s="22" t="s">
        <v>117</v>
      </c>
      <c r="E67" s="22" t="s">
        <v>90</v>
      </c>
      <c r="F67" s="22" t="s">
        <v>118</v>
      </c>
      <c r="G67" s="23">
        <v>46234</v>
      </c>
      <c r="H67" s="24">
        <f>IF($G67="","",TODAY()-$G67)</f>
        <v>0</v>
      </c>
      <c r="I67" s="22"/>
    </row>
    <row r="68" spans="1:9">
      <c r="A68" s="22" t="s">
        <v>114</v>
      </c>
      <c r="B68" s="22" t="s">
        <v>115</v>
      </c>
      <c r="C68" s="22" t="s">
        <v>121</v>
      </c>
      <c r="D68" s="22" t="s">
        <v>117</v>
      </c>
      <c r="E68" s="22" t="s">
        <v>90</v>
      </c>
      <c r="F68" s="22" t="s">
        <v>118</v>
      </c>
      <c r="G68" s="23">
        <v>46234</v>
      </c>
      <c r="H68" s="24">
        <f>IF($G68="","",TODAY()-$G68)</f>
        <v>0</v>
      </c>
      <c r="I68" s="22"/>
    </row>
    <row r="69" spans="1:9">
      <c r="A69" s="22" t="s">
        <v>114</v>
      </c>
      <c r="B69" s="22" t="s">
        <v>115</v>
      </c>
      <c r="C69" s="22" t="s">
        <v>122</v>
      </c>
      <c r="D69" s="22" t="s">
        <v>117</v>
      </c>
      <c r="E69" s="22" t="s">
        <v>90</v>
      </c>
      <c r="F69" s="22" t="s">
        <v>118</v>
      </c>
      <c r="G69" s="23">
        <v>46234</v>
      </c>
      <c r="H69" s="24">
        <f>IF($G69="","",TODAY()-$G69)</f>
        <v>0</v>
      </c>
      <c r="I69" s="22"/>
    </row>
    <row r="70" spans="1:9">
      <c r="A70" s="22" t="s">
        <v>114</v>
      </c>
      <c r="B70" s="22" t="s">
        <v>115</v>
      </c>
      <c r="C70" s="22" t="s">
        <v>123</v>
      </c>
      <c r="D70" s="22" t="s">
        <v>117</v>
      </c>
      <c r="E70" s="22" t="s">
        <v>90</v>
      </c>
      <c r="F70" s="22" t="s">
        <v>118</v>
      </c>
      <c r="G70" s="23">
        <v>46234</v>
      </c>
      <c r="H70" s="24">
        <f>IF($G70="","",TODAY()-$G70)</f>
        <v>0</v>
      </c>
      <c r="I70" s="22"/>
    </row>
    <row r="71" spans="1:9">
      <c r="A71" s="22" t="s">
        <v>114</v>
      </c>
      <c r="B71" s="22" t="s">
        <v>115</v>
      </c>
      <c r="C71" s="22" t="s">
        <v>124</v>
      </c>
      <c r="D71" s="22" t="s">
        <v>117</v>
      </c>
      <c r="E71" s="22" t="s">
        <v>90</v>
      </c>
      <c r="F71" s="22" t="s">
        <v>118</v>
      </c>
      <c r="G71" s="23">
        <v>46234</v>
      </c>
      <c r="H71" s="24">
        <f>IF($G71="","",TODAY()-$G71)</f>
        <v>0</v>
      </c>
      <c r="I71" s="22"/>
    </row>
    <row r="72" spans="1:9">
      <c r="A72" s="22" t="s">
        <v>114</v>
      </c>
      <c r="B72" s="22" t="s">
        <v>115</v>
      </c>
      <c r="C72" s="22" t="s">
        <v>125</v>
      </c>
      <c r="D72" s="22" t="s">
        <v>117</v>
      </c>
      <c r="E72" s="22" t="s">
        <v>90</v>
      </c>
      <c r="F72" s="22" t="s">
        <v>118</v>
      </c>
      <c r="G72" s="23">
        <v>46234</v>
      </c>
      <c r="H72" s="24">
        <f>IF($G72="","",TODAY()-$G72)</f>
        <v>0</v>
      </c>
      <c r="I72" s="22"/>
    </row>
    <row r="73" spans="1:9">
      <c r="A73" s="22" t="s">
        <v>114</v>
      </c>
      <c r="B73" s="22" t="s">
        <v>115</v>
      </c>
      <c r="C73" s="22" t="s">
        <v>126</v>
      </c>
      <c r="D73" s="22" t="s">
        <v>117</v>
      </c>
      <c r="E73" s="22" t="s">
        <v>90</v>
      </c>
      <c r="F73" s="22" t="s">
        <v>118</v>
      </c>
      <c r="G73" s="23">
        <v>46234</v>
      </c>
      <c r="H73" s="24">
        <f>IF($G73="","",TODAY()-$G73)</f>
        <v>0</v>
      </c>
      <c r="I73" s="22"/>
    </row>
    <row r="74" spans="1:9">
      <c r="A74" s="22" t="s">
        <v>114</v>
      </c>
      <c r="B74" s="22" t="s">
        <v>115</v>
      </c>
      <c r="C74" s="22" t="s">
        <v>127</v>
      </c>
      <c r="D74" s="22" t="s">
        <v>117</v>
      </c>
      <c r="E74" s="22" t="s">
        <v>90</v>
      </c>
      <c r="F74" s="22" t="s">
        <v>118</v>
      </c>
      <c r="G74" s="23">
        <v>46234</v>
      </c>
      <c r="H74" s="24">
        <f>IF($G74="","",TODAY()-$G74)</f>
        <v>0</v>
      </c>
      <c r="I74" s="22"/>
    </row>
    <row r="75" spans="1:9">
      <c r="A75" s="22" t="s">
        <v>114</v>
      </c>
      <c r="B75" s="22" t="s">
        <v>115</v>
      </c>
      <c r="C75" s="22" t="s">
        <v>128</v>
      </c>
      <c r="D75" s="22" t="s">
        <v>117</v>
      </c>
      <c r="E75" s="22" t="s">
        <v>90</v>
      </c>
      <c r="F75" s="22" t="s">
        <v>118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Listy!$B$2:$B$27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129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130</v>
      </c>
      <c r="B3" s="16"/>
      <c r="C3" s="16"/>
      <c r="D3" s="16"/>
      <c r="E3" s="16"/>
      <c r="F3" s="16"/>
      <c r="G3" s="16"/>
      <c r="H3" s="16"/>
    </row>
    <row r="4" spans="1:8">
      <c r="A4" s="7" t="s">
        <v>131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5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133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134</v>
      </c>
      <c r="E4" s="17" t="s">
        <v>18</v>
      </c>
      <c r="F4" s="17" t="s">
        <v>20</v>
      </c>
      <c r="G4" s="17" t="s">
        <v>21</v>
      </c>
      <c r="H4" s="17" t="s">
        <v>135</v>
      </c>
      <c r="I4" s="17" t="s">
        <v>136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134</v>
      </c>
      <c r="E8" s="21" t="s">
        <v>18</v>
      </c>
      <c r="F8" s="21" t="s">
        <v>20</v>
      </c>
      <c r="G8" s="21" t="s">
        <v>21</v>
      </c>
      <c r="H8" s="21" t="s">
        <v>135</v>
      </c>
      <c r="I8" s="21" t="s">
        <v>136</v>
      </c>
      <c r="J8" s="21" t="s">
        <v>23</v>
      </c>
    </row>
    <row r="9" spans="1:12">
      <c r="A9" s="30" t="s">
        <v>138</v>
      </c>
      <c r="B9" s="30" t="s">
        <v>139</v>
      </c>
      <c r="C9" s="30" t="s">
        <v>140</v>
      </c>
      <c r="D9" s="30"/>
      <c r="E9" s="30" t="s">
        <v>141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138</v>
      </c>
      <c r="B10" s="30" t="s">
        <v>139</v>
      </c>
      <c r="C10" s="30" t="s">
        <v>142</v>
      </c>
      <c r="D10" s="30"/>
      <c r="E10" s="30" t="s">
        <v>141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137</v>
      </c>
    </row>
    <row r="11" spans="1:12">
      <c r="A11" s="30" t="s">
        <v>138</v>
      </c>
      <c r="B11" s="30" t="s">
        <v>139</v>
      </c>
      <c r="C11" s="30" t="s">
        <v>143</v>
      </c>
      <c r="D11" s="30"/>
      <c r="E11" s="30" t="s">
        <v>141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138</v>
      </c>
      <c r="B12" s="30" t="s">
        <v>139</v>
      </c>
      <c r="C12" s="30" t="s">
        <v>144</v>
      </c>
      <c r="D12" s="30"/>
      <c r="E12" s="30" t="s">
        <v>141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138</v>
      </c>
      <c r="B13" s="30" t="s">
        <v>139</v>
      </c>
      <c r="C13" s="30" t="s">
        <v>145</v>
      </c>
      <c r="D13" s="30"/>
      <c r="E13" s="30" t="s">
        <v>141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138</v>
      </c>
      <c r="B14" s="30" t="s">
        <v>139</v>
      </c>
      <c r="C14" s="30" t="s">
        <v>146</v>
      </c>
      <c r="D14" s="30"/>
      <c r="E14" s="30" t="s">
        <v>141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138</v>
      </c>
      <c r="B15" s="30" t="s">
        <v>139</v>
      </c>
      <c r="C15" s="30" t="s">
        <v>147</v>
      </c>
      <c r="D15" s="30"/>
      <c r="E15" s="30" t="s">
        <v>141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138</v>
      </c>
      <c r="B16" s="30" t="s">
        <v>139</v>
      </c>
      <c r="C16" s="30" t="s">
        <v>148</v>
      </c>
      <c r="D16" s="30"/>
      <c r="E16" s="30" t="s">
        <v>141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138</v>
      </c>
      <c r="B17" s="30" t="s">
        <v>139</v>
      </c>
      <c r="C17" s="30" t="s">
        <v>149</v>
      </c>
      <c r="D17" s="30"/>
      <c r="E17" s="30" t="s">
        <v>141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138</v>
      </c>
      <c r="B18" s="30" t="s">
        <v>139</v>
      </c>
      <c r="C18" s="30" t="s">
        <v>150</v>
      </c>
      <c r="D18" s="30"/>
      <c r="E18" s="30" t="s">
        <v>141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138</v>
      </c>
      <c r="B19" s="30" t="s">
        <v>139</v>
      </c>
      <c r="C19" s="30" t="s">
        <v>151</v>
      </c>
      <c r="D19" s="30"/>
      <c r="E19" s="30" t="s">
        <v>141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138</v>
      </c>
      <c r="B20" s="30" t="s">
        <v>139</v>
      </c>
      <c r="C20" s="30" t="s">
        <v>152</v>
      </c>
      <c r="D20" s="30"/>
      <c r="E20" s="30" t="s">
        <v>141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138</v>
      </c>
      <c r="B21" s="30" t="s">
        <v>139</v>
      </c>
      <c r="C21" s="30" t="s">
        <v>153</v>
      </c>
      <c r="D21" s="30"/>
      <c r="E21" s="30" t="s">
        <v>141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138</v>
      </c>
      <c r="B22" s="30" t="s">
        <v>139</v>
      </c>
      <c r="C22" s="30" t="s">
        <v>154</v>
      </c>
      <c r="D22" s="30"/>
      <c r="E22" s="30" t="s">
        <v>141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138</v>
      </c>
      <c r="B23" s="30" t="s">
        <v>139</v>
      </c>
      <c r="C23" s="30" t="s">
        <v>155</v>
      </c>
      <c r="D23" s="30"/>
      <c r="E23" s="30" t="s">
        <v>141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138</v>
      </c>
      <c r="B24" s="30" t="s">
        <v>139</v>
      </c>
      <c r="C24" s="30" t="s">
        <v>156</v>
      </c>
      <c r="D24" s="30"/>
      <c r="E24" s="30" t="s">
        <v>141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138</v>
      </c>
      <c r="B25" s="30" t="s">
        <v>139</v>
      </c>
      <c r="C25" s="30" t="s">
        <v>157</v>
      </c>
      <c r="D25" s="30"/>
      <c r="E25" s="30" t="s">
        <v>141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138</v>
      </c>
      <c r="B26" s="30" t="s">
        <v>139</v>
      </c>
      <c r="C26" s="30" t="s">
        <v>158</v>
      </c>
      <c r="D26" s="30"/>
      <c r="E26" s="30" t="s">
        <v>141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138</v>
      </c>
      <c r="B27" s="30" t="s">
        <v>139</v>
      </c>
      <c r="C27" s="30" t="s">
        <v>159</v>
      </c>
      <c r="D27" s="30"/>
      <c r="E27" s="30" t="s">
        <v>141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138</v>
      </c>
      <c r="B28" s="30" t="s">
        <v>139</v>
      </c>
      <c r="C28" s="30" t="s">
        <v>160</v>
      </c>
      <c r="D28" s="30"/>
      <c r="E28" s="30" t="s">
        <v>141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161</v>
      </c>
      <c r="B29" s="30" t="s">
        <v>162</v>
      </c>
      <c r="C29" s="30" t="s">
        <v>163</v>
      </c>
      <c r="D29" s="30"/>
      <c r="E29" s="30" t="s">
        <v>164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161</v>
      </c>
      <c r="B30" s="30" t="s">
        <v>162</v>
      </c>
      <c r="C30" s="30" t="s">
        <v>165</v>
      </c>
      <c r="D30" s="30"/>
      <c r="E30" s="30" t="s">
        <v>164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166</v>
      </c>
      <c r="B31" s="30" t="s">
        <v>166</v>
      </c>
      <c r="C31" s="30" t="s">
        <v>167</v>
      </c>
      <c r="D31" s="30"/>
      <c r="E31" s="30" t="s">
        <v>168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166</v>
      </c>
      <c r="B32" s="30" t="s">
        <v>166</v>
      </c>
      <c r="C32" s="30" t="s">
        <v>169</v>
      </c>
      <c r="D32" s="30"/>
      <c r="E32" s="30" t="s">
        <v>168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166</v>
      </c>
      <c r="B33" s="30" t="s">
        <v>166</v>
      </c>
      <c r="C33" s="30" t="s">
        <v>170</v>
      </c>
      <c r="D33" s="30"/>
      <c r="E33" s="30" t="s">
        <v>168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166</v>
      </c>
      <c r="B34" s="30" t="s">
        <v>166</v>
      </c>
      <c r="C34" s="30" t="s">
        <v>171</v>
      </c>
      <c r="D34" s="30"/>
      <c r="E34" s="30" t="s">
        <v>168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166</v>
      </c>
      <c r="B35" s="30" t="s">
        <v>166</v>
      </c>
      <c r="C35" s="30" t="s">
        <v>172</v>
      </c>
      <c r="D35" s="30"/>
      <c r="E35" s="30" t="s">
        <v>168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173</v>
      </c>
      <c r="B36" s="30" t="s">
        <v>174</v>
      </c>
      <c r="C36" s="30" t="s">
        <v>175</v>
      </c>
      <c r="D36" s="30"/>
      <c r="E36" s="30" t="s">
        <v>176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173</v>
      </c>
      <c r="B37" s="30" t="s">
        <v>174</v>
      </c>
      <c r="C37" s="30" t="s">
        <v>177</v>
      </c>
      <c r="D37" s="30"/>
      <c r="E37" s="30" t="s">
        <v>176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173</v>
      </c>
      <c r="B38" s="30" t="s">
        <v>174</v>
      </c>
      <c r="C38" s="30" t="s">
        <v>178</v>
      </c>
      <c r="D38" s="30"/>
      <c r="E38" s="30" t="s">
        <v>176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173</v>
      </c>
      <c r="B39" s="30" t="s">
        <v>174</v>
      </c>
      <c r="C39" s="30" t="s">
        <v>179</v>
      </c>
      <c r="D39" s="30"/>
      <c r="E39" s="30" t="s">
        <v>176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173</v>
      </c>
      <c r="B40" s="30" t="s">
        <v>174</v>
      </c>
      <c r="C40" s="30" t="s">
        <v>180</v>
      </c>
      <c r="D40" s="30"/>
      <c r="E40" s="30" t="s">
        <v>176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181</v>
      </c>
      <c r="B41" s="30" t="s">
        <v>182</v>
      </c>
      <c r="C41" s="30" t="s">
        <v>183</v>
      </c>
      <c r="D41" s="30"/>
      <c r="E41" s="30" t="s">
        <v>64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181</v>
      </c>
      <c r="B42" s="30" t="s">
        <v>182</v>
      </c>
      <c r="C42" s="30" t="s">
        <v>184</v>
      </c>
      <c r="D42" s="30"/>
      <c r="E42" s="30" t="s">
        <v>64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181</v>
      </c>
      <c r="B43" s="30" t="s">
        <v>182</v>
      </c>
      <c r="C43" s="30" t="s">
        <v>185</v>
      </c>
      <c r="D43" s="30"/>
      <c r="E43" s="30" t="s">
        <v>64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181</v>
      </c>
      <c r="B44" s="30" t="s">
        <v>182</v>
      </c>
      <c r="C44" s="30" t="s">
        <v>186</v>
      </c>
      <c r="D44" s="30"/>
      <c r="E44" s="30" t="s">
        <v>64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181</v>
      </c>
      <c r="B45" s="30" t="s">
        <v>182</v>
      </c>
      <c r="C45" s="30" t="s">
        <v>187</v>
      </c>
      <c r="D45" s="30"/>
      <c r="E45" s="30" t="s">
        <v>64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181</v>
      </c>
      <c r="B46" s="30" t="s">
        <v>182</v>
      </c>
      <c r="C46" s="30" t="s">
        <v>188</v>
      </c>
      <c r="D46" s="30"/>
      <c r="E46" s="30" t="s">
        <v>64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181</v>
      </c>
      <c r="B47" s="30" t="s">
        <v>182</v>
      </c>
      <c r="C47" s="30" t="s">
        <v>189</v>
      </c>
      <c r="D47" s="30"/>
      <c r="E47" s="30" t="s">
        <v>64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181</v>
      </c>
      <c r="B48" s="30" t="s">
        <v>182</v>
      </c>
      <c r="C48" s="30" t="s">
        <v>190</v>
      </c>
      <c r="D48" s="30"/>
      <c r="E48" s="30" t="s">
        <v>64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181</v>
      </c>
      <c r="B49" s="30" t="s">
        <v>182</v>
      </c>
      <c r="C49" s="30" t="s">
        <v>191</v>
      </c>
      <c r="D49" s="30"/>
      <c r="E49" s="30" t="s">
        <v>64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181</v>
      </c>
      <c r="B50" s="30" t="s">
        <v>182</v>
      </c>
      <c r="C50" s="30" t="s">
        <v>192</v>
      </c>
      <c r="D50" s="30"/>
      <c r="E50" s="30" t="s">
        <v>64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181</v>
      </c>
      <c r="B51" s="30" t="s">
        <v>182</v>
      </c>
      <c r="C51" s="30" t="s">
        <v>193</v>
      </c>
      <c r="D51" s="30"/>
      <c r="E51" s="30" t="s">
        <v>64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181</v>
      </c>
      <c r="B52" s="30" t="s">
        <v>182</v>
      </c>
      <c r="C52" s="30" t="s">
        <v>194</v>
      </c>
      <c r="D52" s="30"/>
      <c r="E52" s="30" t="s">
        <v>64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181</v>
      </c>
      <c r="B53" s="30" t="s">
        <v>182</v>
      </c>
      <c r="C53" s="30" t="s">
        <v>195</v>
      </c>
      <c r="D53" s="30"/>
      <c r="E53" s="30" t="s">
        <v>64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181</v>
      </c>
      <c r="B54" s="30" t="s">
        <v>182</v>
      </c>
      <c r="C54" s="30" t="s">
        <v>196</v>
      </c>
      <c r="D54" s="30"/>
      <c r="E54" s="30" t="s">
        <v>64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181</v>
      </c>
      <c r="B55" s="30" t="s">
        <v>182</v>
      </c>
      <c r="C55" s="30" t="s">
        <v>197</v>
      </c>
      <c r="D55" s="30"/>
      <c r="E55" s="30" t="s">
        <v>64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181</v>
      </c>
      <c r="B56" s="30" t="s">
        <v>182</v>
      </c>
      <c r="C56" s="30" t="s">
        <v>198</v>
      </c>
      <c r="D56" s="30"/>
      <c r="E56" s="30" t="s">
        <v>64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181</v>
      </c>
      <c r="B57" s="30" t="s">
        <v>182</v>
      </c>
      <c r="C57" s="30" t="s">
        <v>199</v>
      </c>
      <c r="D57" s="30"/>
      <c r="E57" s="30" t="s">
        <v>64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200</v>
      </c>
      <c r="C58" s="30" t="s">
        <v>201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200</v>
      </c>
      <c r="C59" s="30" t="s">
        <v>202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200</v>
      </c>
      <c r="C60" s="30" t="s">
        <v>203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200</v>
      </c>
      <c r="C61" s="30" t="s">
        <v>204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200</v>
      </c>
      <c r="C62" s="30" t="s">
        <v>205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200</v>
      </c>
      <c r="C63" s="30" t="s">
        <v>206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200</v>
      </c>
      <c r="C64" s="30" t="s">
        <v>207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200</v>
      </c>
      <c r="C65" s="30" t="s">
        <v>208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200</v>
      </c>
      <c r="C66" s="30" t="s">
        <v>209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200</v>
      </c>
      <c r="C67" s="30" t="s">
        <v>210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200</v>
      </c>
      <c r="C68" s="30" t="s">
        <v>211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200</v>
      </c>
      <c r="C69" s="30" t="s">
        <v>212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200</v>
      </c>
      <c r="C70" s="30" t="s">
        <v>213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200</v>
      </c>
      <c r="C71" s="30" t="s">
        <v>214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200</v>
      </c>
      <c r="C72" s="30" t="s">
        <v>215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200</v>
      </c>
      <c r="C73" s="30" t="s">
        <v>216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200</v>
      </c>
      <c r="C74" s="30" t="s">
        <v>217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200</v>
      </c>
      <c r="C75" s="30" t="s">
        <v>218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200</v>
      </c>
      <c r="C76" s="30" t="s">
        <v>219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200</v>
      </c>
      <c r="C77" s="30" t="s">
        <v>220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221</v>
      </c>
      <c r="C78" s="30" t="s">
        <v>222</v>
      </c>
      <c r="D78" s="30"/>
      <c r="E78" s="30" t="s">
        <v>223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221</v>
      </c>
      <c r="C79" s="30" t="s">
        <v>224</v>
      </c>
      <c r="D79" s="30"/>
      <c r="E79" s="30" t="s">
        <v>223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221</v>
      </c>
      <c r="C80" s="30" t="s">
        <v>225</v>
      </c>
      <c r="D80" s="30"/>
      <c r="E80" s="30" t="s">
        <v>223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221</v>
      </c>
      <c r="C81" s="30" t="s">
        <v>226</v>
      </c>
      <c r="D81" s="30"/>
      <c r="E81" s="30" t="s">
        <v>223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221</v>
      </c>
      <c r="C82" s="30" t="s">
        <v>227</v>
      </c>
      <c r="D82" s="30"/>
      <c r="E82" s="30" t="s">
        <v>223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221</v>
      </c>
      <c r="C83" s="30" t="s">
        <v>228</v>
      </c>
      <c r="D83" s="30"/>
      <c r="E83" s="30" t="s">
        <v>223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221</v>
      </c>
      <c r="C84" s="30" t="s">
        <v>229</v>
      </c>
      <c r="D84" s="30"/>
      <c r="E84" s="30" t="s">
        <v>223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221</v>
      </c>
      <c r="C85" s="30" t="s">
        <v>230</v>
      </c>
      <c r="D85" s="30"/>
      <c r="E85" s="30" t="s">
        <v>223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221</v>
      </c>
      <c r="C86" s="30" t="s">
        <v>231</v>
      </c>
      <c r="D86" s="30"/>
      <c r="E86" s="30" t="s">
        <v>223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221</v>
      </c>
      <c r="C87" s="30" t="s">
        <v>232</v>
      </c>
      <c r="D87" s="30"/>
      <c r="E87" s="30" t="s">
        <v>223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221</v>
      </c>
      <c r="C88" s="30" t="s">
        <v>233</v>
      </c>
      <c r="D88" s="30"/>
      <c r="E88" s="30" t="s">
        <v>223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221</v>
      </c>
      <c r="C89" s="30" t="s">
        <v>234</v>
      </c>
      <c r="D89" s="30"/>
      <c r="E89" s="30" t="s">
        <v>223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221</v>
      </c>
      <c r="C90" s="30" t="s">
        <v>235</v>
      </c>
      <c r="D90" s="30"/>
      <c r="E90" s="30" t="s">
        <v>223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221</v>
      </c>
      <c r="C91" s="30" t="s">
        <v>236</v>
      </c>
      <c r="D91" s="30"/>
      <c r="E91" s="30" t="s">
        <v>223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221</v>
      </c>
      <c r="C92" s="30" t="s">
        <v>237</v>
      </c>
      <c r="D92" s="30"/>
      <c r="E92" s="30" t="s">
        <v>223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221</v>
      </c>
      <c r="C93" s="30" t="s">
        <v>238</v>
      </c>
      <c r="D93" s="30"/>
      <c r="E93" s="30" t="s">
        <v>223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221</v>
      </c>
      <c r="C94" s="30" t="s">
        <v>239</v>
      </c>
      <c r="D94" s="30"/>
      <c r="E94" s="30" t="s">
        <v>223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221</v>
      </c>
      <c r="C95" s="30" t="s">
        <v>240</v>
      </c>
      <c r="D95" s="30"/>
      <c r="E95" s="30" t="s">
        <v>223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221</v>
      </c>
      <c r="C96" s="30" t="s">
        <v>241</v>
      </c>
      <c r="D96" s="30"/>
      <c r="E96" s="30" t="s">
        <v>223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221</v>
      </c>
      <c r="C97" s="30" t="s">
        <v>242</v>
      </c>
      <c r="D97" s="30"/>
      <c r="E97" s="30" t="s">
        <v>223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221</v>
      </c>
      <c r="C98" s="30" t="s">
        <v>243</v>
      </c>
      <c r="D98" s="30"/>
      <c r="E98" s="30" t="s">
        <v>223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221</v>
      </c>
      <c r="C99" s="30" t="s">
        <v>244</v>
      </c>
      <c r="D99" s="30"/>
      <c r="E99" s="30" t="s">
        <v>223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221</v>
      </c>
      <c r="C100" s="30" t="s">
        <v>245</v>
      </c>
      <c r="D100" s="30"/>
      <c r="E100" s="30" t="s">
        <v>223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221</v>
      </c>
      <c r="C101" s="30" t="s">
        <v>246</v>
      </c>
      <c r="D101" s="30"/>
      <c r="E101" s="30" t="s">
        <v>223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221</v>
      </c>
      <c r="C102" s="30" t="s">
        <v>247</v>
      </c>
      <c r="D102" s="30"/>
      <c r="E102" s="30" t="s">
        <v>223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221</v>
      </c>
      <c r="C103" s="30" t="s">
        <v>248</v>
      </c>
      <c r="D103" s="30"/>
      <c r="E103" s="30" t="s">
        <v>223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221</v>
      </c>
      <c r="C104" s="30" t="s">
        <v>249</v>
      </c>
      <c r="D104" s="30"/>
      <c r="E104" s="30" t="s">
        <v>223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221</v>
      </c>
      <c r="C105" s="30" t="s">
        <v>250</v>
      </c>
      <c r="D105" s="30"/>
      <c r="E105" s="30" t="s">
        <v>223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221</v>
      </c>
      <c r="C106" s="30" t="s">
        <v>251</v>
      </c>
      <c r="D106" s="30"/>
      <c r="E106" s="30" t="s">
        <v>223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221</v>
      </c>
      <c r="C107" s="30" t="s">
        <v>252</v>
      </c>
      <c r="D107" s="30"/>
      <c r="E107" s="30" t="s">
        <v>223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221</v>
      </c>
      <c r="C108" s="30" t="s">
        <v>253</v>
      </c>
      <c r="D108" s="30"/>
      <c r="E108" s="30" t="s">
        <v>223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221</v>
      </c>
      <c r="C109" s="30" t="s">
        <v>254</v>
      </c>
      <c r="D109" s="30"/>
      <c r="E109" s="30" t="s">
        <v>223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255</v>
      </c>
      <c r="C110" s="30" t="s">
        <v>256</v>
      </c>
      <c r="D110" s="30"/>
      <c r="E110" s="30" t="s">
        <v>257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255</v>
      </c>
      <c r="C111" s="30" t="s">
        <v>258</v>
      </c>
      <c r="D111" s="30"/>
      <c r="E111" s="30" t="s">
        <v>257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255</v>
      </c>
      <c r="C112" s="30" t="s">
        <v>259</v>
      </c>
      <c r="D112" s="30"/>
      <c r="E112" s="30" t="s">
        <v>257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260</v>
      </c>
      <c r="B113" s="30" t="s">
        <v>261</v>
      </c>
      <c r="C113" s="30" t="s">
        <v>262</v>
      </c>
      <c r="D113" s="30"/>
      <c r="E113" s="30" t="s">
        <v>89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260</v>
      </c>
      <c r="B114" s="30" t="s">
        <v>261</v>
      </c>
      <c r="C114" s="30" t="s">
        <v>263</v>
      </c>
      <c r="D114" s="30"/>
      <c r="E114" s="30" t="s">
        <v>89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260</v>
      </c>
      <c r="B115" s="30" t="s">
        <v>261</v>
      </c>
      <c r="C115" s="30" t="s">
        <v>264</v>
      </c>
      <c r="D115" s="30"/>
      <c r="E115" s="30" t="s">
        <v>89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260</v>
      </c>
      <c r="B116" s="30" t="s">
        <v>265</v>
      </c>
      <c r="C116" s="30" t="s">
        <v>266</v>
      </c>
      <c r="D116" s="30"/>
      <c r="E116" s="30" t="s">
        <v>89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260</v>
      </c>
      <c r="B117" s="30" t="s">
        <v>265</v>
      </c>
      <c r="C117" s="30" t="s">
        <v>267</v>
      </c>
      <c r="D117" s="30"/>
      <c r="E117" s="30" t="s">
        <v>89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260</v>
      </c>
      <c r="B118" s="30" t="s">
        <v>265</v>
      </c>
      <c r="C118" s="30" t="s">
        <v>268</v>
      </c>
      <c r="D118" s="30"/>
      <c r="E118" s="30" t="s">
        <v>89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260</v>
      </c>
      <c r="B119" s="30" t="s">
        <v>265</v>
      </c>
      <c r="C119" s="30" t="s">
        <v>269</v>
      </c>
      <c r="D119" s="30"/>
      <c r="E119" s="30" t="s">
        <v>89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260</v>
      </c>
      <c r="B120" s="30" t="s">
        <v>265</v>
      </c>
      <c r="C120" s="30" t="s">
        <v>270</v>
      </c>
      <c r="D120" s="30"/>
      <c r="E120" s="30" t="s">
        <v>89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260</v>
      </c>
      <c r="B121" s="30" t="s">
        <v>265</v>
      </c>
      <c r="C121" s="30" t="s">
        <v>271</v>
      </c>
      <c r="D121" s="30"/>
      <c r="E121" s="30" t="s">
        <v>89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260</v>
      </c>
      <c r="B122" s="30" t="s">
        <v>265</v>
      </c>
      <c r="C122" s="30" t="s">
        <v>272</v>
      </c>
      <c r="D122" s="30"/>
      <c r="E122" s="30" t="s">
        <v>89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260</v>
      </c>
      <c r="B123" s="30" t="s">
        <v>265</v>
      </c>
      <c r="C123" s="30" t="s">
        <v>273</v>
      </c>
      <c r="D123" s="30"/>
      <c r="E123" s="30" t="s">
        <v>89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260</v>
      </c>
      <c r="B124" s="30" t="s">
        <v>265</v>
      </c>
      <c r="C124" s="30" t="s">
        <v>274</v>
      </c>
      <c r="D124" s="30"/>
      <c r="E124" s="30" t="s">
        <v>89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275</v>
      </c>
      <c r="B125" s="30" t="s">
        <v>276</v>
      </c>
      <c r="C125" s="30" t="s">
        <v>277</v>
      </c>
      <c r="D125" s="30"/>
      <c r="E125" s="30" t="s">
        <v>278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275</v>
      </c>
      <c r="B126" s="30" t="s">
        <v>276</v>
      </c>
      <c r="C126" s="30" t="s">
        <v>279</v>
      </c>
      <c r="D126" s="30"/>
      <c r="E126" s="30" t="s">
        <v>278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275</v>
      </c>
      <c r="B127" s="30" t="s">
        <v>280</v>
      </c>
      <c r="C127" s="30" t="s">
        <v>281</v>
      </c>
      <c r="D127" s="30"/>
      <c r="E127" s="30" t="s">
        <v>278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275</v>
      </c>
      <c r="B128" s="30" t="s">
        <v>280</v>
      </c>
      <c r="C128" s="30" t="s">
        <v>282</v>
      </c>
      <c r="D128" s="30"/>
      <c r="E128" s="30" t="s">
        <v>278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275</v>
      </c>
      <c r="B129" s="30" t="s">
        <v>280</v>
      </c>
      <c r="C129" s="30" t="s">
        <v>283</v>
      </c>
      <c r="D129" s="30"/>
      <c r="E129" s="30" t="s">
        <v>278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275</v>
      </c>
      <c r="B130" s="30" t="s">
        <v>280</v>
      </c>
      <c r="C130" s="30" t="s">
        <v>284</v>
      </c>
      <c r="D130" s="30"/>
      <c r="E130" s="30" t="s">
        <v>278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275</v>
      </c>
      <c r="B131" s="30" t="s">
        <v>280</v>
      </c>
      <c r="C131" s="30" t="s">
        <v>285</v>
      </c>
      <c r="D131" s="30"/>
      <c r="E131" s="30" t="s">
        <v>278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275</v>
      </c>
      <c r="B132" s="30" t="s">
        <v>280</v>
      </c>
      <c r="C132" s="30" t="s">
        <v>286</v>
      </c>
      <c r="D132" s="30"/>
      <c r="E132" s="30" t="s">
        <v>278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275</v>
      </c>
      <c r="B133" s="30" t="s">
        <v>280</v>
      </c>
      <c r="C133" s="30" t="s">
        <v>287</v>
      </c>
      <c r="D133" s="30"/>
      <c r="E133" s="30" t="s">
        <v>278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275</v>
      </c>
      <c r="B134" s="30" t="s">
        <v>280</v>
      </c>
      <c r="C134" s="30" t="s">
        <v>288</v>
      </c>
      <c r="D134" s="30"/>
      <c r="E134" s="30" t="s">
        <v>278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275</v>
      </c>
      <c r="B135" s="30" t="s">
        <v>280</v>
      </c>
      <c r="C135" s="30" t="s">
        <v>289</v>
      </c>
      <c r="D135" s="30"/>
      <c r="E135" s="30" t="s">
        <v>278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275</v>
      </c>
      <c r="B136" s="30" t="s">
        <v>280</v>
      </c>
      <c r="C136" s="30" t="s">
        <v>290</v>
      </c>
      <c r="D136" s="30"/>
      <c r="E136" s="30" t="s">
        <v>278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275</v>
      </c>
      <c r="B137" s="30" t="s">
        <v>280</v>
      </c>
      <c r="C137" s="30" t="s">
        <v>291</v>
      </c>
      <c r="D137" s="30"/>
      <c r="E137" s="30" t="s">
        <v>278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275</v>
      </c>
      <c r="B138" s="30" t="s">
        <v>280</v>
      </c>
      <c r="C138" s="30" t="s">
        <v>292</v>
      </c>
      <c r="D138" s="30"/>
      <c r="E138" s="30" t="s">
        <v>278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275</v>
      </c>
      <c r="B139" s="30" t="s">
        <v>280</v>
      </c>
      <c r="C139" s="30" t="s">
        <v>293</v>
      </c>
      <c r="D139" s="30"/>
      <c r="E139" s="30" t="s">
        <v>278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275</v>
      </c>
      <c r="B140" s="30" t="s">
        <v>280</v>
      </c>
      <c r="C140" s="30" t="s">
        <v>294</v>
      </c>
      <c r="D140" s="30"/>
      <c r="E140" s="30" t="s">
        <v>278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275</v>
      </c>
      <c r="B141" s="30" t="s">
        <v>295</v>
      </c>
      <c r="C141" s="30" t="s">
        <v>296</v>
      </c>
      <c r="D141" s="30"/>
      <c r="E141" s="30" t="s">
        <v>278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275</v>
      </c>
      <c r="B142" s="30" t="s">
        <v>295</v>
      </c>
      <c r="C142" s="30" t="s">
        <v>297</v>
      </c>
      <c r="D142" s="30"/>
      <c r="E142" s="30" t="s">
        <v>278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275</v>
      </c>
      <c r="B143" s="30" t="s">
        <v>295</v>
      </c>
      <c r="C143" s="30" t="s">
        <v>298</v>
      </c>
      <c r="D143" s="30"/>
      <c r="E143" s="30" t="s">
        <v>278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275</v>
      </c>
      <c r="B144" s="30" t="s">
        <v>295</v>
      </c>
      <c r="C144" s="30" t="s">
        <v>299</v>
      </c>
      <c r="D144" s="30"/>
      <c r="E144" s="30" t="s">
        <v>278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275</v>
      </c>
      <c r="B145" s="30" t="s">
        <v>295</v>
      </c>
      <c r="C145" s="30" t="s">
        <v>300</v>
      </c>
      <c r="D145" s="30"/>
      <c r="E145" s="30" t="s">
        <v>278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275</v>
      </c>
      <c r="B146" s="30" t="s">
        <v>295</v>
      </c>
      <c r="C146" s="30" t="s">
        <v>301</v>
      </c>
      <c r="D146" s="30"/>
      <c r="E146" s="30" t="s">
        <v>278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275</v>
      </c>
      <c r="B147" s="30" t="s">
        <v>295</v>
      </c>
      <c r="C147" s="30" t="s">
        <v>302</v>
      </c>
      <c r="D147" s="30"/>
      <c r="E147" s="30" t="s">
        <v>278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275</v>
      </c>
      <c r="B148" s="30" t="s">
        <v>295</v>
      </c>
      <c r="C148" s="30" t="s">
        <v>303</v>
      </c>
      <c r="D148" s="30"/>
      <c r="E148" s="30" t="s">
        <v>278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275</v>
      </c>
      <c r="B149" s="30" t="s">
        <v>295</v>
      </c>
      <c r="C149" s="30" t="s">
        <v>304</v>
      </c>
      <c r="D149" s="30"/>
      <c r="E149" s="30" t="s">
        <v>278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275</v>
      </c>
      <c r="B150" s="30" t="s">
        <v>295</v>
      </c>
      <c r="C150" s="30" t="s">
        <v>305</v>
      </c>
      <c r="D150" s="30"/>
      <c r="E150" s="30" t="s">
        <v>278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173</v>
      </c>
      <c r="B151" s="30" t="s">
        <v>174</v>
      </c>
      <c r="C151" s="30" t="s">
        <v>306</v>
      </c>
      <c r="D151" s="30"/>
      <c r="E151" s="30" t="s">
        <v>176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173</v>
      </c>
      <c r="B152" s="30" t="s">
        <v>174</v>
      </c>
      <c r="C152" s="30" t="s">
        <v>307</v>
      </c>
      <c r="D152" s="30"/>
      <c r="E152" s="30" t="s">
        <v>176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173</v>
      </c>
      <c r="B153" s="30" t="s">
        <v>174</v>
      </c>
      <c r="C153" s="30" t="s">
        <v>308</v>
      </c>
      <c r="D153" s="30"/>
      <c r="E153" s="30" t="s">
        <v>176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173</v>
      </c>
      <c r="B154" s="30" t="s">
        <v>174</v>
      </c>
      <c r="C154" s="30" t="s">
        <v>309</v>
      </c>
      <c r="D154" s="30"/>
      <c r="E154" s="30" t="s">
        <v>176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173</v>
      </c>
      <c r="B155" s="30" t="s">
        <v>174</v>
      </c>
      <c r="C155" s="30" t="s">
        <v>310</v>
      </c>
      <c r="D155" s="30"/>
      <c r="E155" s="30" t="s">
        <v>176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173</v>
      </c>
      <c r="B156" s="30" t="s">
        <v>174</v>
      </c>
      <c r="C156" s="30" t="s">
        <v>311</v>
      </c>
      <c r="D156" s="30"/>
      <c r="E156" s="30" t="s">
        <v>176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173</v>
      </c>
      <c r="B157" s="30" t="s">
        <v>174</v>
      </c>
      <c r="C157" s="30" t="s">
        <v>312</v>
      </c>
      <c r="D157" s="30"/>
      <c r="E157" s="30" t="s">
        <v>176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173</v>
      </c>
      <c r="B158" s="30" t="s">
        <v>174</v>
      </c>
      <c r="C158" s="30" t="s">
        <v>313</v>
      </c>
      <c r="D158" s="30"/>
      <c r="E158" s="30" t="s">
        <v>176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173</v>
      </c>
      <c r="B159" s="30" t="s">
        <v>174</v>
      </c>
      <c r="C159" s="30" t="s">
        <v>314</v>
      </c>
      <c r="D159" s="30"/>
      <c r="E159" s="30" t="s">
        <v>176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173</v>
      </c>
      <c r="B160" s="30" t="s">
        <v>174</v>
      </c>
      <c r="C160" s="30" t="s">
        <v>315</v>
      </c>
      <c r="D160" s="30"/>
      <c r="E160" s="30" t="s">
        <v>176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173</v>
      </c>
      <c r="B161" s="30" t="s">
        <v>174</v>
      </c>
      <c r="C161" s="30" t="s">
        <v>316</v>
      </c>
      <c r="D161" s="30"/>
      <c r="E161" s="30" t="s">
        <v>176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173</v>
      </c>
      <c r="B162" s="30" t="s">
        <v>174</v>
      </c>
      <c r="C162" s="30" t="s">
        <v>317</v>
      </c>
      <c r="D162" s="30"/>
      <c r="E162" s="30" t="s">
        <v>176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173</v>
      </c>
      <c r="B163" s="30" t="s">
        <v>174</v>
      </c>
      <c r="C163" s="30" t="s">
        <v>318</v>
      </c>
      <c r="D163" s="30"/>
      <c r="E163" s="30" t="s">
        <v>176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173</v>
      </c>
      <c r="B164" s="30" t="s">
        <v>174</v>
      </c>
      <c r="C164" s="30" t="s">
        <v>319</v>
      </c>
      <c r="D164" s="30"/>
      <c r="E164" s="30" t="s">
        <v>176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173</v>
      </c>
      <c r="B165" s="30" t="s">
        <v>174</v>
      </c>
      <c r="C165" s="30" t="s">
        <v>320</v>
      </c>
      <c r="D165" s="30"/>
      <c r="E165" s="30" t="s">
        <v>176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173</v>
      </c>
      <c r="B166" s="30" t="s">
        <v>174</v>
      </c>
      <c r="C166" s="30" t="s">
        <v>321</v>
      </c>
      <c r="D166" s="30"/>
      <c r="E166" s="30" t="s">
        <v>176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173</v>
      </c>
      <c r="B167" s="30" t="s">
        <v>174</v>
      </c>
      <c r="C167" s="30" t="s">
        <v>322</v>
      </c>
      <c r="D167" s="30"/>
      <c r="E167" s="30" t="s">
        <v>176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173</v>
      </c>
      <c r="B168" s="30" t="s">
        <v>174</v>
      </c>
      <c r="C168" s="30" t="s">
        <v>323</v>
      </c>
      <c r="D168" s="30"/>
      <c r="E168" s="30" t="s">
        <v>176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173</v>
      </c>
      <c r="B169" s="30" t="s">
        <v>174</v>
      </c>
      <c r="C169" s="30" t="s">
        <v>324</v>
      </c>
      <c r="D169" s="30"/>
      <c r="E169" s="30" t="s">
        <v>176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173</v>
      </c>
      <c r="B170" s="30" t="s">
        <v>325</v>
      </c>
      <c r="C170" s="30" t="s">
        <v>326</v>
      </c>
      <c r="D170" s="30"/>
      <c r="E170" s="30" t="s">
        <v>176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173</v>
      </c>
      <c r="B171" s="30" t="s">
        <v>325</v>
      </c>
      <c r="C171" s="30" t="s">
        <v>327</v>
      </c>
      <c r="D171" s="30"/>
      <c r="E171" s="30" t="s">
        <v>176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173</v>
      </c>
      <c r="B172" s="30" t="s">
        <v>325</v>
      </c>
      <c r="C172" s="30" t="s">
        <v>328</v>
      </c>
      <c r="D172" s="30"/>
      <c r="E172" s="30" t="s">
        <v>176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173</v>
      </c>
      <c r="B173" s="30" t="s">
        <v>325</v>
      </c>
      <c r="C173" s="30" t="s">
        <v>329</v>
      </c>
      <c r="D173" s="30"/>
      <c r="E173" s="30" t="s">
        <v>176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173</v>
      </c>
      <c r="B174" s="30" t="s">
        <v>325</v>
      </c>
      <c r="C174" s="30" t="s">
        <v>330</v>
      </c>
      <c r="D174" s="30"/>
      <c r="E174" s="30" t="s">
        <v>176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173</v>
      </c>
      <c r="B175" s="30" t="s">
        <v>325</v>
      </c>
      <c r="C175" s="30" t="s">
        <v>331</v>
      </c>
      <c r="D175" s="30"/>
      <c r="E175" s="30" t="s">
        <v>176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173</v>
      </c>
      <c r="B176" s="30" t="s">
        <v>325</v>
      </c>
      <c r="C176" s="30" t="s">
        <v>332</v>
      </c>
      <c r="D176" s="30"/>
      <c r="E176" s="30" t="s">
        <v>176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173</v>
      </c>
      <c r="B177" s="30" t="s">
        <v>325</v>
      </c>
      <c r="C177" s="30" t="s">
        <v>333</v>
      </c>
      <c r="D177" s="30"/>
      <c r="E177" s="30" t="s">
        <v>176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173</v>
      </c>
      <c r="B178" s="30" t="s">
        <v>325</v>
      </c>
      <c r="C178" s="30" t="s">
        <v>334</v>
      </c>
      <c r="D178" s="30"/>
      <c r="E178" s="30" t="s">
        <v>176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173</v>
      </c>
      <c r="B179" s="30" t="s">
        <v>335</v>
      </c>
      <c r="C179" s="30" t="s">
        <v>336</v>
      </c>
      <c r="D179" s="30"/>
      <c r="E179" s="30" t="s">
        <v>278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173</v>
      </c>
      <c r="B180" s="30" t="s">
        <v>335</v>
      </c>
      <c r="C180" s="30" t="s">
        <v>337</v>
      </c>
      <c r="D180" s="30"/>
      <c r="E180" s="30" t="s">
        <v>278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173</v>
      </c>
      <c r="B181" s="30" t="s">
        <v>335</v>
      </c>
      <c r="C181" s="30" t="s">
        <v>338</v>
      </c>
      <c r="D181" s="30"/>
      <c r="E181" s="30" t="s">
        <v>278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173</v>
      </c>
      <c r="B182" s="30" t="s">
        <v>335</v>
      </c>
      <c r="C182" s="30" t="s">
        <v>339</v>
      </c>
      <c r="D182" s="30"/>
      <c r="E182" s="30" t="s">
        <v>278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173</v>
      </c>
      <c r="B183" s="30" t="s">
        <v>335</v>
      </c>
      <c r="C183" s="30" t="s">
        <v>340</v>
      </c>
      <c r="D183" s="30"/>
      <c r="E183" s="30" t="s">
        <v>278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173</v>
      </c>
      <c r="B184" s="30" t="s">
        <v>335</v>
      </c>
      <c r="C184" s="30" t="s">
        <v>341</v>
      </c>
      <c r="D184" s="30"/>
      <c r="E184" s="30" t="s">
        <v>278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173</v>
      </c>
      <c r="B185" s="30" t="s">
        <v>335</v>
      </c>
      <c r="C185" s="30" t="s">
        <v>342</v>
      </c>
      <c r="D185" s="30"/>
      <c r="E185" s="30" t="s">
        <v>278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173</v>
      </c>
      <c r="B186" s="30" t="s">
        <v>335</v>
      </c>
      <c r="C186" s="30" t="s">
        <v>343</v>
      </c>
      <c r="D186" s="30"/>
      <c r="E186" s="30" t="s">
        <v>278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173</v>
      </c>
      <c r="B187" s="30" t="s">
        <v>295</v>
      </c>
      <c r="C187" s="30" t="s">
        <v>344</v>
      </c>
      <c r="D187" s="30"/>
      <c r="E187" s="30" t="s">
        <v>278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173</v>
      </c>
      <c r="B188" s="30" t="s">
        <v>295</v>
      </c>
      <c r="C188" s="30" t="s">
        <v>345</v>
      </c>
      <c r="D188" s="30"/>
      <c r="E188" s="30" t="s">
        <v>278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173</v>
      </c>
      <c r="B189" s="30" t="s">
        <v>295</v>
      </c>
      <c r="C189" s="30" t="s">
        <v>346</v>
      </c>
      <c r="D189" s="30"/>
      <c r="E189" s="30" t="s">
        <v>278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173</v>
      </c>
      <c r="B190" s="30" t="s">
        <v>295</v>
      </c>
      <c r="C190" s="30" t="s">
        <v>347</v>
      </c>
      <c r="D190" s="30"/>
      <c r="E190" s="30" t="s">
        <v>278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173</v>
      </c>
      <c r="B191" s="30" t="s">
        <v>295</v>
      </c>
      <c r="C191" s="30" t="s">
        <v>348</v>
      </c>
      <c r="D191" s="30"/>
      <c r="E191" s="30" t="s">
        <v>278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173</v>
      </c>
      <c r="B192" s="30" t="s">
        <v>295</v>
      </c>
      <c r="C192" s="30" t="s">
        <v>349</v>
      </c>
      <c r="D192" s="30"/>
      <c r="E192" s="30" t="s">
        <v>278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173</v>
      </c>
      <c r="B193" s="30" t="s">
        <v>295</v>
      </c>
      <c r="C193" s="30" t="s">
        <v>350</v>
      </c>
      <c r="D193" s="30"/>
      <c r="E193" s="30" t="s">
        <v>278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173</v>
      </c>
      <c r="B194" s="30" t="s">
        <v>295</v>
      </c>
      <c r="C194" s="30" t="s">
        <v>351</v>
      </c>
      <c r="D194" s="30"/>
      <c r="E194" s="30" t="s">
        <v>278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173</v>
      </c>
      <c r="B195" s="30" t="s">
        <v>295</v>
      </c>
      <c r="C195" s="30" t="s">
        <v>352</v>
      </c>
      <c r="D195" s="30"/>
      <c r="E195" s="30" t="s">
        <v>278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173</v>
      </c>
      <c r="B196" s="30" t="s">
        <v>295</v>
      </c>
      <c r="C196" s="30" t="s">
        <v>353</v>
      </c>
      <c r="D196" s="30"/>
      <c r="E196" s="30" t="s">
        <v>278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181</v>
      </c>
      <c r="B197" s="30" t="s">
        <v>182</v>
      </c>
      <c r="C197" s="30" t="s">
        <v>354</v>
      </c>
      <c r="D197" s="30"/>
      <c r="E197" s="30" t="s">
        <v>355</v>
      </c>
      <c r="F197" s="30" t="s">
        <v>356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181</v>
      </c>
      <c r="B198" s="30" t="s">
        <v>182</v>
      </c>
      <c r="C198" s="30" t="s">
        <v>357</v>
      </c>
      <c r="D198" s="30"/>
      <c r="E198" s="30" t="s">
        <v>355</v>
      </c>
      <c r="F198" s="30" t="s">
        <v>356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181</v>
      </c>
      <c r="B199" s="30" t="s">
        <v>182</v>
      </c>
      <c r="C199" s="30" t="s">
        <v>358</v>
      </c>
      <c r="D199" s="30"/>
      <c r="E199" s="30" t="s">
        <v>355</v>
      </c>
      <c r="F199" s="30" t="s">
        <v>356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181</v>
      </c>
      <c r="B200" s="30" t="s">
        <v>182</v>
      </c>
      <c r="C200" s="30" t="s">
        <v>359</v>
      </c>
      <c r="D200" s="30"/>
      <c r="E200" s="30" t="s">
        <v>355</v>
      </c>
      <c r="F200" s="30" t="s">
        <v>356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181</v>
      </c>
      <c r="B201" s="30" t="s">
        <v>182</v>
      </c>
      <c r="C201" s="30" t="s">
        <v>360</v>
      </c>
      <c r="D201" s="30"/>
      <c r="E201" s="30" t="s">
        <v>355</v>
      </c>
      <c r="F201" s="30" t="s">
        <v>356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181</v>
      </c>
      <c r="B202" s="30" t="s">
        <v>182</v>
      </c>
      <c r="C202" s="30" t="s">
        <v>361</v>
      </c>
      <c r="D202" s="30"/>
      <c r="E202" s="30" t="s">
        <v>355</v>
      </c>
      <c r="F202" s="30" t="s">
        <v>356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181</v>
      </c>
      <c r="B203" s="30" t="s">
        <v>182</v>
      </c>
      <c r="C203" s="30" t="s">
        <v>362</v>
      </c>
      <c r="D203" s="30"/>
      <c r="E203" s="30" t="s">
        <v>355</v>
      </c>
      <c r="F203" s="30" t="s">
        <v>356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181</v>
      </c>
      <c r="B204" s="30" t="s">
        <v>182</v>
      </c>
      <c r="C204" s="30" t="s">
        <v>363</v>
      </c>
      <c r="D204" s="30"/>
      <c r="E204" s="30" t="s">
        <v>355</v>
      </c>
      <c r="F204" s="30" t="s">
        <v>356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181</v>
      </c>
      <c r="B205" s="30" t="s">
        <v>182</v>
      </c>
      <c r="C205" s="30" t="s">
        <v>364</v>
      </c>
      <c r="D205" s="30"/>
      <c r="E205" s="30" t="s">
        <v>355</v>
      </c>
      <c r="F205" s="30" t="s">
        <v>356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181</v>
      </c>
      <c r="B206" s="30" t="s">
        <v>182</v>
      </c>
      <c r="C206" s="30" t="s">
        <v>365</v>
      </c>
      <c r="D206" s="30"/>
      <c r="E206" s="30" t="s">
        <v>355</v>
      </c>
      <c r="F206" s="30" t="s">
        <v>356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181</v>
      </c>
      <c r="B207" s="30" t="s">
        <v>182</v>
      </c>
      <c r="C207" s="30" t="s">
        <v>366</v>
      </c>
      <c r="D207" s="30"/>
      <c r="E207" s="30" t="s">
        <v>355</v>
      </c>
      <c r="F207" s="30" t="s">
        <v>356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181</v>
      </c>
      <c r="B208" s="30" t="s">
        <v>182</v>
      </c>
      <c r="C208" s="30" t="s">
        <v>367</v>
      </c>
      <c r="D208" s="30"/>
      <c r="E208" s="30" t="s">
        <v>355</v>
      </c>
      <c r="F208" s="30" t="s">
        <v>356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181</v>
      </c>
      <c r="B209" s="30" t="s">
        <v>182</v>
      </c>
      <c r="C209" s="30" t="s">
        <v>368</v>
      </c>
      <c r="D209" s="30"/>
      <c r="E209" s="30" t="s">
        <v>355</v>
      </c>
      <c r="F209" s="30" t="s">
        <v>356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181</v>
      </c>
      <c r="B210" s="30" t="s">
        <v>182</v>
      </c>
      <c r="C210" s="30" t="s">
        <v>369</v>
      </c>
      <c r="D210" s="30"/>
      <c r="E210" s="30" t="s">
        <v>355</v>
      </c>
      <c r="F210" s="30" t="s">
        <v>356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181</v>
      </c>
      <c r="B211" s="30" t="s">
        <v>182</v>
      </c>
      <c r="C211" s="30" t="s">
        <v>370</v>
      </c>
      <c r="D211" s="30"/>
      <c r="E211" s="30" t="s">
        <v>355</v>
      </c>
      <c r="F211" s="30" t="s">
        <v>356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181</v>
      </c>
      <c r="B212" s="30" t="s">
        <v>182</v>
      </c>
      <c r="C212" s="30" t="s">
        <v>371</v>
      </c>
      <c r="D212" s="30"/>
      <c r="E212" s="30" t="s">
        <v>355</v>
      </c>
      <c r="F212" s="30" t="s">
        <v>356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181</v>
      </c>
      <c r="B213" s="30" t="s">
        <v>182</v>
      </c>
      <c r="C213" s="30" t="s">
        <v>372</v>
      </c>
      <c r="D213" s="30"/>
      <c r="E213" s="30" t="s">
        <v>355</v>
      </c>
      <c r="F213" s="30" t="s">
        <v>356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181</v>
      </c>
      <c r="B214" s="30" t="s">
        <v>182</v>
      </c>
      <c r="C214" s="30" t="s">
        <v>373</v>
      </c>
      <c r="D214" s="30"/>
      <c r="E214" s="30" t="s">
        <v>355</v>
      </c>
      <c r="F214" s="30" t="s">
        <v>356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181</v>
      </c>
      <c r="B215" s="30" t="s">
        <v>182</v>
      </c>
      <c r="C215" s="30" t="s">
        <v>374</v>
      </c>
      <c r="D215" s="30"/>
      <c r="E215" s="30" t="s">
        <v>355</v>
      </c>
      <c r="F215" s="30" t="s">
        <v>356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181</v>
      </c>
      <c r="B216" s="30" t="s">
        <v>182</v>
      </c>
      <c r="C216" s="30" t="s">
        <v>375</v>
      </c>
      <c r="D216" s="30"/>
      <c r="E216" s="30" t="s">
        <v>355</v>
      </c>
      <c r="F216" s="30" t="s">
        <v>356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181</v>
      </c>
      <c r="B217" s="30" t="s">
        <v>182</v>
      </c>
      <c r="C217" s="30" t="s">
        <v>376</v>
      </c>
      <c r="D217" s="30"/>
      <c r="E217" s="30" t="s">
        <v>355</v>
      </c>
      <c r="F217" s="30" t="s">
        <v>356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181</v>
      </c>
      <c r="B218" s="30" t="s">
        <v>182</v>
      </c>
      <c r="C218" s="30" t="s">
        <v>377</v>
      </c>
      <c r="D218" s="30"/>
      <c r="E218" s="30" t="s">
        <v>355</v>
      </c>
      <c r="F218" s="30" t="s">
        <v>356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181</v>
      </c>
      <c r="B219" s="30" t="s">
        <v>182</v>
      </c>
      <c r="C219" s="30" t="s">
        <v>378</v>
      </c>
      <c r="D219" s="30"/>
      <c r="E219" s="30" t="s">
        <v>355</v>
      </c>
      <c r="F219" s="30" t="s">
        <v>356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181</v>
      </c>
      <c r="B220" s="30" t="s">
        <v>182</v>
      </c>
      <c r="C220" s="30" t="s">
        <v>379</v>
      </c>
      <c r="D220" s="30"/>
      <c r="E220" s="30" t="s">
        <v>355</v>
      </c>
      <c r="F220" s="30" t="s">
        <v>356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181</v>
      </c>
      <c r="B221" s="30" t="s">
        <v>182</v>
      </c>
      <c r="C221" s="30" t="s">
        <v>380</v>
      </c>
      <c r="D221" s="30"/>
      <c r="E221" s="30" t="s">
        <v>355</v>
      </c>
      <c r="F221" s="30" t="s">
        <v>356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173</v>
      </c>
      <c r="B222" s="30" t="s">
        <v>381</v>
      </c>
      <c r="C222" s="30" t="s">
        <v>382</v>
      </c>
      <c r="D222" s="30"/>
      <c r="E222" s="30" t="s">
        <v>278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173</v>
      </c>
      <c r="B223" s="30" t="s">
        <v>381</v>
      </c>
      <c r="C223" s="30" t="s">
        <v>383</v>
      </c>
      <c r="D223" s="30"/>
      <c r="E223" s="30" t="s">
        <v>278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173</v>
      </c>
      <c r="B224" s="30" t="s">
        <v>381</v>
      </c>
      <c r="C224" s="30" t="s">
        <v>384</v>
      </c>
      <c r="D224" s="30"/>
      <c r="E224" s="30" t="s">
        <v>278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173</v>
      </c>
      <c r="B225" s="30" t="s">
        <v>381</v>
      </c>
      <c r="C225" s="30" t="s">
        <v>385</v>
      </c>
      <c r="D225" s="30"/>
      <c r="E225" s="30" t="s">
        <v>278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173</v>
      </c>
      <c r="B226" s="30" t="s">
        <v>381</v>
      </c>
      <c r="C226" s="30" t="s">
        <v>386</v>
      </c>
      <c r="D226" s="30"/>
      <c r="E226" s="30" t="s">
        <v>278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221</v>
      </c>
      <c r="C227" s="30" t="s">
        <v>387</v>
      </c>
      <c r="D227" s="30"/>
      <c r="E227" s="30" t="s">
        <v>223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388</v>
      </c>
      <c r="B228" s="30" t="s">
        <v>389</v>
      </c>
      <c r="C228" s="30" t="s">
        <v>390</v>
      </c>
      <c r="D228" s="30"/>
      <c r="E228" s="30" t="s">
        <v>391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388</v>
      </c>
      <c r="B229" s="30" t="s">
        <v>389</v>
      </c>
      <c r="C229" s="30" t="s">
        <v>392</v>
      </c>
      <c r="D229" s="30"/>
      <c r="E229" s="30" t="s">
        <v>391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388</v>
      </c>
      <c r="B230" s="30" t="s">
        <v>389</v>
      </c>
      <c r="C230" s="30" t="s">
        <v>393</v>
      </c>
      <c r="D230" s="30"/>
      <c r="E230" s="30" t="s">
        <v>391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388</v>
      </c>
      <c r="B231" s="30" t="s">
        <v>389</v>
      </c>
      <c r="C231" s="30" t="s">
        <v>394</v>
      </c>
      <c r="D231" s="30"/>
      <c r="E231" s="30" t="s">
        <v>391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388</v>
      </c>
      <c r="B232" s="30" t="s">
        <v>389</v>
      </c>
      <c r="C232" s="30" t="s">
        <v>395</v>
      </c>
      <c r="D232" s="30"/>
      <c r="E232" s="30" t="s">
        <v>391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388</v>
      </c>
      <c r="B233" s="30" t="s">
        <v>389</v>
      </c>
      <c r="C233" s="30" t="s">
        <v>396</v>
      </c>
      <c r="D233" s="30"/>
      <c r="E233" s="30" t="s">
        <v>391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388</v>
      </c>
      <c r="B234" s="30" t="s">
        <v>389</v>
      </c>
      <c r="C234" s="30" t="s">
        <v>397</v>
      </c>
      <c r="D234" s="30"/>
      <c r="E234" s="30" t="s">
        <v>391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388</v>
      </c>
      <c r="B235" s="30" t="s">
        <v>389</v>
      </c>
      <c r="C235" s="30" t="s">
        <v>398</v>
      </c>
      <c r="D235" s="30"/>
      <c r="E235" s="30" t="s">
        <v>391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388</v>
      </c>
      <c r="B236" s="30" t="s">
        <v>389</v>
      </c>
      <c r="C236" s="30" t="s">
        <v>399</v>
      </c>
      <c r="D236" s="30"/>
      <c r="E236" s="30" t="s">
        <v>391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388</v>
      </c>
      <c r="B237" s="30" t="s">
        <v>389</v>
      </c>
      <c r="C237" s="30" t="s">
        <v>400</v>
      </c>
      <c r="D237" s="30"/>
      <c r="E237" s="30" t="s">
        <v>391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388</v>
      </c>
      <c r="B238" s="30" t="s">
        <v>389</v>
      </c>
      <c r="C238" s="30" t="s">
        <v>401</v>
      </c>
      <c r="D238" s="30"/>
      <c r="E238" s="30" t="s">
        <v>391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388</v>
      </c>
      <c r="B239" s="30" t="s">
        <v>389</v>
      </c>
      <c r="C239" s="30" t="s">
        <v>402</v>
      </c>
      <c r="D239" s="30"/>
      <c r="E239" s="30" t="s">
        <v>391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388</v>
      </c>
      <c r="B240" s="30" t="s">
        <v>389</v>
      </c>
      <c r="C240" s="30" t="s">
        <v>403</v>
      </c>
      <c r="D240" s="30"/>
      <c r="E240" s="30" t="s">
        <v>391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388</v>
      </c>
      <c r="B241" s="30" t="s">
        <v>389</v>
      </c>
      <c r="C241" s="30" t="s">
        <v>404</v>
      </c>
      <c r="D241" s="30"/>
      <c r="E241" s="30" t="s">
        <v>391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388</v>
      </c>
      <c r="B242" s="30" t="s">
        <v>389</v>
      </c>
      <c r="C242" s="30" t="s">
        <v>405</v>
      </c>
      <c r="D242" s="30"/>
      <c r="E242" s="30" t="s">
        <v>391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388</v>
      </c>
      <c r="B243" s="30" t="s">
        <v>389</v>
      </c>
      <c r="C243" s="30" t="s">
        <v>406</v>
      </c>
      <c r="D243" s="30"/>
      <c r="E243" s="30" t="s">
        <v>391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388</v>
      </c>
      <c r="B244" s="30" t="s">
        <v>389</v>
      </c>
      <c r="C244" s="30" t="s">
        <v>407</v>
      </c>
      <c r="D244" s="30"/>
      <c r="E244" s="30" t="s">
        <v>391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388</v>
      </c>
      <c r="B245" s="30" t="s">
        <v>389</v>
      </c>
      <c r="C245" s="30" t="s">
        <v>408</v>
      </c>
      <c r="D245" s="30"/>
      <c r="E245" s="30" t="s">
        <v>391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388</v>
      </c>
      <c r="B246" s="30" t="s">
        <v>389</v>
      </c>
      <c r="C246" s="30" t="s">
        <v>409</v>
      </c>
      <c r="D246" s="30"/>
      <c r="E246" s="30" t="s">
        <v>391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388</v>
      </c>
      <c r="B247" s="30" t="s">
        <v>389</v>
      </c>
      <c r="C247" s="30" t="s">
        <v>410</v>
      </c>
      <c r="D247" s="30"/>
      <c r="E247" s="30" t="s">
        <v>391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388</v>
      </c>
      <c r="B248" s="30" t="s">
        <v>389</v>
      </c>
      <c r="C248" s="30" t="s">
        <v>411</v>
      </c>
      <c r="D248" s="30"/>
      <c r="E248" s="30" t="s">
        <v>391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388</v>
      </c>
      <c r="B249" s="30" t="s">
        <v>389</v>
      </c>
      <c r="C249" s="30" t="s">
        <v>412</v>
      </c>
      <c r="D249" s="30"/>
      <c r="E249" s="30" t="s">
        <v>391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388</v>
      </c>
      <c r="B250" s="30" t="s">
        <v>389</v>
      </c>
      <c r="C250" s="30" t="s">
        <v>413</v>
      </c>
      <c r="D250" s="30"/>
      <c r="E250" s="30" t="s">
        <v>391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388</v>
      </c>
      <c r="B251" s="30" t="s">
        <v>389</v>
      </c>
      <c r="C251" s="30" t="s">
        <v>414</v>
      </c>
      <c r="D251" s="30"/>
      <c r="E251" s="30" t="s">
        <v>391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388</v>
      </c>
      <c r="B252" s="30" t="s">
        <v>389</v>
      </c>
      <c r="C252" s="30" t="s">
        <v>415</v>
      </c>
      <c r="D252" s="30"/>
      <c r="E252" s="30" t="s">
        <v>391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388</v>
      </c>
      <c r="B253" s="30" t="s">
        <v>389</v>
      </c>
      <c r="C253" s="30" t="s">
        <v>416</v>
      </c>
      <c r="D253" s="30"/>
      <c r="E253" s="30" t="s">
        <v>391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388</v>
      </c>
      <c r="B254" s="30" t="s">
        <v>389</v>
      </c>
      <c r="C254" s="30" t="s">
        <v>417</v>
      </c>
      <c r="D254" s="30"/>
      <c r="E254" s="30" t="s">
        <v>391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388</v>
      </c>
      <c r="B255" s="30" t="s">
        <v>389</v>
      </c>
      <c r="C255" s="30" t="s">
        <v>418</v>
      </c>
      <c r="D255" s="30"/>
      <c r="E255" s="30" t="s">
        <v>391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388</v>
      </c>
      <c r="B256" s="30" t="s">
        <v>389</v>
      </c>
      <c r="C256" s="30" t="s">
        <v>419</v>
      </c>
      <c r="D256" s="30"/>
      <c r="E256" s="30" t="s">
        <v>420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388</v>
      </c>
      <c r="B257" s="30" t="s">
        <v>389</v>
      </c>
      <c r="C257" s="30" t="s">
        <v>421</v>
      </c>
      <c r="D257" s="30"/>
      <c r="E257" s="30" t="s">
        <v>420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388</v>
      </c>
      <c r="B258" s="30" t="s">
        <v>389</v>
      </c>
      <c r="C258" s="30" t="s">
        <v>422</v>
      </c>
      <c r="D258" s="30"/>
      <c r="E258" s="30" t="s">
        <v>420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388</v>
      </c>
      <c r="B259" s="30" t="s">
        <v>389</v>
      </c>
      <c r="C259" s="30" t="s">
        <v>423</v>
      </c>
      <c r="D259" s="30"/>
      <c r="E259" s="30" t="s">
        <v>420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388</v>
      </c>
      <c r="B260" s="30" t="s">
        <v>389</v>
      </c>
      <c r="C260" s="30" t="s">
        <v>424</v>
      </c>
      <c r="D260" s="30"/>
      <c r="E260" s="30" t="s">
        <v>420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388</v>
      </c>
      <c r="B261" s="30" t="s">
        <v>389</v>
      </c>
      <c r="C261" s="30" t="s">
        <v>425</v>
      </c>
      <c r="D261" s="30"/>
      <c r="E261" s="30" t="s">
        <v>420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388</v>
      </c>
      <c r="B262" s="30" t="s">
        <v>389</v>
      </c>
      <c r="C262" s="30" t="s">
        <v>426</v>
      </c>
      <c r="D262" s="30"/>
      <c r="E262" s="30" t="s">
        <v>420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388</v>
      </c>
      <c r="B263" s="30" t="s">
        <v>389</v>
      </c>
      <c r="C263" s="30" t="s">
        <v>427</v>
      </c>
      <c r="D263" s="30"/>
      <c r="E263" s="30" t="s">
        <v>420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388</v>
      </c>
      <c r="B264" s="30" t="s">
        <v>389</v>
      </c>
      <c r="C264" s="30" t="s">
        <v>428</v>
      </c>
      <c r="D264" s="30"/>
      <c r="E264" s="30" t="s">
        <v>420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388</v>
      </c>
      <c r="B265" s="30" t="s">
        <v>389</v>
      </c>
      <c r="C265" s="30" t="s">
        <v>429</v>
      </c>
      <c r="D265" s="30"/>
      <c r="E265" s="30" t="s">
        <v>420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388</v>
      </c>
      <c r="B266" s="30" t="s">
        <v>389</v>
      </c>
      <c r="C266" s="30" t="s">
        <v>430</v>
      </c>
      <c r="D266" s="30"/>
      <c r="E266" s="30" t="s">
        <v>420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388</v>
      </c>
      <c r="B267" s="30" t="s">
        <v>389</v>
      </c>
      <c r="C267" s="30" t="s">
        <v>431</v>
      </c>
      <c r="D267" s="30"/>
      <c r="E267" s="30" t="s">
        <v>420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388</v>
      </c>
      <c r="B268" s="30" t="s">
        <v>389</v>
      </c>
      <c r="C268" s="30" t="s">
        <v>432</v>
      </c>
      <c r="D268" s="30"/>
      <c r="E268" s="30" t="s">
        <v>420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388</v>
      </c>
      <c r="B269" s="30" t="s">
        <v>389</v>
      </c>
      <c r="C269" s="30" t="s">
        <v>433</v>
      </c>
      <c r="D269" s="30"/>
      <c r="E269" s="30" t="s">
        <v>420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388</v>
      </c>
      <c r="B270" s="30" t="s">
        <v>389</v>
      </c>
      <c r="C270" s="30" t="s">
        <v>434</v>
      </c>
      <c r="D270" s="30"/>
      <c r="E270" s="30" t="s">
        <v>420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388</v>
      </c>
      <c r="B271" s="30" t="s">
        <v>389</v>
      </c>
      <c r="C271" s="30" t="s">
        <v>435</v>
      </c>
      <c r="D271" s="30"/>
      <c r="E271" s="30" t="s">
        <v>420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388</v>
      </c>
      <c r="B272" s="30" t="s">
        <v>389</v>
      </c>
      <c r="C272" s="30" t="s">
        <v>436</v>
      </c>
      <c r="D272" s="30"/>
      <c r="E272" s="30" t="s">
        <v>420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388</v>
      </c>
      <c r="B273" s="30" t="s">
        <v>389</v>
      </c>
      <c r="C273" s="30" t="s">
        <v>437</v>
      </c>
      <c r="D273" s="30"/>
      <c r="E273" s="30" t="s">
        <v>420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388</v>
      </c>
      <c r="B274" s="30" t="s">
        <v>389</v>
      </c>
      <c r="C274" s="30" t="s">
        <v>438</v>
      </c>
      <c r="D274" s="30"/>
      <c r="E274" s="30" t="s">
        <v>439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388</v>
      </c>
      <c r="B275" s="30" t="s">
        <v>389</v>
      </c>
      <c r="C275" s="30" t="s">
        <v>440</v>
      </c>
      <c r="D275" s="30"/>
      <c r="E275" s="30" t="s">
        <v>439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388</v>
      </c>
      <c r="B276" s="30" t="s">
        <v>389</v>
      </c>
      <c r="C276" s="30" t="s">
        <v>441</v>
      </c>
      <c r="D276" s="30"/>
      <c r="E276" s="30" t="s">
        <v>439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388</v>
      </c>
      <c r="B277" s="30" t="s">
        <v>389</v>
      </c>
      <c r="C277" s="30" t="s">
        <v>442</v>
      </c>
      <c r="D277" s="30"/>
      <c r="E277" s="30" t="s">
        <v>439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388</v>
      </c>
      <c r="B278" s="30" t="s">
        <v>389</v>
      </c>
      <c r="C278" s="30" t="s">
        <v>443</v>
      </c>
      <c r="D278" s="30"/>
      <c r="E278" s="30" t="s">
        <v>439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388</v>
      </c>
      <c r="B279" s="30" t="s">
        <v>389</v>
      </c>
      <c r="C279" s="30" t="s">
        <v>444</v>
      </c>
      <c r="D279" s="30"/>
      <c r="E279" s="30" t="s">
        <v>439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388</v>
      </c>
      <c r="B280" s="30" t="s">
        <v>389</v>
      </c>
      <c r="C280" s="30" t="s">
        <v>445</v>
      </c>
      <c r="D280" s="30"/>
      <c r="E280" s="30" t="s">
        <v>439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388</v>
      </c>
      <c r="B281" s="30" t="s">
        <v>389</v>
      </c>
      <c r="C281" s="30" t="s">
        <v>446</v>
      </c>
      <c r="D281" s="30"/>
      <c r="E281" s="30" t="s">
        <v>439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388</v>
      </c>
      <c r="B282" s="30" t="s">
        <v>389</v>
      </c>
      <c r="C282" s="30" t="s">
        <v>447</v>
      </c>
      <c r="D282" s="30"/>
      <c r="E282" s="30" t="s">
        <v>439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388</v>
      </c>
      <c r="B283" s="30" t="s">
        <v>389</v>
      </c>
      <c r="C283" s="30" t="s">
        <v>448</v>
      </c>
      <c r="D283" s="30"/>
      <c r="E283" s="30" t="s">
        <v>439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388</v>
      </c>
      <c r="B284" s="30" t="s">
        <v>389</v>
      </c>
      <c r="C284" s="30" t="s">
        <v>449</v>
      </c>
      <c r="D284" s="30"/>
      <c r="E284" s="30" t="s">
        <v>439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388</v>
      </c>
      <c r="B285" s="30" t="s">
        <v>389</v>
      </c>
      <c r="C285" s="30" t="s">
        <v>450</v>
      </c>
      <c r="D285" s="30"/>
      <c r="E285" s="30" t="s">
        <v>439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388</v>
      </c>
      <c r="B286" s="30" t="s">
        <v>389</v>
      </c>
      <c r="C286" s="30" t="s">
        <v>451</v>
      </c>
      <c r="D286" s="30"/>
      <c r="E286" s="30" t="s">
        <v>439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388</v>
      </c>
      <c r="B287" s="30" t="s">
        <v>389</v>
      </c>
      <c r="C287" s="30" t="s">
        <v>452</v>
      </c>
      <c r="D287" s="30"/>
      <c r="E287" s="30" t="s">
        <v>439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388</v>
      </c>
      <c r="B288" s="30" t="s">
        <v>389</v>
      </c>
      <c r="C288" s="30" t="s">
        <v>453</v>
      </c>
      <c r="D288" s="30"/>
      <c r="E288" s="30" t="s">
        <v>439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388</v>
      </c>
      <c r="B289" s="30" t="s">
        <v>389</v>
      </c>
      <c r="C289" s="30" t="s">
        <v>454</v>
      </c>
      <c r="D289" s="30"/>
      <c r="E289" s="30" t="s">
        <v>439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388</v>
      </c>
      <c r="B290" s="30" t="s">
        <v>389</v>
      </c>
      <c r="C290" s="30" t="s">
        <v>455</v>
      </c>
      <c r="D290" s="30"/>
      <c r="E290" s="30" t="s">
        <v>439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388</v>
      </c>
      <c r="B291" s="30" t="s">
        <v>389</v>
      </c>
      <c r="C291" s="30" t="s">
        <v>456</v>
      </c>
      <c r="D291" s="30"/>
      <c r="E291" s="30" t="s">
        <v>439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388</v>
      </c>
      <c r="B292" s="30" t="s">
        <v>389</v>
      </c>
      <c r="C292" s="30" t="s">
        <v>457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388</v>
      </c>
      <c r="B293" s="30" t="s">
        <v>389</v>
      </c>
      <c r="C293" s="30" t="s">
        <v>458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388</v>
      </c>
      <c r="B294" s="30" t="s">
        <v>389</v>
      </c>
      <c r="C294" s="30" t="s">
        <v>459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388</v>
      </c>
      <c r="B295" s="30" t="s">
        <v>389</v>
      </c>
      <c r="C295" s="30" t="s">
        <v>460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388</v>
      </c>
      <c r="B296" s="30" t="s">
        <v>389</v>
      </c>
      <c r="C296" s="30" t="s">
        <v>461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388</v>
      </c>
      <c r="B297" s="30" t="s">
        <v>389</v>
      </c>
      <c r="C297" s="30" t="s">
        <v>462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388</v>
      </c>
      <c r="B298" s="30" t="s">
        <v>389</v>
      </c>
      <c r="C298" s="30" t="s">
        <v>463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388</v>
      </c>
      <c r="B299" s="30" t="s">
        <v>389</v>
      </c>
      <c r="C299" s="30" t="s">
        <v>464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388</v>
      </c>
      <c r="B300" s="30" t="s">
        <v>389</v>
      </c>
      <c r="C300" s="30" t="s">
        <v>465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388</v>
      </c>
      <c r="B301" s="30" t="s">
        <v>389</v>
      </c>
      <c r="C301" s="30" t="s">
        <v>466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388</v>
      </c>
      <c r="B302" s="30" t="s">
        <v>389</v>
      </c>
      <c r="C302" s="30" t="s">
        <v>467</v>
      </c>
      <c r="D302" s="30"/>
      <c r="E302" s="30" t="s">
        <v>420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388</v>
      </c>
      <c r="B303" s="30" t="s">
        <v>389</v>
      </c>
      <c r="C303" s="30" t="s">
        <v>468</v>
      </c>
      <c r="D303" s="30"/>
      <c r="E303" s="30" t="s">
        <v>420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388</v>
      </c>
      <c r="B304" s="30" t="s">
        <v>389</v>
      </c>
      <c r="C304" s="30" t="s">
        <v>469</v>
      </c>
      <c r="D304" s="30"/>
      <c r="E304" s="30" t="s">
        <v>420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388</v>
      </c>
      <c r="B305" s="30" t="s">
        <v>389</v>
      </c>
      <c r="C305" s="30" t="s">
        <v>470</v>
      </c>
      <c r="D305" s="30"/>
      <c r="E305" s="30" t="s">
        <v>420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388</v>
      </c>
      <c r="B306" s="30" t="s">
        <v>389</v>
      </c>
      <c r="C306" s="30" t="s">
        <v>471</v>
      </c>
      <c r="D306" s="30"/>
      <c r="E306" s="30" t="s">
        <v>391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388</v>
      </c>
      <c r="B307" s="30" t="s">
        <v>389</v>
      </c>
      <c r="C307" s="30" t="s">
        <v>472</v>
      </c>
      <c r="D307" s="30"/>
      <c r="E307" s="30" t="s">
        <v>391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138</v>
      </c>
      <c r="B308" s="30" t="s">
        <v>473</v>
      </c>
      <c r="C308" s="30" t="s">
        <v>474</v>
      </c>
      <c r="D308" s="30"/>
      <c r="E308" s="30" t="s">
        <v>89</v>
      </c>
      <c r="F308" s="30" t="s">
        <v>475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138</v>
      </c>
      <c r="B309" s="30" t="s">
        <v>473</v>
      </c>
      <c r="C309" s="30" t="s">
        <v>476</v>
      </c>
      <c r="D309" s="30"/>
      <c r="E309" s="30" t="s">
        <v>89</v>
      </c>
      <c r="F309" s="30" t="s">
        <v>475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138</v>
      </c>
      <c r="B310" s="30" t="s">
        <v>473</v>
      </c>
      <c r="C310" s="30" t="s">
        <v>477</v>
      </c>
      <c r="D310" s="30"/>
      <c r="E310" s="30" t="s">
        <v>89</v>
      </c>
      <c r="F310" s="30" t="s">
        <v>475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138</v>
      </c>
      <c r="B311" s="30" t="s">
        <v>473</v>
      </c>
      <c r="C311" s="30" t="s">
        <v>478</v>
      </c>
      <c r="D311" s="30"/>
      <c r="E311" s="30" t="s">
        <v>89</v>
      </c>
      <c r="F311" s="30" t="s">
        <v>475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173</v>
      </c>
      <c r="B312" s="30" t="s">
        <v>479</v>
      </c>
      <c r="C312" s="30" t="s">
        <v>480</v>
      </c>
      <c r="D312" s="30"/>
      <c r="E312" s="30" t="s">
        <v>176</v>
      </c>
      <c r="F312" s="30" t="s">
        <v>475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173</v>
      </c>
      <c r="B313" s="30" t="s">
        <v>479</v>
      </c>
      <c r="C313" s="30" t="s">
        <v>481</v>
      </c>
      <c r="D313" s="30"/>
      <c r="E313" s="30" t="s">
        <v>176</v>
      </c>
      <c r="F313" s="30" t="s">
        <v>475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482</v>
      </c>
      <c r="D314" s="30"/>
      <c r="E314" s="30" t="s">
        <v>483</v>
      </c>
      <c r="F314" s="30" t="s">
        <v>475</v>
      </c>
      <c r="G314" s="31">
        <v>46191</v>
      </c>
      <c r="H314" s="31"/>
      <c r="I314" s="32">
        <f>IF(OR($G314="",$H314=""),"",$H314-$G314)</f>
        <v>0</v>
      </c>
      <c r="J314" s="30" t="s">
        <v>484</v>
      </c>
    </row>
    <row r="315" spans="1:10">
      <c r="A315" s="30" t="s">
        <v>26</v>
      </c>
      <c r="B315" s="30" t="s">
        <v>27</v>
      </c>
      <c r="C315" s="30" t="s">
        <v>485</v>
      </c>
      <c r="D315" s="30"/>
      <c r="E315" s="30" t="s">
        <v>483</v>
      </c>
      <c r="F315" s="30" t="s">
        <v>475</v>
      </c>
      <c r="G315" s="31">
        <v>46191</v>
      </c>
      <c r="H315" s="31"/>
      <c r="I315" s="32">
        <f>IF(OR($G315="",$H315=""),"",$H315-$G315)</f>
        <v>0</v>
      </c>
      <c r="J315" s="30" t="s">
        <v>484</v>
      </c>
    </row>
    <row r="316" spans="1:10">
      <c r="A316" s="30" t="s">
        <v>26</v>
      </c>
      <c r="B316" s="30" t="s">
        <v>27</v>
      </c>
      <c r="C316" s="30" t="s">
        <v>486</v>
      </c>
      <c r="D316" s="30"/>
      <c r="E316" s="30" t="s">
        <v>483</v>
      </c>
      <c r="F316" s="30" t="s">
        <v>475</v>
      </c>
      <c r="G316" s="31">
        <v>46191</v>
      </c>
      <c r="H316" s="31"/>
      <c r="I316" s="32">
        <f>IF(OR($G316="",$H316=""),"",$H316-$G316)</f>
        <v>0</v>
      </c>
      <c r="J316" s="30" t="s">
        <v>484</v>
      </c>
    </row>
    <row r="317" spans="1:10">
      <c r="A317" s="30" t="s">
        <v>26</v>
      </c>
      <c r="B317" s="30" t="s">
        <v>27</v>
      </c>
      <c r="C317" s="30" t="s">
        <v>487</v>
      </c>
      <c r="D317" s="30"/>
      <c r="E317" s="30" t="s">
        <v>483</v>
      </c>
      <c r="F317" s="30" t="s">
        <v>475</v>
      </c>
      <c r="G317" s="31">
        <v>46191</v>
      </c>
      <c r="H317" s="31"/>
      <c r="I317" s="32">
        <f>IF(OR($G317="",$H317=""),"",$H317-$G317)</f>
        <v>0</v>
      </c>
      <c r="J317" s="30" t="s">
        <v>484</v>
      </c>
    </row>
    <row r="318" spans="1:10">
      <c r="A318" s="30" t="s">
        <v>26</v>
      </c>
      <c r="B318" s="30" t="s">
        <v>27</v>
      </c>
      <c r="C318" s="30" t="s">
        <v>488</v>
      </c>
      <c r="D318" s="30"/>
      <c r="E318" s="30" t="s">
        <v>483</v>
      </c>
      <c r="F318" s="30" t="s">
        <v>475</v>
      </c>
      <c r="G318" s="31">
        <v>46191</v>
      </c>
      <c r="H318" s="31"/>
      <c r="I318" s="32">
        <f>IF(OR($G318="",$H318=""),"",$H318-$G318)</f>
        <v>0</v>
      </c>
      <c r="J318" s="30" t="s">
        <v>484</v>
      </c>
    </row>
    <row r="319" spans="1:10">
      <c r="A319" s="30" t="s">
        <v>26</v>
      </c>
      <c r="B319" s="30" t="s">
        <v>27</v>
      </c>
      <c r="C319" s="30" t="s">
        <v>489</v>
      </c>
      <c r="D319" s="30"/>
      <c r="E319" s="30" t="s">
        <v>483</v>
      </c>
      <c r="F319" s="30" t="s">
        <v>475</v>
      </c>
      <c r="G319" s="31">
        <v>46191</v>
      </c>
      <c r="H319" s="31"/>
      <c r="I319" s="32">
        <f>IF(OR($G319="",$H319=""),"",$H319-$G319)</f>
        <v>0</v>
      </c>
      <c r="J319" s="30" t="s">
        <v>484</v>
      </c>
    </row>
    <row r="320" spans="1:10">
      <c r="A320" s="30" t="s">
        <v>26</v>
      </c>
      <c r="B320" s="30" t="s">
        <v>27</v>
      </c>
      <c r="C320" s="30" t="s">
        <v>490</v>
      </c>
      <c r="D320" s="30"/>
      <c r="E320" s="30" t="s">
        <v>483</v>
      </c>
      <c r="F320" s="30" t="s">
        <v>475</v>
      </c>
      <c r="G320" s="31">
        <v>46191</v>
      </c>
      <c r="H320" s="31"/>
      <c r="I320" s="32">
        <f>IF(OR($G320="",$H320=""),"",$H320-$G320)</f>
        <v>0</v>
      </c>
      <c r="J320" s="30" t="s">
        <v>484</v>
      </c>
    </row>
    <row r="321" spans="1:10">
      <c r="A321" s="30" t="s">
        <v>26</v>
      </c>
      <c r="B321" s="30" t="s">
        <v>27</v>
      </c>
      <c r="C321" s="30" t="s">
        <v>491</v>
      </c>
      <c r="D321" s="30"/>
      <c r="E321" s="30" t="s">
        <v>483</v>
      </c>
      <c r="F321" s="30" t="s">
        <v>475</v>
      </c>
      <c r="G321" s="31">
        <v>46191</v>
      </c>
      <c r="H321" s="31"/>
      <c r="I321" s="32">
        <f>IF(OR($G321="",$H321=""),"",$H321-$G321)</f>
        <v>0</v>
      </c>
      <c r="J321" s="30" t="s">
        <v>484</v>
      </c>
    </row>
    <row r="322" spans="1:10">
      <c r="A322" s="30" t="s">
        <v>26</v>
      </c>
      <c r="B322" s="30" t="s">
        <v>492</v>
      </c>
      <c r="C322" s="30" t="s">
        <v>493</v>
      </c>
      <c r="D322" s="30"/>
      <c r="E322" s="30" t="s">
        <v>483</v>
      </c>
      <c r="F322" s="30" t="s">
        <v>475</v>
      </c>
      <c r="G322" s="31">
        <v>46191</v>
      </c>
      <c r="H322" s="31"/>
      <c r="I322" s="32">
        <f>IF(OR($G322="",$H322=""),"",$H322-$G322)</f>
        <v>0</v>
      </c>
      <c r="J322" s="30" t="s">
        <v>484</v>
      </c>
    </row>
    <row r="323" spans="1:10">
      <c r="A323" s="30" t="s">
        <v>26</v>
      </c>
      <c r="B323" s="30" t="s">
        <v>492</v>
      </c>
      <c r="C323" s="30" t="s">
        <v>494</v>
      </c>
      <c r="D323" s="30"/>
      <c r="E323" s="30" t="s">
        <v>483</v>
      </c>
      <c r="F323" s="30" t="s">
        <v>475</v>
      </c>
      <c r="G323" s="31">
        <v>46191</v>
      </c>
      <c r="H323" s="31"/>
      <c r="I323" s="32">
        <f>IF(OR($G323="",$H323=""),"",$H323-$G323)</f>
        <v>0</v>
      </c>
      <c r="J323" s="30" t="s">
        <v>484</v>
      </c>
    </row>
    <row r="324" spans="1:10">
      <c r="A324" s="30" t="s">
        <v>26</v>
      </c>
      <c r="B324" s="30" t="s">
        <v>492</v>
      </c>
      <c r="C324" s="30" t="s">
        <v>495</v>
      </c>
      <c r="D324" s="30"/>
      <c r="E324" s="30" t="s">
        <v>483</v>
      </c>
      <c r="F324" s="30" t="s">
        <v>475</v>
      </c>
      <c r="G324" s="31">
        <v>46191</v>
      </c>
      <c r="H324" s="31"/>
      <c r="I324" s="32">
        <f>IF(OR($G324="",$H324=""),"",$H324-$G324)</f>
        <v>0</v>
      </c>
      <c r="J324" s="30" t="s">
        <v>484</v>
      </c>
    </row>
    <row r="325" spans="1:10">
      <c r="A325" s="30" t="s">
        <v>26</v>
      </c>
      <c r="B325" s="30" t="s">
        <v>496</v>
      </c>
      <c r="C325" s="30" t="s">
        <v>497</v>
      </c>
      <c r="D325" s="30"/>
      <c r="E325" s="30" t="s">
        <v>483</v>
      </c>
      <c r="F325" s="30" t="s">
        <v>475</v>
      </c>
      <c r="G325" s="31">
        <v>46191</v>
      </c>
      <c r="H325" s="31"/>
      <c r="I325" s="32">
        <f>IF(OR($G325="",$H325=""),"",$H325-$G325)</f>
        <v>0</v>
      </c>
      <c r="J325" s="30" t="s">
        <v>484</v>
      </c>
    </row>
    <row r="326" spans="1:10">
      <c r="A326" s="30" t="s">
        <v>26</v>
      </c>
      <c r="B326" s="30" t="s">
        <v>496</v>
      </c>
      <c r="C326" s="30" t="s">
        <v>498</v>
      </c>
      <c r="D326" s="30"/>
      <c r="E326" s="30" t="s">
        <v>483</v>
      </c>
      <c r="F326" s="30" t="s">
        <v>475</v>
      </c>
      <c r="G326" s="31">
        <v>46191</v>
      </c>
      <c r="H326" s="31"/>
      <c r="I326" s="32">
        <f>IF(OR($G326="",$H326=""),"",$H326-$G326)</f>
        <v>0</v>
      </c>
      <c r="J326" s="30" t="s">
        <v>484</v>
      </c>
    </row>
    <row r="327" spans="1:10">
      <c r="A327" s="30" t="s">
        <v>26</v>
      </c>
      <c r="B327" s="30" t="s">
        <v>496</v>
      </c>
      <c r="C327" s="30" t="s">
        <v>499</v>
      </c>
      <c r="D327" s="30"/>
      <c r="E327" s="30" t="s">
        <v>483</v>
      </c>
      <c r="F327" s="30" t="s">
        <v>475</v>
      </c>
      <c r="G327" s="31">
        <v>46191</v>
      </c>
      <c r="H327" s="31"/>
      <c r="I327" s="32">
        <f>IF(OR($G327="",$H327=""),"",$H327-$G327)</f>
        <v>0</v>
      </c>
      <c r="J327" s="30" t="s">
        <v>484</v>
      </c>
    </row>
    <row r="328" spans="1:10">
      <c r="A328" s="30" t="s">
        <v>26</v>
      </c>
      <c r="B328" s="30" t="s">
        <v>496</v>
      </c>
      <c r="C328" s="30" t="s">
        <v>500</v>
      </c>
      <c r="D328" s="30"/>
      <c r="E328" s="30" t="s">
        <v>483</v>
      </c>
      <c r="F328" s="30" t="s">
        <v>475</v>
      </c>
      <c r="G328" s="31">
        <v>46191</v>
      </c>
      <c r="H328" s="31"/>
      <c r="I328" s="32">
        <f>IF(OR($G328="",$H328=""),"",$H328-$G328)</f>
        <v>0</v>
      </c>
      <c r="J328" s="30" t="s">
        <v>484</v>
      </c>
    </row>
    <row r="329" spans="1:10">
      <c r="A329" s="30" t="s">
        <v>26</v>
      </c>
      <c r="B329" s="30" t="s">
        <v>496</v>
      </c>
      <c r="C329" s="30" t="s">
        <v>501</v>
      </c>
      <c r="D329" s="30"/>
      <c r="E329" s="30" t="s">
        <v>483</v>
      </c>
      <c r="F329" s="30" t="s">
        <v>475</v>
      </c>
      <c r="G329" s="31">
        <v>46191</v>
      </c>
      <c r="H329" s="31"/>
      <c r="I329" s="32">
        <f>IF(OR($G329="",$H329=""),"",$H329-$G329)</f>
        <v>0</v>
      </c>
      <c r="J329" s="30" t="s">
        <v>484</v>
      </c>
    </row>
    <row r="330" spans="1:10">
      <c r="A330" s="30" t="s">
        <v>26</v>
      </c>
      <c r="B330" s="30" t="s">
        <v>496</v>
      </c>
      <c r="C330" s="30" t="s">
        <v>502</v>
      </c>
      <c r="D330" s="30"/>
      <c r="E330" s="30" t="s">
        <v>483</v>
      </c>
      <c r="F330" s="30" t="s">
        <v>475</v>
      </c>
      <c r="G330" s="31">
        <v>46191</v>
      </c>
      <c r="H330" s="31"/>
      <c r="I330" s="32">
        <f>IF(OR($G330="",$H330=""),"",$H330-$G330)</f>
        <v>0</v>
      </c>
      <c r="J330" s="30" t="s">
        <v>484</v>
      </c>
    </row>
    <row r="331" spans="1:10">
      <c r="A331" s="30" t="s">
        <v>26</v>
      </c>
      <c r="B331" s="30" t="s">
        <v>496</v>
      </c>
      <c r="C331" s="30" t="s">
        <v>503</v>
      </c>
      <c r="D331" s="30"/>
      <c r="E331" s="30" t="s">
        <v>483</v>
      </c>
      <c r="F331" s="30" t="s">
        <v>475</v>
      </c>
      <c r="G331" s="31">
        <v>46191</v>
      </c>
      <c r="H331" s="31"/>
      <c r="I331" s="32">
        <f>IF(OR($G331="",$H331=""),"",$H331-$G331)</f>
        <v>0</v>
      </c>
      <c r="J331" s="30" t="s">
        <v>484</v>
      </c>
    </row>
    <row r="332" spans="1:10">
      <c r="A332" s="30" t="s">
        <v>26</v>
      </c>
      <c r="B332" s="30" t="s">
        <v>496</v>
      </c>
      <c r="C332" s="30" t="s">
        <v>504</v>
      </c>
      <c r="D332" s="30"/>
      <c r="E332" s="30" t="s">
        <v>483</v>
      </c>
      <c r="F332" s="30" t="s">
        <v>475</v>
      </c>
      <c r="G332" s="31">
        <v>46191</v>
      </c>
      <c r="H332" s="31"/>
      <c r="I332" s="32">
        <f>IF(OR($G332="",$H332=""),"",$H332-$G332)</f>
        <v>0</v>
      </c>
      <c r="J332" s="30" t="s">
        <v>484</v>
      </c>
    </row>
    <row r="333" spans="1:10">
      <c r="A333" s="30" t="s">
        <v>26</v>
      </c>
      <c r="B333" s="30" t="s">
        <v>496</v>
      </c>
      <c r="C333" s="30" t="s">
        <v>505</v>
      </c>
      <c r="D333" s="30"/>
      <c r="E333" s="30" t="s">
        <v>483</v>
      </c>
      <c r="F333" s="30" t="s">
        <v>475</v>
      </c>
      <c r="G333" s="31">
        <v>46191</v>
      </c>
      <c r="H333" s="31"/>
      <c r="I333" s="32">
        <f>IF(OR($G333="",$H333=""),"",$H333-$G333)</f>
        <v>0</v>
      </c>
      <c r="J333" s="30" t="s">
        <v>484</v>
      </c>
    </row>
    <row r="334" spans="1:10">
      <c r="A334" s="30" t="s">
        <v>26</v>
      </c>
      <c r="B334" s="30" t="s">
        <v>496</v>
      </c>
      <c r="C334" s="30" t="s">
        <v>506</v>
      </c>
      <c r="D334" s="30"/>
      <c r="E334" s="30" t="s">
        <v>483</v>
      </c>
      <c r="F334" s="30" t="s">
        <v>475</v>
      </c>
      <c r="G334" s="31">
        <v>46191</v>
      </c>
      <c r="H334" s="31"/>
      <c r="I334" s="32">
        <f>IF(OR($G334="",$H334=""),"",$H334-$G334)</f>
        <v>0</v>
      </c>
      <c r="J334" s="30" t="s">
        <v>484</v>
      </c>
    </row>
    <row r="335" spans="1:10">
      <c r="A335" s="30" t="s">
        <v>26</v>
      </c>
      <c r="B335" s="30" t="s">
        <v>496</v>
      </c>
      <c r="C335" s="30" t="s">
        <v>507</v>
      </c>
      <c r="D335" s="30"/>
      <c r="E335" s="30" t="s">
        <v>483</v>
      </c>
      <c r="F335" s="30" t="s">
        <v>475</v>
      </c>
      <c r="G335" s="31">
        <v>46191</v>
      </c>
      <c r="H335" s="31"/>
      <c r="I335" s="32">
        <f>IF(OR($G335="",$H335=""),"",$H335-$G335)</f>
        <v>0</v>
      </c>
      <c r="J335" s="30" t="s">
        <v>484</v>
      </c>
    </row>
    <row r="336" spans="1:10">
      <c r="A336" s="30" t="s">
        <v>26</v>
      </c>
      <c r="B336" s="30" t="s">
        <v>496</v>
      </c>
      <c r="C336" s="30" t="s">
        <v>508</v>
      </c>
      <c r="D336" s="30"/>
      <c r="E336" s="30" t="s">
        <v>483</v>
      </c>
      <c r="F336" s="30" t="s">
        <v>475</v>
      </c>
      <c r="G336" s="31">
        <v>46191</v>
      </c>
      <c r="H336" s="31"/>
      <c r="I336" s="32">
        <f>IF(OR($G336="",$H336=""),"",$H336-$G336)</f>
        <v>0</v>
      </c>
      <c r="J336" s="30" t="s">
        <v>484</v>
      </c>
    </row>
    <row r="337" spans="1:10">
      <c r="A337" s="30" t="s">
        <v>173</v>
      </c>
      <c r="B337" s="30" t="s">
        <v>276</v>
      </c>
      <c r="C337" s="30" t="s">
        <v>509</v>
      </c>
      <c r="D337" s="30"/>
      <c r="E337" s="30" t="s">
        <v>510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173</v>
      </c>
      <c r="B338" s="30" t="s">
        <v>276</v>
      </c>
      <c r="C338" s="30" t="s">
        <v>511</v>
      </c>
      <c r="D338" s="30"/>
      <c r="E338" s="30" t="s">
        <v>510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173</v>
      </c>
      <c r="B339" s="30" t="s">
        <v>276</v>
      </c>
      <c r="C339" s="30" t="s">
        <v>512</v>
      </c>
      <c r="D339" s="30"/>
      <c r="E339" s="30" t="s">
        <v>510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173</v>
      </c>
      <c r="B340" s="30" t="s">
        <v>276</v>
      </c>
      <c r="C340" s="30" t="s">
        <v>513</v>
      </c>
      <c r="D340" s="30"/>
      <c r="E340" s="30" t="s">
        <v>510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173</v>
      </c>
      <c r="B341" s="30" t="s">
        <v>276</v>
      </c>
      <c r="C341" s="30" t="s">
        <v>514</v>
      </c>
      <c r="D341" s="30"/>
      <c r="E341" s="30" t="s">
        <v>510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173</v>
      </c>
      <c r="B342" s="30" t="s">
        <v>276</v>
      </c>
      <c r="C342" s="30" t="s">
        <v>515</v>
      </c>
      <c r="D342" s="30"/>
      <c r="E342" s="30" t="s">
        <v>510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173</v>
      </c>
      <c r="B343" s="30" t="s">
        <v>276</v>
      </c>
      <c r="C343" s="30" t="s">
        <v>516</v>
      </c>
      <c r="D343" s="30"/>
      <c r="E343" s="30" t="s">
        <v>510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173</v>
      </c>
      <c r="B344" s="30" t="s">
        <v>276</v>
      </c>
      <c r="C344" s="30" t="s">
        <v>517</v>
      </c>
      <c r="D344" s="30"/>
      <c r="E344" s="30" t="s">
        <v>510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173</v>
      </c>
      <c r="B345" s="30" t="s">
        <v>276</v>
      </c>
      <c r="C345" s="30" t="s">
        <v>518</v>
      </c>
      <c r="D345" s="30"/>
      <c r="E345" s="30" t="s">
        <v>510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173</v>
      </c>
      <c r="B346" s="30" t="s">
        <v>276</v>
      </c>
      <c r="C346" s="30" t="s">
        <v>519</v>
      </c>
      <c r="D346" s="30"/>
      <c r="E346" s="30" t="s">
        <v>510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173</v>
      </c>
      <c r="B347" s="30" t="s">
        <v>276</v>
      </c>
      <c r="C347" s="30" t="s">
        <v>520</v>
      </c>
      <c r="D347" s="30"/>
      <c r="E347" s="30" t="s">
        <v>510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173</v>
      </c>
      <c r="B348" s="30" t="s">
        <v>276</v>
      </c>
      <c r="C348" s="30" t="s">
        <v>521</v>
      </c>
      <c r="D348" s="30"/>
      <c r="E348" s="30" t="s">
        <v>510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173</v>
      </c>
      <c r="B349" s="30" t="s">
        <v>276</v>
      </c>
      <c r="C349" s="30" t="s">
        <v>522</v>
      </c>
      <c r="D349" s="30"/>
      <c r="E349" s="30" t="s">
        <v>510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181</v>
      </c>
      <c r="B350" s="30" t="s">
        <v>182</v>
      </c>
      <c r="C350" s="30" t="s">
        <v>523</v>
      </c>
      <c r="D350" s="30"/>
      <c r="E350" s="30" t="s">
        <v>524</v>
      </c>
      <c r="F350" s="30" t="s">
        <v>118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181</v>
      </c>
      <c r="B351" s="30" t="s">
        <v>182</v>
      </c>
      <c r="C351" s="30" t="s">
        <v>525</v>
      </c>
      <c r="D351" s="30"/>
      <c r="E351" s="30" t="s">
        <v>524</v>
      </c>
      <c r="F351" s="30" t="s">
        <v>118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181</v>
      </c>
      <c r="B352" s="30" t="s">
        <v>182</v>
      </c>
      <c r="C352" s="30" t="s">
        <v>526</v>
      </c>
      <c r="D352" s="30"/>
      <c r="E352" s="30" t="s">
        <v>524</v>
      </c>
      <c r="F352" s="30" t="s">
        <v>118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181</v>
      </c>
      <c r="B353" s="30" t="s">
        <v>182</v>
      </c>
      <c r="C353" s="30" t="s">
        <v>527</v>
      </c>
      <c r="D353" s="30"/>
      <c r="E353" s="30" t="s">
        <v>524</v>
      </c>
      <c r="F353" s="30" t="s">
        <v>118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181</v>
      </c>
      <c r="B354" s="30" t="s">
        <v>182</v>
      </c>
      <c r="C354" s="30" t="s">
        <v>528</v>
      </c>
      <c r="D354" s="30"/>
      <c r="E354" s="30" t="s">
        <v>524</v>
      </c>
      <c r="F354" s="30" t="s">
        <v>118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181</v>
      </c>
      <c r="B355" s="30" t="s">
        <v>182</v>
      </c>
      <c r="C355" s="30" t="s">
        <v>529</v>
      </c>
      <c r="D355" s="30"/>
      <c r="E355" s="30" t="s">
        <v>524</v>
      </c>
      <c r="F355" s="30" t="s">
        <v>118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181</v>
      </c>
      <c r="B356" s="30" t="s">
        <v>182</v>
      </c>
      <c r="C356" s="30" t="s">
        <v>530</v>
      </c>
      <c r="D356" s="30"/>
      <c r="E356" s="30" t="s">
        <v>524</v>
      </c>
      <c r="F356" s="30" t="s">
        <v>118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181</v>
      </c>
      <c r="B357" s="30" t="s">
        <v>182</v>
      </c>
      <c r="C357" s="30" t="s">
        <v>531</v>
      </c>
      <c r="D357" s="30"/>
      <c r="E357" s="30" t="s">
        <v>524</v>
      </c>
      <c r="F357" s="30" t="s">
        <v>118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181</v>
      </c>
      <c r="B358" s="30" t="s">
        <v>182</v>
      </c>
      <c r="C358" s="30" t="s">
        <v>532</v>
      </c>
      <c r="D358" s="30"/>
      <c r="E358" s="30" t="s">
        <v>524</v>
      </c>
      <c r="F358" s="30" t="s">
        <v>118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275</v>
      </c>
      <c r="B359" s="30" t="s">
        <v>533</v>
      </c>
      <c r="C359" s="30" t="s">
        <v>534</v>
      </c>
      <c r="D359" s="30"/>
      <c r="E359" s="30" t="s">
        <v>510</v>
      </c>
      <c r="F359" s="30" t="s">
        <v>118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275</v>
      </c>
      <c r="B360" s="30" t="s">
        <v>533</v>
      </c>
      <c r="C360" s="30" t="s">
        <v>535</v>
      </c>
      <c r="D360" s="30"/>
      <c r="E360" s="30" t="s">
        <v>510</v>
      </c>
      <c r="F360" s="30" t="s">
        <v>118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275</v>
      </c>
      <c r="B361" s="30" t="s">
        <v>533</v>
      </c>
      <c r="C361" s="30" t="s">
        <v>536</v>
      </c>
      <c r="D361" s="30"/>
      <c r="E361" s="30" t="s">
        <v>510</v>
      </c>
      <c r="F361" s="30" t="s">
        <v>118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275</v>
      </c>
      <c r="B362" s="30" t="s">
        <v>537</v>
      </c>
      <c r="C362" s="30" t="s">
        <v>538</v>
      </c>
      <c r="D362" s="30"/>
      <c r="E362" s="30" t="s">
        <v>510</v>
      </c>
      <c r="F362" s="30" t="s">
        <v>118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173</v>
      </c>
      <c r="B363" s="30" t="s">
        <v>295</v>
      </c>
      <c r="C363" s="30" t="s">
        <v>539</v>
      </c>
      <c r="D363" s="30"/>
      <c r="E363" s="30" t="s">
        <v>510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255</v>
      </c>
      <c r="C364" s="30" t="s">
        <v>540</v>
      </c>
      <c r="D364" s="30"/>
      <c r="E364" s="30" t="s">
        <v>257</v>
      </c>
      <c r="F364" s="30" t="s">
        <v>30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255</v>
      </c>
      <c r="C365" s="30" t="s">
        <v>541</v>
      </c>
      <c r="D365" s="30"/>
      <c r="E365" s="30" t="s">
        <v>257</v>
      </c>
      <c r="F365" s="30" t="s">
        <v>30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255</v>
      </c>
      <c r="C366" s="30" t="s">
        <v>542</v>
      </c>
      <c r="D366" s="30"/>
      <c r="E366" s="30" t="s">
        <v>257</v>
      </c>
      <c r="F366" s="30" t="s">
        <v>30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255</v>
      </c>
      <c r="C367" s="30" t="s">
        <v>543</v>
      </c>
      <c r="D367" s="30"/>
      <c r="E367" s="30" t="s">
        <v>257</v>
      </c>
      <c r="F367" s="30" t="s">
        <v>30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255</v>
      </c>
      <c r="C368" s="30" t="s">
        <v>544</v>
      </c>
      <c r="D368" s="30"/>
      <c r="E368" s="30" t="s">
        <v>257</v>
      </c>
      <c r="F368" s="30" t="s">
        <v>30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200</v>
      </c>
      <c r="C369" s="30" t="s">
        <v>545</v>
      </c>
      <c r="D369" s="30"/>
      <c r="E369" s="30" t="s">
        <v>223</v>
      </c>
      <c r="F369" s="30" t="s">
        <v>30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200</v>
      </c>
      <c r="C370" s="30" t="s">
        <v>546</v>
      </c>
      <c r="D370" s="30"/>
      <c r="E370" s="30" t="s">
        <v>223</v>
      </c>
      <c r="F370" s="30" t="s">
        <v>30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200</v>
      </c>
      <c r="C371" s="30" t="s">
        <v>547</v>
      </c>
      <c r="D371" s="30"/>
      <c r="E371" s="30" t="s">
        <v>223</v>
      </c>
      <c r="F371" s="30" t="s">
        <v>30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548</v>
      </c>
      <c r="C372" s="30" t="s">
        <v>549</v>
      </c>
      <c r="D372" s="30"/>
      <c r="E372" s="30" t="s">
        <v>223</v>
      </c>
      <c r="F372" s="30" t="s">
        <v>30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548</v>
      </c>
      <c r="C373" s="30" t="s">
        <v>550</v>
      </c>
      <c r="D373" s="30"/>
      <c r="E373" s="30" t="s">
        <v>223</v>
      </c>
      <c r="F373" s="30" t="s">
        <v>30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548</v>
      </c>
      <c r="C374" s="30" t="s">
        <v>551</v>
      </c>
      <c r="D374" s="30"/>
      <c r="E374" s="30" t="s">
        <v>223</v>
      </c>
      <c r="F374" s="30" t="s">
        <v>30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548</v>
      </c>
      <c r="C375" s="30" t="s">
        <v>552</v>
      </c>
      <c r="D375" s="30"/>
      <c r="E375" s="30" t="s">
        <v>223</v>
      </c>
      <c r="F375" s="30" t="s">
        <v>30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548</v>
      </c>
      <c r="C376" s="30" t="s">
        <v>553</v>
      </c>
      <c r="D376" s="30"/>
      <c r="E376" s="30" t="s">
        <v>223</v>
      </c>
      <c r="F376" s="30" t="s">
        <v>30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548</v>
      </c>
      <c r="C377" s="30" t="s">
        <v>554</v>
      </c>
      <c r="D377" s="30"/>
      <c r="E377" s="30" t="s">
        <v>223</v>
      </c>
      <c r="F377" s="30" t="s">
        <v>30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548</v>
      </c>
      <c r="C378" s="30" t="s">
        <v>555</v>
      </c>
      <c r="D378" s="30"/>
      <c r="E378" s="30" t="s">
        <v>223</v>
      </c>
      <c r="F378" s="30" t="s">
        <v>30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548</v>
      </c>
      <c r="C379" s="30" t="s">
        <v>556</v>
      </c>
      <c r="D379" s="30"/>
      <c r="E379" s="30" t="s">
        <v>223</v>
      </c>
      <c r="F379" s="30" t="s">
        <v>30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161</v>
      </c>
      <c r="B380" s="30" t="s">
        <v>557</v>
      </c>
      <c r="C380" s="30"/>
      <c r="D380" s="30"/>
      <c r="E380" s="30" t="s">
        <v>558</v>
      </c>
      <c r="F380" s="30" t="s">
        <v>66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161</v>
      </c>
      <c r="B381" s="30" t="s">
        <v>557</v>
      </c>
      <c r="C381" s="30"/>
      <c r="D381" s="30"/>
      <c r="E381" s="30" t="s">
        <v>558</v>
      </c>
      <c r="F381" s="30" t="s">
        <v>66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161</v>
      </c>
      <c r="B382" s="30" t="s">
        <v>557</v>
      </c>
      <c r="C382" s="30"/>
      <c r="D382" s="30"/>
      <c r="E382" s="30" t="s">
        <v>558</v>
      </c>
      <c r="F382" s="30" t="s">
        <v>66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161</v>
      </c>
      <c r="B383" s="30" t="s">
        <v>557</v>
      </c>
      <c r="C383" s="30"/>
      <c r="D383" s="30"/>
      <c r="E383" s="30" t="s">
        <v>558</v>
      </c>
      <c r="F383" s="30" t="s">
        <v>66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161</v>
      </c>
      <c r="B384" s="30" t="s">
        <v>557</v>
      </c>
      <c r="C384" s="30"/>
      <c r="D384" s="30"/>
      <c r="E384" s="30" t="s">
        <v>558</v>
      </c>
      <c r="F384" s="30" t="s">
        <v>66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161</v>
      </c>
      <c r="B385" s="30" t="s">
        <v>557</v>
      </c>
      <c r="C385" s="30"/>
      <c r="D385" s="30"/>
      <c r="E385" s="30" t="s">
        <v>558</v>
      </c>
      <c r="F385" s="30" t="s">
        <v>66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161</v>
      </c>
      <c r="B386" s="30" t="s">
        <v>557</v>
      </c>
      <c r="C386" s="30"/>
      <c r="D386" s="30"/>
      <c r="E386" s="30" t="s">
        <v>558</v>
      </c>
      <c r="F386" s="30" t="s">
        <v>66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161</v>
      </c>
      <c r="B387" s="30" t="s">
        <v>557</v>
      </c>
      <c r="C387" s="30"/>
      <c r="D387" s="30"/>
      <c r="E387" s="30" t="s">
        <v>558</v>
      </c>
      <c r="F387" s="30" t="s">
        <v>66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161</v>
      </c>
      <c r="B388" s="30" t="s">
        <v>557</v>
      </c>
      <c r="C388" s="30"/>
      <c r="D388" s="30"/>
      <c r="E388" s="30" t="s">
        <v>558</v>
      </c>
      <c r="F388" s="30" t="s">
        <v>66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161</v>
      </c>
      <c r="B389" s="30" t="s">
        <v>557</v>
      </c>
      <c r="C389" s="30"/>
      <c r="D389" s="30"/>
      <c r="E389" s="30" t="s">
        <v>558</v>
      </c>
      <c r="F389" s="30" t="s">
        <v>66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161</v>
      </c>
      <c r="B390" s="30" t="s">
        <v>557</v>
      </c>
      <c r="C390" s="30"/>
      <c r="D390" s="30"/>
      <c r="E390" s="30" t="s">
        <v>558</v>
      </c>
      <c r="F390" s="30" t="s">
        <v>66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161</v>
      </c>
      <c r="B391" s="30" t="s">
        <v>557</v>
      </c>
      <c r="C391" s="30"/>
      <c r="D391" s="30"/>
      <c r="E391" s="30" t="s">
        <v>558</v>
      </c>
      <c r="F391" s="30" t="s">
        <v>66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161</v>
      </c>
      <c r="B392" s="30" t="s">
        <v>557</v>
      </c>
      <c r="C392" s="30"/>
      <c r="D392" s="30"/>
      <c r="E392" s="30" t="s">
        <v>558</v>
      </c>
      <c r="F392" s="30" t="s">
        <v>66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161</v>
      </c>
      <c r="B393" s="30" t="s">
        <v>557</v>
      </c>
      <c r="C393" s="30"/>
      <c r="D393" s="30"/>
      <c r="E393" s="30" t="s">
        <v>558</v>
      </c>
      <c r="F393" s="30" t="s">
        <v>66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161</v>
      </c>
      <c r="B394" s="30" t="s">
        <v>557</v>
      </c>
      <c r="C394" s="30"/>
      <c r="D394" s="30"/>
      <c r="E394" s="30" t="s">
        <v>558</v>
      </c>
      <c r="F394" s="30" t="s">
        <v>66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161</v>
      </c>
      <c r="B395" s="30" t="s">
        <v>557</v>
      </c>
      <c r="C395" s="30"/>
      <c r="D395" s="30"/>
      <c r="E395" s="30" t="s">
        <v>558</v>
      </c>
      <c r="F395" s="30" t="s">
        <v>118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161</v>
      </c>
      <c r="B396" s="30" t="s">
        <v>557</v>
      </c>
      <c r="C396" s="30"/>
      <c r="D396" s="30"/>
      <c r="E396" s="30" t="s">
        <v>558</v>
      </c>
      <c r="F396" s="30" t="s">
        <v>118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161</v>
      </c>
      <c r="B397" s="30" t="s">
        <v>557</v>
      </c>
      <c r="C397" s="30"/>
      <c r="D397" s="30"/>
      <c r="E397" s="30" t="s">
        <v>558</v>
      </c>
      <c r="F397" s="30" t="s">
        <v>118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161</v>
      </c>
      <c r="B398" s="30" t="s">
        <v>557</v>
      </c>
      <c r="C398" s="30"/>
      <c r="D398" s="30"/>
      <c r="E398" s="30" t="s">
        <v>558</v>
      </c>
      <c r="F398" s="30" t="s">
        <v>118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161</v>
      </c>
      <c r="B399" s="30" t="s">
        <v>557</v>
      </c>
      <c r="C399" s="30"/>
      <c r="D399" s="30"/>
      <c r="E399" s="30" t="s">
        <v>558</v>
      </c>
      <c r="F399" s="30" t="s">
        <v>118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161</v>
      </c>
      <c r="B400" s="30" t="s">
        <v>557</v>
      </c>
      <c r="C400" s="30"/>
      <c r="D400" s="30"/>
      <c r="E400" s="30" t="s">
        <v>558</v>
      </c>
      <c r="F400" s="30" t="s">
        <v>118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161</v>
      </c>
      <c r="B401" s="30" t="s">
        <v>557</v>
      </c>
      <c r="C401" s="30"/>
      <c r="D401" s="30"/>
      <c r="E401" s="30" t="s">
        <v>558</v>
      </c>
      <c r="F401" s="30" t="s">
        <v>118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161</v>
      </c>
      <c r="B402" s="30" t="s">
        <v>557</v>
      </c>
      <c r="C402" s="30"/>
      <c r="D402" s="30"/>
      <c r="E402" s="30" t="s">
        <v>558</v>
      </c>
      <c r="F402" s="30" t="s">
        <v>118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161</v>
      </c>
      <c r="B403" s="30" t="s">
        <v>557</v>
      </c>
      <c r="C403" s="30"/>
      <c r="D403" s="30"/>
      <c r="E403" s="30" t="s">
        <v>558</v>
      </c>
      <c r="F403" s="30" t="s">
        <v>118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161</v>
      </c>
      <c r="B404" s="30" t="s">
        <v>557</v>
      </c>
      <c r="C404" s="30"/>
      <c r="D404" s="30"/>
      <c r="E404" s="30" t="s">
        <v>558</v>
      </c>
      <c r="F404" s="30" t="s">
        <v>118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161</v>
      </c>
      <c r="B405" s="30" t="s">
        <v>557</v>
      </c>
      <c r="C405" s="30"/>
      <c r="D405" s="30"/>
      <c r="E405" s="30" t="s">
        <v>558</v>
      </c>
      <c r="F405" s="30" t="s">
        <v>118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161</v>
      </c>
      <c r="B406" s="30" t="s">
        <v>557</v>
      </c>
      <c r="C406" s="30"/>
      <c r="D406" s="30"/>
      <c r="E406" s="30" t="s">
        <v>558</v>
      </c>
      <c r="F406" s="30" t="s">
        <v>118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161</v>
      </c>
      <c r="B407" s="30" t="s">
        <v>557</v>
      </c>
      <c r="C407" s="30"/>
      <c r="D407" s="30"/>
      <c r="E407" s="30" t="s">
        <v>558</v>
      </c>
      <c r="F407" s="30" t="s">
        <v>118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161</v>
      </c>
      <c r="B408" s="30" t="s">
        <v>557</v>
      </c>
      <c r="C408" s="30"/>
      <c r="D408" s="30"/>
      <c r="E408" s="30" t="s">
        <v>558</v>
      </c>
      <c r="F408" s="30" t="s">
        <v>118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161</v>
      </c>
      <c r="B409" s="30" t="s">
        <v>557</v>
      </c>
      <c r="C409" s="30"/>
      <c r="D409" s="30"/>
      <c r="E409" s="30" t="s">
        <v>558</v>
      </c>
      <c r="F409" s="30" t="s">
        <v>118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138</v>
      </c>
      <c r="B410" s="30" t="s">
        <v>261</v>
      </c>
      <c r="C410" s="30" t="s">
        <v>559</v>
      </c>
      <c r="D410" s="30"/>
      <c r="E410" s="30" t="s">
        <v>89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161</v>
      </c>
      <c r="B411" s="30" t="s">
        <v>162</v>
      </c>
      <c r="C411" s="30" t="s">
        <v>560</v>
      </c>
      <c r="D411" s="30"/>
      <c r="E411" s="30" t="s">
        <v>89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173</v>
      </c>
      <c r="B412" s="30" t="s">
        <v>276</v>
      </c>
      <c r="C412" s="30" t="s">
        <v>561</v>
      </c>
      <c r="D412" s="30"/>
      <c r="E412" s="30" t="s">
        <v>510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173</v>
      </c>
      <c r="B413" s="30" t="s">
        <v>276</v>
      </c>
      <c r="C413" s="30" t="s">
        <v>562</v>
      </c>
      <c r="D413" s="30"/>
      <c r="E413" s="30" t="s">
        <v>510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173</v>
      </c>
      <c r="B414" s="30" t="s">
        <v>276</v>
      </c>
      <c r="C414" s="30" t="s">
        <v>563</v>
      </c>
      <c r="D414" s="30"/>
      <c r="E414" s="30" t="s">
        <v>510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564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565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566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567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568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51</v>
      </c>
      <c r="B420" s="30" t="s">
        <v>569</v>
      </c>
      <c r="C420" s="30" t="s">
        <v>570</v>
      </c>
      <c r="D420" s="30"/>
      <c r="E420" s="30" t="s">
        <v>168</v>
      </c>
      <c r="F420" s="30" t="s">
        <v>66</v>
      </c>
      <c r="G420" s="31">
        <v>46205</v>
      </c>
      <c r="H420" s="31"/>
      <c r="I420" s="32">
        <f>IF(OR($G420="",$H420=""),"",$H420-$G420)</f>
        <v>0</v>
      </c>
      <c r="J420" s="30"/>
    </row>
    <row r="421" spans="1:10">
      <c r="A421" s="30" t="s">
        <v>51</v>
      </c>
      <c r="B421" s="30" t="s">
        <v>569</v>
      </c>
      <c r="C421" s="30" t="s">
        <v>571</v>
      </c>
      <c r="D421" s="30"/>
      <c r="E421" s="30" t="s">
        <v>168</v>
      </c>
      <c r="F421" s="30" t="s">
        <v>66</v>
      </c>
      <c r="G421" s="31">
        <v>46205</v>
      </c>
      <c r="H421" s="31"/>
      <c r="I421" s="32">
        <f>IF(OR($G421="",$H421=""),"",$H421-$G421)</f>
        <v>0</v>
      </c>
      <c r="J421" s="30"/>
    </row>
    <row r="422" spans="1:10">
      <c r="A422" s="30" t="s">
        <v>138</v>
      </c>
      <c r="B422" s="30" t="s">
        <v>473</v>
      </c>
      <c r="C422" s="30" t="s">
        <v>572</v>
      </c>
      <c r="D422" s="30"/>
      <c r="E422" s="30" t="s">
        <v>89</v>
      </c>
      <c r="F422" s="30" t="s">
        <v>30</v>
      </c>
      <c r="G422" s="31">
        <v>46206</v>
      </c>
      <c r="H422" s="31"/>
      <c r="I422" s="32">
        <f>IF(OR($G422="",$H422=""),"",$H422-$G422)</f>
        <v>0</v>
      </c>
      <c r="J422" s="30"/>
    </row>
    <row r="423" spans="1:10">
      <c r="A423" s="30" t="s">
        <v>138</v>
      </c>
      <c r="B423" s="30" t="s">
        <v>473</v>
      </c>
      <c r="C423" s="30" t="s">
        <v>573</v>
      </c>
      <c r="D423" s="30"/>
      <c r="E423" s="30" t="s">
        <v>89</v>
      </c>
      <c r="F423" s="30" t="s">
        <v>30</v>
      </c>
      <c r="G423" s="31">
        <v>46206</v>
      </c>
      <c r="H423" s="31"/>
      <c r="I423" s="32">
        <f>IF(OR($G423="",$H423=""),"",$H423-$G423)</f>
        <v>0</v>
      </c>
      <c r="J423" s="30"/>
    </row>
    <row r="424" spans="1:10">
      <c r="A424" s="30" t="s">
        <v>138</v>
      </c>
      <c r="B424" s="30" t="s">
        <v>473</v>
      </c>
      <c r="C424" s="30" t="s">
        <v>574</v>
      </c>
      <c r="D424" s="30"/>
      <c r="E424" s="30" t="s">
        <v>89</v>
      </c>
      <c r="F424" s="30" t="s">
        <v>30</v>
      </c>
      <c r="G424" s="31">
        <v>46206</v>
      </c>
      <c r="H424" s="31"/>
      <c r="I424" s="32">
        <f>IF(OR($G424="",$H424=""),"",$H424-$G424)</f>
        <v>0</v>
      </c>
      <c r="J424" s="30"/>
    </row>
    <row r="425" spans="1:10">
      <c r="A425" s="30" t="s">
        <v>138</v>
      </c>
      <c r="B425" s="30" t="s">
        <v>473</v>
      </c>
      <c r="C425" s="30" t="s">
        <v>575</v>
      </c>
      <c r="D425" s="30"/>
      <c r="E425" s="30" t="s">
        <v>89</v>
      </c>
      <c r="F425" s="30" t="s">
        <v>30</v>
      </c>
      <c r="G425" s="31">
        <v>46206</v>
      </c>
      <c r="H425" s="31"/>
      <c r="I425" s="32">
        <f>IF(OR($G425="",$H425=""),"",$H425-$G425)</f>
        <v>0</v>
      </c>
      <c r="J425" s="30"/>
    </row>
    <row r="426" spans="1:10">
      <c r="A426" s="30" t="s">
        <v>138</v>
      </c>
      <c r="B426" s="30" t="s">
        <v>473</v>
      </c>
      <c r="C426" s="30" t="s">
        <v>576</v>
      </c>
      <c r="D426" s="30"/>
      <c r="E426" s="30" t="s">
        <v>89</v>
      </c>
      <c r="F426" s="30" t="s">
        <v>30</v>
      </c>
      <c r="G426" s="31">
        <v>46206</v>
      </c>
      <c r="H426" s="31"/>
      <c r="I426" s="32">
        <f>IF(OR($G426="",$H426=""),"",$H426-$G426)</f>
        <v>0</v>
      </c>
      <c r="J426" s="30"/>
    </row>
    <row r="427" spans="1:10">
      <c r="A427" s="30" t="s">
        <v>138</v>
      </c>
      <c r="B427" s="30" t="s">
        <v>473</v>
      </c>
      <c r="C427" s="30" t="s">
        <v>577</v>
      </c>
      <c r="D427" s="30"/>
      <c r="E427" s="30" t="s">
        <v>89</v>
      </c>
      <c r="F427" s="30" t="s">
        <v>30</v>
      </c>
      <c r="G427" s="31">
        <v>46206</v>
      </c>
      <c r="H427" s="31"/>
      <c r="I427" s="32">
        <f>IF(OR($G427="",$H427=""),"",$H427-$G427)</f>
        <v>0</v>
      </c>
      <c r="J427" s="30"/>
    </row>
    <row r="428" spans="1:10">
      <c r="A428" s="30" t="s">
        <v>138</v>
      </c>
      <c r="B428" s="30" t="s">
        <v>473</v>
      </c>
      <c r="C428" s="30" t="s">
        <v>578</v>
      </c>
      <c r="D428" s="30"/>
      <c r="E428" s="30" t="s">
        <v>89</v>
      </c>
      <c r="F428" s="30" t="s">
        <v>30</v>
      </c>
      <c r="G428" s="31">
        <v>46206</v>
      </c>
      <c r="H428" s="31"/>
      <c r="I428" s="32">
        <f>IF(OR($G428="",$H428=""),"",$H428-$G428)</f>
        <v>0</v>
      </c>
      <c r="J428" s="30"/>
    </row>
    <row r="429" spans="1:10">
      <c r="A429" s="30" t="s">
        <v>138</v>
      </c>
      <c r="B429" s="30" t="s">
        <v>473</v>
      </c>
      <c r="C429" s="30" t="s">
        <v>579</v>
      </c>
      <c r="D429" s="30"/>
      <c r="E429" s="30" t="s">
        <v>89</v>
      </c>
      <c r="F429" s="30" t="s">
        <v>30</v>
      </c>
      <c r="G429" s="31">
        <v>46206</v>
      </c>
      <c r="H429" s="31"/>
      <c r="I429" s="32">
        <f>IF(OR($G429="",$H429=""),"",$H429-$G429)</f>
        <v>0</v>
      </c>
      <c r="J429" s="30"/>
    </row>
    <row r="430" spans="1:10">
      <c r="A430" s="30" t="s">
        <v>138</v>
      </c>
      <c r="B430" s="30" t="s">
        <v>473</v>
      </c>
      <c r="C430" s="30" t="s">
        <v>580</v>
      </c>
      <c r="D430" s="30"/>
      <c r="E430" s="30" t="s">
        <v>89</v>
      </c>
      <c r="F430" s="30" t="s">
        <v>30</v>
      </c>
      <c r="G430" s="31">
        <v>46206</v>
      </c>
      <c r="H430" s="31"/>
      <c r="I430" s="32">
        <f>IF(OR($G430="",$H430=""),"",$H430-$G430)</f>
        <v>0</v>
      </c>
      <c r="J430" s="30"/>
    </row>
    <row r="431" spans="1:10">
      <c r="A431" s="30" t="s">
        <v>138</v>
      </c>
      <c r="B431" s="30" t="s">
        <v>473</v>
      </c>
      <c r="C431" s="30" t="s">
        <v>581</v>
      </c>
      <c r="D431" s="30"/>
      <c r="E431" s="30" t="s">
        <v>89</v>
      </c>
      <c r="F431" s="30" t="s">
        <v>30</v>
      </c>
      <c r="G431" s="31">
        <v>46206</v>
      </c>
      <c r="H431" s="31"/>
      <c r="I431" s="32">
        <f>IF(OR($G431="",$H431=""),"",$H431-$G431)</f>
        <v>0</v>
      </c>
      <c r="J431" s="30"/>
    </row>
    <row r="432" spans="1:10">
      <c r="A432" s="30" t="s">
        <v>138</v>
      </c>
      <c r="B432" s="30" t="s">
        <v>473</v>
      </c>
      <c r="C432" s="30" t="s">
        <v>582</v>
      </c>
      <c r="D432" s="30"/>
      <c r="E432" s="30" t="s">
        <v>89</v>
      </c>
      <c r="F432" s="30" t="s">
        <v>30</v>
      </c>
      <c r="G432" s="31">
        <v>46206</v>
      </c>
      <c r="H432" s="31"/>
      <c r="I432" s="32">
        <f>IF(OR($G432="",$H432=""),"",$H432-$G432)</f>
        <v>0</v>
      </c>
      <c r="J432" s="30"/>
    </row>
    <row r="433" spans="1:10">
      <c r="A433" s="30" t="s">
        <v>138</v>
      </c>
      <c r="B433" s="30" t="s">
        <v>473</v>
      </c>
      <c r="C433" s="30" t="s">
        <v>583</v>
      </c>
      <c r="D433" s="30"/>
      <c r="E433" s="30" t="s">
        <v>89</v>
      </c>
      <c r="F433" s="30" t="s">
        <v>30</v>
      </c>
      <c r="G433" s="31">
        <v>46206</v>
      </c>
      <c r="H433" s="31"/>
      <c r="I433" s="32">
        <f>IF(OR($G433="",$H433=""),"",$H433-$G433)</f>
        <v>0</v>
      </c>
      <c r="J433" s="30"/>
    </row>
    <row r="434" spans="1:10">
      <c r="A434" s="30" t="s">
        <v>138</v>
      </c>
      <c r="B434" s="30" t="s">
        <v>473</v>
      </c>
      <c r="C434" s="30" t="s">
        <v>584</v>
      </c>
      <c r="D434" s="30"/>
      <c r="E434" s="30" t="s">
        <v>89</v>
      </c>
      <c r="F434" s="30" t="s">
        <v>30</v>
      </c>
      <c r="G434" s="31">
        <v>46206</v>
      </c>
      <c r="H434" s="31"/>
      <c r="I434" s="32">
        <f>IF(OR($G434="",$H434=""),"",$H434-$G434)</f>
        <v>0</v>
      </c>
      <c r="J434" s="30"/>
    </row>
    <row r="435" spans="1:10">
      <c r="A435" s="30" t="s">
        <v>26</v>
      </c>
      <c r="B435" s="30" t="s">
        <v>585</v>
      </c>
      <c r="C435" s="30" t="s">
        <v>586</v>
      </c>
      <c r="D435" s="30"/>
      <c r="E435" s="30" t="s">
        <v>587</v>
      </c>
      <c r="F435" s="30" t="s">
        <v>66</v>
      </c>
      <c r="G435" s="31">
        <v>46210</v>
      </c>
      <c r="H435" s="31"/>
      <c r="I435" s="32">
        <f>IF(OR($G435="",$H435=""),"",$H435-$G435)</f>
        <v>0</v>
      </c>
      <c r="J435" s="30"/>
    </row>
    <row r="436" spans="1:10">
      <c r="A436" s="30" t="s">
        <v>26</v>
      </c>
      <c r="B436" s="30" t="s">
        <v>585</v>
      </c>
      <c r="C436" s="30" t="s">
        <v>588</v>
      </c>
      <c r="D436" s="30"/>
      <c r="E436" s="30" t="s">
        <v>587</v>
      </c>
      <c r="F436" s="30" t="s">
        <v>66</v>
      </c>
      <c r="G436" s="31">
        <v>46210</v>
      </c>
      <c r="H436" s="31"/>
      <c r="I436" s="32">
        <f>IF(OR($G436="",$H436=""),"",$H436-$G436)</f>
        <v>0</v>
      </c>
      <c r="J436" s="30"/>
    </row>
    <row r="437" spans="1:10">
      <c r="A437" s="30" t="s">
        <v>26</v>
      </c>
      <c r="B437" s="30" t="s">
        <v>585</v>
      </c>
      <c r="C437" s="30" t="s">
        <v>589</v>
      </c>
      <c r="D437" s="30"/>
      <c r="E437" s="30" t="s">
        <v>587</v>
      </c>
      <c r="F437" s="30" t="s">
        <v>66</v>
      </c>
      <c r="G437" s="31">
        <v>46210</v>
      </c>
      <c r="H437" s="31"/>
      <c r="I437" s="32">
        <f>IF(OR($G437="",$H437=""),"",$H437-$G437)</f>
        <v>0</v>
      </c>
      <c r="J437" s="30"/>
    </row>
    <row r="438" spans="1:10">
      <c r="A438" s="30" t="s">
        <v>26</v>
      </c>
      <c r="B438" s="30" t="s">
        <v>585</v>
      </c>
      <c r="C438" s="30" t="s">
        <v>590</v>
      </c>
      <c r="D438" s="30"/>
      <c r="E438" s="30" t="s">
        <v>587</v>
      </c>
      <c r="F438" s="30" t="s">
        <v>66</v>
      </c>
      <c r="G438" s="31">
        <v>46210</v>
      </c>
      <c r="H438" s="31"/>
      <c r="I438" s="32">
        <f>IF(OR($G438="",$H438=""),"",$H438-$G438)</f>
        <v>0</v>
      </c>
      <c r="J438" s="30"/>
    </row>
    <row r="439" spans="1:10">
      <c r="A439" s="30" t="s">
        <v>26</v>
      </c>
      <c r="B439" s="30" t="s">
        <v>585</v>
      </c>
      <c r="C439" s="30" t="s">
        <v>591</v>
      </c>
      <c r="D439" s="30"/>
      <c r="E439" s="30" t="s">
        <v>587</v>
      </c>
      <c r="F439" s="30" t="s">
        <v>66</v>
      </c>
      <c r="G439" s="31">
        <v>46210</v>
      </c>
      <c r="H439" s="31"/>
      <c r="I439" s="32">
        <f>IF(OR($G439="",$H439=""),"",$H439-$G439)</f>
        <v>0</v>
      </c>
      <c r="J439" s="30"/>
    </row>
    <row r="440" spans="1:10">
      <c r="A440" s="30" t="s">
        <v>26</v>
      </c>
      <c r="B440" s="30" t="s">
        <v>592</v>
      </c>
      <c r="C440" s="30" t="s">
        <v>593</v>
      </c>
      <c r="D440" s="30"/>
      <c r="E440" s="30" t="s">
        <v>587</v>
      </c>
      <c r="F440" s="30" t="s">
        <v>66</v>
      </c>
      <c r="G440" s="31">
        <v>46210</v>
      </c>
      <c r="H440" s="31"/>
      <c r="I440" s="32">
        <f>IF(OR($G440="",$H440=""),"",$H440-$G440)</f>
        <v>0</v>
      </c>
      <c r="J440" s="30"/>
    </row>
    <row r="441" spans="1:10">
      <c r="A441" s="30" t="s">
        <v>26</v>
      </c>
      <c r="B441" s="30" t="s">
        <v>592</v>
      </c>
      <c r="C441" s="30" t="s">
        <v>594</v>
      </c>
      <c r="D441" s="30"/>
      <c r="E441" s="30" t="s">
        <v>587</v>
      </c>
      <c r="F441" s="30" t="s">
        <v>66</v>
      </c>
      <c r="G441" s="31">
        <v>46210</v>
      </c>
      <c r="H441" s="31"/>
      <c r="I441" s="32">
        <f>IF(OR($G441="",$H441=""),"",$H441-$G441)</f>
        <v>0</v>
      </c>
      <c r="J441" s="30"/>
    </row>
    <row r="442" spans="1:10">
      <c r="A442" s="30" t="s">
        <v>26</v>
      </c>
      <c r="B442" s="30" t="s">
        <v>592</v>
      </c>
      <c r="C442" s="30" t="s">
        <v>595</v>
      </c>
      <c r="D442" s="30"/>
      <c r="E442" s="30" t="s">
        <v>587</v>
      </c>
      <c r="F442" s="30" t="s">
        <v>66</v>
      </c>
      <c r="G442" s="31">
        <v>46210</v>
      </c>
      <c r="H442" s="31"/>
      <c r="I442" s="32">
        <f>IF(OR($G442="",$H442=""),"",$H442-$G442)</f>
        <v>0</v>
      </c>
      <c r="J442" s="30"/>
    </row>
    <row r="443" spans="1:10">
      <c r="A443" s="30" t="s">
        <v>26</v>
      </c>
      <c r="B443" s="30" t="s">
        <v>592</v>
      </c>
      <c r="C443" s="30" t="s">
        <v>596</v>
      </c>
      <c r="D443" s="30"/>
      <c r="E443" s="30" t="s">
        <v>587</v>
      </c>
      <c r="F443" s="30" t="s">
        <v>66</v>
      </c>
      <c r="G443" s="31">
        <v>46210</v>
      </c>
      <c r="H443" s="31"/>
      <c r="I443" s="32">
        <f>IF(OR($G443="",$H443=""),"",$H443-$G443)</f>
        <v>0</v>
      </c>
      <c r="J443" s="30"/>
    </row>
    <row r="444" spans="1:10">
      <c r="A444" s="30" t="s">
        <v>26</v>
      </c>
      <c r="B444" s="30" t="s">
        <v>592</v>
      </c>
      <c r="C444" s="30" t="s">
        <v>597</v>
      </c>
      <c r="D444" s="30"/>
      <c r="E444" s="30" t="s">
        <v>587</v>
      </c>
      <c r="F444" s="30" t="s">
        <v>66</v>
      </c>
      <c r="G444" s="31">
        <v>46210</v>
      </c>
      <c r="H444" s="31"/>
      <c r="I444" s="32">
        <f>IF(OR($G444="",$H444=""),"",$H444-$G444)</f>
        <v>0</v>
      </c>
      <c r="J444" s="30"/>
    </row>
    <row r="445" spans="1:10">
      <c r="A445" s="30" t="s">
        <v>26</v>
      </c>
      <c r="B445" s="30" t="s">
        <v>598</v>
      </c>
      <c r="C445" s="30" t="s">
        <v>599</v>
      </c>
      <c r="D445" s="30"/>
      <c r="E445" s="30" t="s">
        <v>587</v>
      </c>
      <c r="F445" s="30" t="s">
        <v>66</v>
      </c>
      <c r="G445" s="31">
        <v>46210</v>
      </c>
      <c r="H445" s="31"/>
      <c r="I445" s="32">
        <f>IF(OR($G445="",$H445=""),"",$H445-$G445)</f>
        <v>0</v>
      </c>
      <c r="J445" s="30"/>
    </row>
    <row r="446" spans="1:10">
      <c r="A446" s="30" t="s">
        <v>26</v>
      </c>
      <c r="B446" s="30" t="s">
        <v>598</v>
      </c>
      <c r="C446" s="30" t="s">
        <v>600</v>
      </c>
      <c r="D446" s="30"/>
      <c r="E446" s="30" t="s">
        <v>587</v>
      </c>
      <c r="F446" s="30" t="s">
        <v>66</v>
      </c>
      <c r="G446" s="31">
        <v>46210</v>
      </c>
      <c r="H446" s="31"/>
      <c r="I446" s="32">
        <f>IF(OR($G446="",$H446=""),"",$H446-$G446)</f>
        <v>0</v>
      </c>
      <c r="J446" s="30"/>
    </row>
    <row r="447" spans="1:10">
      <c r="A447" s="30" t="s">
        <v>26</v>
      </c>
      <c r="B447" s="30" t="s">
        <v>598</v>
      </c>
      <c r="C447" s="30" t="s">
        <v>601</v>
      </c>
      <c r="D447" s="30"/>
      <c r="E447" s="30" t="s">
        <v>587</v>
      </c>
      <c r="F447" s="30" t="s">
        <v>66</v>
      </c>
      <c r="G447" s="31">
        <v>46210</v>
      </c>
      <c r="H447" s="31"/>
      <c r="I447" s="32">
        <f>IF(OR($G447="",$H447=""),"",$H447-$G447)</f>
        <v>0</v>
      </c>
      <c r="J447" s="30"/>
    </row>
    <row r="448" spans="1:10">
      <c r="A448" s="30" t="s">
        <v>26</v>
      </c>
      <c r="B448" s="30" t="s">
        <v>598</v>
      </c>
      <c r="C448" s="30" t="s">
        <v>602</v>
      </c>
      <c r="D448" s="30"/>
      <c r="E448" s="30" t="s">
        <v>587</v>
      </c>
      <c r="F448" s="30" t="s">
        <v>66</v>
      </c>
      <c r="G448" s="31">
        <v>46210</v>
      </c>
      <c r="H448" s="31"/>
      <c r="I448" s="32">
        <f>IF(OR($G448="",$H448=""),"",$H448-$G448)</f>
        <v>0</v>
      </c>
      <c r="J448" s="30"/>
    </row>
    <row r="449" spans="1:10">
      <c r="A449" s="30" t="s">
        <v>161</v>
      </c>
      <c r="B449" s="30" t="s">
        <v>557</v>
      </c>
      <c r="C449" s="30" t="s">
        <v>603</v>
      </c>
      <c r="D449" s="30"/>
      <c r="E449" s="30" t="s">
        <v>558</v>
      </c>
      <c r="F449" s="30" t="s">
        <v>118</v>
      </c>
      <c r="G449" s="31">
        <v>46209</v>
      </c>
      <c r="H449" s="31"/>
      <c r="I449" s="32">
        <f>IF(OR($G449="",$H449=""),"",$H449-$G449)</f>
        <v>0</v>
      </c>
      <c r="J449" s="30"/>
    </row>
    <row r="450" spans="1:10">
      <c r="A450" s="30" t="s">
        <v>161</v>
      </c>
      <c r="B450" s="30" t="s">
        <v>557</v>
      </c>
      <c r="C450" s="30" t="s">
        <v>604</v>
      </c>
      <c r="D450" s="30"/>
      <c r="E450" s="30" t="s">
        <v>558</v>
      </c>
      <c r="F450" s="30" t="s">
        <v>118</v>
      </c>
      <c r="G450" s="31">
        <v>46209</v>
      </c>
      <c r="H450" s="31"/>
      <c r="I450" s="32">
        <f>IF(OR($G450="",$H450=""),"",$H450-$G450)</f>
        <v>0</v>
      </c>
      <c r="J450" s="30"/>
    </row>
    <row r="451" spans="1:10">
      <c r="A451" s="30" t="s">
        <v>161</v>
      </c>
      <c r="B451" s="30" t="s">
        <v>557</v>
      </c>
      <c r="C451" s="30" t="s">
        <v>605</v>
      </c>
      <c r="D451" s="30"/>
      <c r="E451" s="30" t="s">
        <v>558</v>
      </c>
      <c r="F451" s="30" t="s">
        <v>118</v>
      </c>
      <c r="G451" s="31">
        <v>46209</v>
      </c>
      <c r="H451" s="31"/>
      <c r="I451" s="32">
        <f>IF(OR($G451="",$H451=""),"",$H451-$G451)</f>
        <v>0</v>
      </c>
      <c r="J451" s="30"/>
    </row>
    <row r="452" spans="1:10">
      <c r="A452" s="30" t="s">
        <v>161</v>
      </c>
      <c r="B452" s="30" t="s">
        <v>557</v>
      </c>
      <c r="C452" s="30" t="s">
        <v>606</v>
      </c>
      <c r="D452" s="30"/>
      <c r="E452" s="30" t="s">
        <v>558</v>
      </c>
      <c r="F452" s="30" t="s">
        <v>118</v>
      </c>
      <c r="G452" s="31">
        <v>46209</v>
      </c>
      <c r="H452" s="31"/>
      <c r="I452" s="32">
        <f>IF(OR($G452="",$H452=""),"",$H452-$G452)</f>
        <v>0</v>
      </c>
      <c r="J452" s="30"/>
    </row>
    <row r="453" spans="1:10">
      <c r="A453" s="30" t="s">
        <v>161</v>
      </c>
      <c r="B453" s="30" t="s">
        <v>557</v>
      </c>
      <c r="C453" s="30" t="s">
        <v>607</v>
      </c>
      <c r="D453" s="30"/>
      <c r="E453" s="30" t="s">
        <v>558</v>
      </c>
      <c r="F453" s="30" t="s">
        <v>118</v>
      </c>
      <c r="G453" s="31">
        <v>46209</v>
      </c>
      <c r="H453" s="31"/>
      <c r="I453" s="32">
        <f>IF(OR($G453="",$H453=""),"",$H453-$G453)</f>
        <v>0</v>
      </c>
      <c r="J453" s="30"/>
    </row>
    <row r="454" spans="1:10">
      <c r="A454" s="30" t="s">
        <v>161</v>
      </c>
      <c r="B454" s="30" t="s">
        <v>557</v>
      </c>
      <c r="C454" s="30" t="s">
        <v>608</v>
      </c>
      <c r="D454" s="30"/>
      <c r="E454" s="30" t="s">
        <v>558</v>
      </c>
      <c r="F454" s="30" t="s">
        <v>118</v>
      </c>
      <c r="G454" s="31">
        <v>46209</v>
      </c>
      <c r="H454" s="31"/>
      <c r="I454" s="32">
        <f>IF(OR($G454="",$H454=""),"",$H454-$G454)</f>
        <v>0</v>
      </c>
      <c r="J454" s="30"/>
    </row>
    <row r="455" spans="1:10">
      <c r="A455" s="30" t="s">
        <v>161</v>
      </c>
      <c r="B455" s="30" t="s">
        <v>557</v>
      </c>
      <c r="C455" s="30" t="s">
        <v>609</v>
      </c>
      <c r="D455" s="30"/>
      <c r="E455" s="30" t="s">
        <v>558</v>
      </c>
      <c r="F455" s="30" t="s">
        <v>118</v>
      </c>
      <c r="G455" s="31">
        <v>46209</v>
      </c>
      <c r="H455" s="31"/>
      <c r="I455" s="32">
        <f>IF(OR($G455="",$H455=""),"",$H455-$G455)</f>
        <v>0</v>
      </c>
      <c r="J455" s="30"/>
    </row>
    <row r="456" spans="1:10">
      <c r="A456" s="30" t="s">
        <v>161</v>
      </c>
      <c r="B456" s="30" t="s">
        <v>557</v>
      </c>
      <c r="C456" s="30" t="s">
        <v>610</v>
      </c>
      <c r="D456" s="30"/>
      <c r="E456" s="30" t="s">
        <v>558</v>
      </c>
      <c r="F456" s="30" t="s">
        <v>118</v>
      </c>
      <c r="G456" s="31">
        <v>46209</v>
      </c>
      <c r="H456" s="31"/>
      <c r="I456" s="32">
        <f>IF(OR($G456="",$H456=""),"",$H456-$G456)</f>
        <v>0</v>
      </c>
      <c r="J456" s="30"/>
    </row>
    <row r="457" spans="1:10">
      <c r="A457" s="30" t="s">
        <v>161</v>
      </c>
      <c r="B457" s="30" t="s">
        <v>557</v>
      </c>
      <c r="C457" s="30" t="s">
        <v>611</v>
      </c>
      <c r="D457" s="30"/>
      <c r="E457" s="30" t="s">
        <v>558</v>
      </c>
      <c r="F457" s="30" t="s">
        <v>118</v>
      </c>
      <c r="G457" s="31">
        <v>46209</v>
      </c>
      <c r="H457" s="31"/>
      <c r="I457" s="32">
        <f>IF(OR($G457="",$H457=""),"",$H457-$G457)</f>
        <v>0</v>
      </c>
      <c r="J457" s="30"/>
    </row>
    <row r="458" spans="1:10">
      <c r="A458" s="30" t="s">
        <v>161</v>
      </c>
      <c r="B458" s="30" t="s">
        <v>557</v>
      </c>
      <c r="C458" s="30" t="s">
        <v>612</v>
      </c>
      <c r="D458" s="30"/>
      <c r="E458" s="30" t="s">
        <v>558</v>
      </c>
      <c r="F458" s="30" t="s">
        <v>118</v>
      </c>
      <c r="G458" s="31">
        <v>46209</v>
      </c>
      <c r="H458" s="31"/>
      <c r="I458" s="32">
        <f>IF(OR($G458="",$H458=""),"",$H458-$G458)</f>
        <v>0</v>
      </c>
      <c r="J458" s="30"/>
    </row>
    <row r="459" spans="1:10">
      <c r="A459" s="30" t="s">
        <v>161</v>
      </c>
      <c r="B459" s="30" t="s">
        <v>557</v>
      </c>
      <c r="C459" s="30" t="s">
        <v>613</v>
      </c>
      <c r="D459" s="30"/>
      <c r="E459" s="30" t="s">
        <v>558</v>
      </c>
      <c r="F459" s="30" t="s">
        <v>118</v>
      </c>
      <c r="G459" s="31">
        <v>46209</v>
      </c>
      <c r="H459" s="31"/>
      <c r="I459" s="32">
        <f>IF(OR($G459="",$H459=""),"",$H459-$G459)</f>
        <v>0</v>
      </c>
      <c r="J459" s="30"/>
    </row>
    <row r="460" spans="1:10">
      <c r="A460" s="30" t="s">
        <v>161</v>
      </c>
      <c r="B460" s="30" t="s">
        <v>557</v>
      </c>
      <c r="C460" s="30" t="s">
        <v>614</v>
      </c>
      <c r="D460" s="30"/>
      <c r="E460" s="30" t="s">
        <v>558</v>
      </c>
      <c r="F460" s="30" t="s">
        <v>118</v>
      </c>
      <c r="G460" s="31">
        <v>46209</v>
      </c>
      <c r="H460" s="31"/>
      <c r="I460" s="32">
        <f>IF(OR($G460="",$H460=""),"",$H460-$G460)</f>
        <v>0</v>
      </c>
      <c r="J460" s="30"/>
    </row>
    <row r="461" spans="1:10">
      <c r="A461" s="30" t="s">
        <v>161</v>
      </c>
      <c r="B461" s="30" t="s">
        <v>557</v>
      </c>
      <c r="C461" s="30" t="s">
        <v>615</v>
      </c>
      <c r="D461" s="30"/>
      <c r="E461" s="30" t="s">
        <v>558</v>
      </c>
      <c r="F461" s="30" t="s">
        <v>118</v>
      </c>
      <c r="G461" s="31">
        <v>46209</v>
      </c>
      <c r="H461" s="31"/>
      <c r="I461" s="32">
        <f>IF(OR($G461="",$H461=""),"",$H461-$G461)</f>
        <v>0</v>
      </c>
      <c r="J461" s="30"/>
    </row>
    <row r="462" spans="1:10">
      <c r="A462" s="30" t="s">
        <v>161</v>
      </c>
      <c r="B462" s="30" t="s">
        <v>557</v>
      </c>
      <c r="C462" s="30" t="s">
        <v>616</v>
      </c>
      <c r="D462" s="30"/>
      <c r="E462" s="30" t="s">
        <v>558</v>
      </c>
      <c r="F462" s="30" t="s">
        <v>118</v>
      </c>
      <c r="G462" s="31">
        <v>46209</v>
      </c>
      <c r="H462" s="31"/>
      <c r="I462" s="32">
        <f>IF(OR($G462="",$H462=""),"",$H462-$G462)</f>
        <v>0</v>
      </c>
      <c r="J462" s="30"/>
    </row>
    <row r="463" spans="1:10">
      <c r="A463" s="30" t="s">
        <v>161</v>
      </c>
      <c r="B463" s="30" t="s">
        <v>557</v>
      </c>
      <c r="C463" s="30" t="s">
        <v>617</v>
      </c>
      <c r="D463" s="30"/>
      <c r="E463" s="30" t="s">
        <v>558</v>
      </c>
      <c r="F463" s="30" t="s">
        <v>118</v>
      </c>
      <c r="G463" s="31">
        <v>46209</v>
      </c>
      <c r="H463" s="31"/>
      <c r="I463" s="32">
        <f>IF(OR($G463="",$H463=""),"",$H463-$G463)</f>
        <v>0</v>
      </c>
      <c r="J463" s="30"/>
    </row>
    <row r="464" spans="1:10">
      <c r="A464" s="30" t="s">
        <v>161</v>
      </c>
      <c r="B464" s="30" t="s">
        <v>557</v>
      </c>
      <c r="C464" s="30" t="s">
        <v>618</v>
      </c>
      <c r="D464" s="30"/>
      <c r="E464" s="30" t="s">
        <v>558</v>
      </c>
      <c r="F464" s="30" t="s">
        <v>118</v>
      </c>
      <c r="G464" s="31">
        <v>46209</v>
      </c>
      <c r="H464" s="31"/>
      <c r="I464" s="32">
        <f>IF(OR($G464="",$H464=""),"",$H464-$G464)</f>
        <v>0</v>
      </c>
      <c r="J464" s="30"/>
    </row>
    <row r="465" spans="1:10">
      <c r="A465" s="30" t="s">
        <v>161</v>
      </c>
      <c r="B465" s="30" t="s">
        <v>557</v>
      </c>
      <c r="C465" s="30" t="s">
        <v>619</v>
      </c>
      <c r="D465" s="30"/>
      <c r="E465" s="30" t="s">
        <v>558</v>
      </c>
      <c r="F465" s="30" t="s">
        <v>118</v>
      </c>
      <c r="G465" s="31">
        <v>46209</v>
      </c>
      <c r="H465" s="31"/>
      <c r="I465" s="32">
        <f>IF(OR($G465="",$H465=""),"",$H465-$G465)</f>
        <v>0</v>
      </c>
      <c r="J465" s="30"/>
    </row>
    <row r="466" spans="1:10">
      <c r="A466" s="30" t="s">
        <v>161</v>
      </c>
      <c r="B466" s="30" t="s">
        <v>557</v>
      </c>
      <c r="C466" s="30" t="s">
        <v>620</v>
      </c>
      <c r="D466" s="30"/>
      <c r="E466" s="30" t="s">
        <v>558</v>
      </c>
      <c r="F466" s="30" t="s">
        <v>118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161</v>
      </c>
      <c r="B467" s="30" t="s">
        <v>557</v>
      </c>
      <c r="C467" s="30" t="s">
        <v>621</v>
      </c>
      <c r="D467" s="30"/>
      <c r="E467" s="30" t="s">
        <v>558</v>
      </c>
      <c r="F467" s="30" t="s">
        <v>118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161</v>
      </c>
      <c r="B468" s="30" t="s">
        <v>557</v>
      </c>
      <c r="C468" s="30" t="s">
        <v>622</v>
      </c>
      <c r="D468" s="30"/>
      <c r="E468" s="30" t="s">
        <v>558</v>
      </c>
      <c r="F468" s="30" t="s">
        <v>118</v>
      </c>
      <c r="G468" s="31">
        <v>46180</v>
      </c>
      <c r="H468" s="31"/>
      <c r="I468" s="32">
        <f>IF(OR($G468="",$H468=""),"",$H468-$G468)</f>
        <v>0</v>
      </c>
      <c r="J468" s="30"/>
    </row>
    <row r="469" spans="1:10">
      <c r="A469" s="30" t="s">
        <v>51</v>
      </c>
      <c r="B469" s="30" t="s">
        <v>623</v>
      </c>
      <c r="C469" s="30" t="s">
        <v>624</v>
      </c>
      <c r="D469" s="30"/>
      <c r="E469" s="30" t="s">
        <v>168</v>
      </c>
      <c r="F469" s="30" t="s">
        <v>56</v>
      </c>
      <c r="G469" s="31">
        <v>46216</v>
      </c>
      <c r="H469" s="31"/>
      <c r="I469" s="32">
        <f>IF(OR($G469="",$H469=""),"",$H469-$G469)</f>
        <v>0</v>
      </c>
      <c r="J469" s="30" t="s">
        <v>625</v>
      </c>
    </row>
    <row r="470" spans="1:10">
      <c r="A470" s="30" t="s">
        <v>51</v>
      </c>
      <c r="B470" s="30" t="s">
        <v>623</v>
      </c>
      <c r="C470" s="30" t="s">
        <v>626</v>
      </c>
      <c r="D470" s="30"/>
      <c r="E470" s="30" t="s">
        <v>168</v>
      </c>
      <c r="F470" s="30" t="s">
        <v>56</v>
      </c>
      <c r="G470" s="31">
        <v>46216</v>
      </c>
      <c r="H470" s="31"/>
      <c r="I470" s="32">
        <f>IF(OR($G470="",$H470=""),"",$H470-$G470)</f>
        <v>0</v>
      </c>
      <c r="J470" s="30"/>
    </row>
    <row r="471" spans="1:10">
      <c r="A471" s="30" t="s">
        <v>51</v>
      </c>
      <c r="B471" s="30" t="s">
        <v>623</v>
      </c>
      <c r="C471" s="30" t="s">
        <v>627</v>
      </c>
      <c r="D471" s="30"/>
      <c r="E471" s="30" t="s">
        <v>168</v>
      </c>
      <c r="F471" s="30" t="s">
        <v>56</v>
      </c>
      <c r="G471" s="31">
        <v>46216</v>
      </c>
      <c r="H471" s="31"/>
      <c r="I471" s="32">
        <f>IF(OR($G471="",$H471=""),"",$H471-$G471)</f>
        <v>0</v>
      </c>
      <c r="J471" s="30"/>
    </row>
    <row r="472" spans="1:10">
      <c r="A472" s="30" t="s">
        <v>51</v>
      </c>
      <c r="B472" s="30" t="s">
        <v>623</v>
      </c>
      <c r="C472" s="30" t="s">
        <v>628</v>
      </c>
      <c r="D472" s="30"/>
      <c r="E472" s="30" t="s">
        <v>168</v>
      </c>
      <c r="F472" s="30" t="s">
        <v>56</v>
      </c>
      <c r="G472" s="31">
        <v>46216</v>
      </c>
      <c r="H472" s="31"/>
      <c r="I472" s="32">
        <f>IF(OR($G472="",$H472=""),"",$H472-$G472)</f>
        <v>0</v>
      </c>
      <c r="J472" s="30"/>
    </row>
    <row r="473" spans="1:10">
      <c r="A473" s="30" t="s">
        <v>51</v>
      </c>
      <c r="B473" s="30" t="s">
        <v>623</v>
      </c>
      <c r="C473" s="30" t="s">
        <v>629</v>
      </c>
      <c r="D473" s="30"/>
      <c r="E473" s="30" t="s">
        <v>168</v>
      </c>
      <c r="F473" s="30" t="s">
        <v>56</v>
      </c>
      <c r="G473" s="31">
        <v>46216</v>
      </c>
      <c r="H473" s="31"/>
      <c r="I473" s="32">
        <f>IF(OR($G473="",$H473=""),"",$H473-$G473)</f>
        <v>0</v>
      </c>
      <c r="J473" s="30"/>
    </row>
    <row r="474" spans="1:10">
      <c r="A474" s="30" t="s">
        <v>51</v>
      </c>
      <c r="B474" s="30" t="s">
        <v>623</v>
      </c>
      <c r="C474" s="30" t="s">
        <v>630</v>
      </c>
      <c r="D474" s="30"/>
      <c r="E474" s="30" t="s">
        <v>168</v>
      </c>
      <c r="F474" s="30" t="s">
        <v>56</v>
      </c>
      <c r="G474" s="31">
        <v>46216</v>
      </c>
      <c r="H474" s="31"/>
      <c r="I474" s="32">
        <f>IF(OR($G474="",$H474=""),"",$H474-$G474)</f>
        <v>0</v>
      </c>
      <c r="J474" s="30"/>
    </row>
    <row r="475" spans="1:10">
      <c r="A475" s="30" t="s">
        <v>51</v>
      </c>
      <c r="B475" s="30" t="s">
        <v>631</v>
      </c>
      <c r="C475" s="30" t="s">
        <v>632</v>
      </c>
      <c r="D475" s="30"/>
      <c r="E475" s="30" t="s">
        <v>168</v>
      </c>
      <c r="F475" s="30" t="s">
        <v>56</v>
      </c>
      <c r="G475" s="31">
        <v>46216</v>
      </c>
      <c r="H475" s="31"/>
      <c r="I475" s="32">
        <f>IF(OR($G475="",$H475=""),"",$H475-$G475)</f>
        <v>0</v>
      </c>
      <c r="J475" s="30"/>
    </row>
    <row r="476" spans="1:10">
      <c r="A476" s="30" t="s">
        <v>51</v>
      </c>
      <c r="B476" s="30" t="s">
        <v>623</v>
      </c>
      <c r="C476" s="30" t="s">
        <v>633</v>
      </c>
      <c r="D476" s="30"/>
      <c r="E476" s="30" t="s">
        <v>168</v>
      </c>
      <c r="F476" s="30" t="s">
        <v>56</v>
      </c>
      <c r="G476" s="31">
        <v>46216</v>
      </c>
      <c r="H476" s="31"/>
      <c r="I476" s="32">
        <f>IF(OR($G476="",$H476=""),"",$H476-$G476)</f>
        <v>0</v>
      </c>
      <c r="J476" s="30"/>
    </row>
    <row r="477" spans="1:10">
      <c r="A477" s="30" t="s">
        <v>51</v>
      </c>
      <c r="B477" s="30" t="s">
        <v>623</v>
      </c>
      <c r="C477" s="30" t="s">
        <v>634</v>
      </c>
      <c r="D477" s="30"/>
      <c r="E477" s="30" t="s">
        <v>168</v>
      </c>
      <c r="F477" s="30" t="s">
        <v>56</v>
      </c>
      <c r="G477" s="31">
        <v>46216</v>
      </c>
      <c r="H477" s="31"/>
      <c r="I477" s="32">
        <f>IF(OR($G477="",$H477=""),"",$H477-$G477)</f>
        <v>0</v>
      </c>
      <c r="J477" s="30"/>
    </row>
    <row r="478" spans="1:10">
      <c r="A478" s="30" t="s">
        <v>51</v>
      </c>
      <c r="B478" s="30" t="s">
        <v>631</v>
      </c>
      <c r="C478" s="30" t="s">
        <v>635</v>
      </c>
      <c r="D478" s="30"/>
      <c r="E478" s="30" t="s">
        <v>168</v>
      </c>
      <c r="F478" s="30" t="s">
        <v>56</v>
      </c>
      <c r="G478" s="31">
        <v>46216</v>
      </c>
      <c r="H478" s="31"/>
      <c r="I478" s="32">
        <f>IF(OR($G478="",$H478=""),"",$H478-$G478)</f>
        <v>0</v>
      </c>
      <c r="J478" s="30"/>
    </row>
    <row r="479" spans="1:10">
      <c r="A479" s="30" t="s">
        <v>51</v>
      </c>
      <c r="B479" s="30" t="s">
        <v>631</v>
      </c>
      <c r="C479" s="30" t="s">
        <v>636</v>
      </c>
      <c r="D479" s="30"/>
      <c r="E479" s="30" t="s">
        <v>168</v>
      </c>
      <c r="F479" s="30" t="s">
        <v>56</v>
      </c>
      <c r="G479" s="31">
        <v>46216</v>
      </c>
      <c r="H479" s="31"/>
      <c r="I479" s="32">
        <f>IF(OR($G479="",$H479=""),"",$H479-$G479)</f>
        <v>0</v>
      </c>
      <c r="J479" s="30"/>
    </row>
    <row r="480" spans="1:10">
      <c r="A480" s="30" t="s">
        <v>51</v>
      </c>
      <c r="B480" s="30" t="s">
        <v>631</v>
      </c>
      <c r="C480" s="30" t="s">
        <v>637</v>
      </c>
      <c r="D480" s="30"/>
      <c r="E480" s="30" t="s">
        <v>168</v>
      </c>
      <c r="F480" s="30" t="s">
        <v>56</v>
      </c>
      <c r="G480" s="31">
        <v>46216</v>
      </c>
      <c r="H480" s="31"/>
      <c r="I480" s="32">
        <f>IF(OR($G480="",$H480=""),"",$H480-$G480)</f>
        <v>0</v>
      </c>
      <c r="J480" s="30"/>
    </row>
    <row r="481" spans="1:10">
      <c r="A481" s="30" t="s">
        <v>51</v>
      </c>
      <c r="B481" s="30" t="s">
        <v>631</v>
      </c>
      <c r="C481" s="30" t="s">
        <v>638</v>
      </c>
      <c r="D481" s="30"/>
      <c r="E481" s="30" t="s">
        <v>168</v>
      </c>
      <c r="F481" s="30" t="s">
        <v>56</v>
      </c>
      <c r="G481" s="31">
        <v>46216</v>
      </c>
      <c r="H481" s="31"/>
      <c r="I481" s="32">
        <f>IF(OR($G481="",$H481=""),"",$H481-$G481)</f>
        <v>0</v>
      </c>
      <c r="J481" s="30"/>
    </row>
    <row r="482" spans="1:10">
      <c r="A482" s="30" t="s">
        <v>51</v>
      </c>
      <c r="B482" s="30" t="s">
        <v>631</v>
      </c>
      <c r="C482" s="30" t="s">
        <v>639</v>
      </c>
      <c r="D482" s="30"/>
      <c r="E482" s="30" t="s">
        <v>168</v>
      </c>
      <c r="F482" s="30" t="s">
        <v>56</v>
      </c>
      <c r="G482" s="31">
        <v>46216</v>
      </c>
      <c r="H482" s="31"/>
      <c r="I482" s="32">
        <f>IF(OR($G482="",$H482=""),"",$H482-$G482)</f>
        <v>0</v>
      </c>
      <c r="J482" s="30"/>
    </row>
    <row r="483" spans="1:10">
      <c r="A483" s="30" t="s">
        <v>51</v>
      </c>
      <c r="B483" s="30" t="s">
        <v>631</v>
      </c>
      <c r="C483" s="30" t="s">
        <v>640</v>
      </c>
      <c r="D483" s="30"/>
      <c r="E483" s="30" t="s">
        <v>168</v>
      </c>
      <c r="F483" s="30" t="s">
        <v>56</v>
      </c>
      <c r="G483" s="31">
        <v>46216</v>
      </c>
      <c r="H483" s="31"/>
      <c r="I483" s="32">
        <f>IF(OR($G483="",$H483=""),"",$H483-$G483)</f>
        <v>0</v>
      </c>
      <c r="J483" s="30"/>
    </row>
    <row r="484" spans="1:10">
      <c r="A484" s="30" t="s">
        <v>51</v>
      </c>
      <c r="B484" s="30" t="s">
        <v>631</v>
      </c>
      <c r="C484" s="30" t="s">
        <v>641</v>
      </c>
      <c r="D484" s="30"/>
      <c r="E484" s="30" t="s">
        <v>168</v>
      </c>
      <c r="F484" s="30" t="s">
        <v>56</v>
      </c>
      <c r="G484" s="31">
        <v>46216</v>
      </c>
      <c r="H484" s="31"/>
      <c r="I484" s="32">
        <f>IF(OR($G484="",$H484=""),"",$H484-$G484)</f>
        <v>0</v>
      </c>
      <c r="J484" s="30"/>
    </row>
    <row r="485" spans="1:10">
      <c r="A485" s="30" t="s">
        <v>51</v>
      </c>
      <c r="B485" s="30" t="s">
        <v>631</v>
      </c>
      <c r="C485" s="30" t="s">
        <v>642</v>
      </c>
      <c r="D485" s="30"/>
      <c r="E485" s="30" t="s">
        <v>168</v>
      </c>
      <c r="F485" s="30" t="s">
        <v>56</v>
      </c>
      <c r="G485" s="31">
        <v>46216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631</v>
      </c>
      <c r="C486" s="30" t="s">
        <v>643</v>
      </c>
      <c r="D486" s="30"/>
      <c r="E486" s="30" t="s">
        <v>168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/>
    </row>
    <row r="487" spans="1:10">
      <c r="A487" s="30" t="s">
        <v>51</v>
      </c>
      <c r="B487" s="30" t="s">
        <v>631</v>
      </c>
      <c r="C487" s="30" t="s">
        <v>644</v>
      </c>
      <c r="D487" s="30"/>
      <c r="E487" s="30" t="s">
        <v>168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623</v>
      </c>
      <c r="C488" s="30" t="s">
        <v>645</v>
      </c>
      <c r="D488" s="30"/>
      <c r="E488" s="30" t="s">
        <v>168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623</v>
      </c>
      <c r="C489" s="30" t="s">
        <v>646</v>
      </c>
      <c r="D489" s="30"/>
      <c r="E489" s="30" t="s">
        <v>168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623</v>
      </c>
      <c r="C490" s="30" t="s">
        <v>647</v>
      </c>
      <c r="D490" s="30"/>
      <c r="E490" s="30" t="s">
        <v>168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623</v>
      </c>
      <c r="C491" s="30" t="s">
        <v>648</v>
      </c>
      <c r="D491" s="30"/>
      <c r="E491" s="30" t="s">
        <v>168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649</v>
      </c>
      <c r="C492" s="30" t="s">
        <v>650</v>
      </c>
      <c r="D492" s="30"/>
      <c r="E492" s="30" t="s">
        <v>168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651</v>
      </c>
      <c r="B493" s="30" t="s">
        <v>652</v>
      </c>
      <c r="C493" s="30" t="s">
        <v>653</v>
      </c>
      <c r="D493" s="30"/>
      <c r="E493" s="30" t="s">
        <v>654</v>
      </c>
      <c r="F493" s="30" t="s">
        <v>118</v>
      </c>
      <c r="G493" s="31">
        <v>46211</v>
      </c>
      <c r="H493" s="31"/>
      <c r="I493" s="32">
        <f>IF(OR($G493="",$H493=""),"",$H493-$G493)</f>
        <v>0</v>
      </c>
      <c r="J493" s="30"/>
    </row>
    <row r="494" spans="1:10">
      <c r="A494" s="30" t="s">
        <v>651</v>
      </c>
      <c r="B494" s="30" t="s">
        <v>652</v>
      </c>
      <c r="C494" s="30" t="s">
        <v>655</v>
      </c>
      <c r="D494" s="30"/>
      <c r="E494" s="30" t="s">
        <v>654</v>
      </c>
      <c r="F494" s="30" t="s">
        <v>118</v>
      </c>
      <c r="G494" s="31">
        <v>46211</v>
      </c>
      <c r="H494" s="31"/>
      <c r="I494" s="32">
        <f>IF(OR($G494="",$H494=""),"",$H494-$G494)</f>
        <v>0</v>
      </c>
      <c r="J494" s="30"/>
    </row>
    <row r="495" spans="1:10">
      <c r="A495" s="30" t="s">
        <v>651</v>
      </c>
      <c r="B495" s="30" t="s">
        <v>652</v>
      </c>
      <c r="C495" s="30" t="s">
        <v>656</v>
      </c>
      <c r="D495" s="30"/>
      <c r="E495" s="30" t="s">
        <v>654</v>
      </c>
      <c r="F495" s="30" t="s">
        <v>118</v>
      </c>
      <c r="G495" s="31">
        <v>46211</v>
      </c>
      <c r="H495" s="31"/>
      <c r="I495" s="32">
        <f>IF(OR($G495="",$H495=""),"",$H495-$G495)</f>
        <v>0</v>
      </c>
      <c r="J495" s="30"/>
    </row>
    <row r="496" spans="1:10">
      <c r="A496" s="30" t="s">
        <v>651</v>
      </c>
      <c r="B496" s="30" t="s">
        <v>652</v>
      </c>
      <c r="C496" s="30" t="s">
        <v>657</v>
      </c>
      <c r="D496" s="30"/>
      <c r="E496" s="30" t="s">
        <v>654</v>
      </c>
      <c r="F496" s="30" t="s">
        <v>118</v>
      </c>
      <c r="G496" s="31">
        <v>46211</v>
      </c>
      <c r="H496" s="31"/>
      <c r="I496" s="32">
        <f>IF(OR($G496="",$H496=""),"",$H496-$G496)</f>
        <v>0</v>
      </c>
      <c r="J496" s="30"/>
    </row>
    <row r="497" spans="1:10">
      <c r="A497" s="30" t="s">
        <v>651</v>
      </c>
      <c r="B497" s="30" t="s">
        <v>652</v>
      </c>
      <c r="C497" s="30" t="s">
        <v>658</v>
      </c>
      <c r="D497" s="30"/>
      <c r="E497" s="30" t="s">
        <v>654</v>
      </c>
      <c r="F497" s="30" t="s">
        <v>118</v>
      </c>
      <c r="G497" s="31">
        <v>46211</v>
      </c>
      <c r="H497" s="31"/>
      <c r="I497" s="32">
        <f>IF(OR($G497="",$H497=""),"",$H497-$G497)</f>
        <v>0</v>
      </c>
      <c r="J497" s="30"/>
    </row>
    <row r="498" spans="1:10">
      <c r="A498" s="30" t="s">
        <v>651</v>
      </c>
      <c r="B498" s="30" t="s">
        <v>652</v>
      </c>
      <c r="C498" s="30" t="s">
        <v>659</v>
      </c>
      <c r="D498" s="30"/>
      <c r="E498" s="30" t="s">
        <v>654</v>
      </c>
      <c r="F498" s="30" t="s">
        <v>118</v>
      </c>
      <c r="G498" s="31">
        <v>46211</v>
      </c>
      <c r="H498" s="31"/>
      <c r="I498" s="32">
        <f>IF(OR($G498="",$H498=""),"",$H498-$G498)</f>
        <v>0</v>
      </c>
      <c r="J498" s="30"/>
    </row>
    <row r="499" spans="1:10">
      <c r="A499" s="30" t="s">
        <v>651</v>
      </c>
      <c r="B499" s="30" t="s">
        <v>652</v>
      </c>
      <c r="C499" s="30" t="s">
        <v>660</v>
      </c>
      <c r="D499" s="30"/>
      <c r="E499" s="30" t="s">
        <v>654</v>
      </c>
      <c r="F499" s="30" t="s">
        <v>118</v>
      </c>
      <c r="G499" s="31">
        <v>46211</v>
      </c>
      <c r="H499" s="31"/>
      <c r="I499" s="32">
        <f>IF(OR($G499="",$H499=""),"",$H499-$G499)</f>
        <v>0</v>
      </c>
      <c r="J499" s="30"/>
    </row>
    <row r="500" spans="1:10">
      <c r="A500" s="30" t="s">
        <v>651</v>
      </c>
      <c r="B500" s="30" t="s">
        <v>652</v>
      </c>
      <c r="C500" s="30" t="s">
        <v>661</v>
      </c>
      <c r="D500" s="30"/>
      <c r="E500" s="30" t="s">
        <v>654</v>
      </c>
      <c r="F500" s="30" t="s">
        <v>118</v>
      </c>
      <c r="G500" s="31">
        <v>46211</v>
      </c>
      <c r="H500" s="31"/>
      <c r="I500" s="32">
        <f>IF(OR($G500="",$H500=""),"",$H500-$G500)</f>
        <v>0</v>
      </c>
      <c r="J500" s="30"/>
    </row>
    <row r="501" spans="1:10">
      <c r="A501" s="30" t="s">
        <v>651</v>
      </c>
      <c r="B501" s="30" t="s">
        <v>652</v>
      </c>
      <c r="C501" s="30" t="s">
        <v>662</v>
      </c>
      <c r="D501" s="30"/>
      <c r="E501" s="30" t="s">
        <v>654</v>
      </c>
      <c r="F501" s="30" t="s">
        <v>118</v>
      </c>
      <c r="G501" s="31">
        <v>46211</v>
      </c>
      <c r="H501" s="31"/>
      <c r="I501" s="32">
        <f>IF(OR($G501="",$H501=""),"",$H501-$G501)</f>
        <v>0</v>
      </c>
      <c r="J501" s="30"/>
    </row>
    <row r="502" spans="1:10">
      <c r="A502" s="30" t="s">
        <v>651</v>
      </c>
      <c r="B502" s="30" t="s">
        <v>652</v>
      </c>
      <c r="C502" s="30" t="s">
        <v>663</v>
      </c>
      <c r="D502" s="30"/>
      <c r="E502" s="30" t="s">
        <v>654</v>
      </c>
      <c r="F502" s="30" t="s">
        <v>118</v>
      </c>
      <c r="G502" s="31">
        <v>46211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255</v>
      </c>
      <c r="C503" s="30" t="s">
        <v>664</v>
      </c>
      <c r="D503" s="30"/>
      <c r="E503" s="30" t="s">
        <v>168</v>
      </c>
      <c r="F503" s="30" t="s">
        <v>118</v>
      </c>
      <c r="G503" s="31">
        <v>46211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255</v>
      </c>
      <c r="C504" s="30" t="s">
        <v>665</v>
      </c>
      <c r="D504" s="30"/>
      <c r="E504" s="30" t="s">
        <v>168</v>
      </c>
      <c r="F504" s="30" t="s">
        <v>118</v>
      </c>
      <c r="G504" s="31">
        <v>46211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255</v>
      </c>
      <c r="C505" s="30" t="s">
        <v>666</v>
      </c>
      <c r="D505" s="30"/>
      <c r="E505" s="30" t="s">
        <v>168</v>
      </c>
      <c r="F505" s="30" t="s">
        <v>118</v>
      </c>
      <c r="G505" s="31">
        <v>46211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255</v>
      </c>
      <c r="C506" s="30" t="s">
        <v>667</v>
      </c>
      <c r="D506" s="30"/>
      <c r="E506" s="30" t="s">
        <v>168</v>
      </c>
      <c r="F506" s="30" t="s">
        <v>118</v>
      </c>
      <c r="G506" s="31">
        <v>46211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255</v>
      </c>
      <c r="C507" s="30" t="s">
        <v>668</v>
      </c>
      <c r="D507" s="30"/>
      <c r="E507" s="30" t="s">
        <v>168</v>
      </c>
      <c r="F507" s="30" t="s">
        <v>118</v>
      </c>
      <c r="G507" s="31">
        <v>46211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255</v>
      </c>
      <c r="C508" s="30" t="s">
        <v>669</v>
      </c>
      <c r="D508" s="30"/>
      <c r="E508" s="30" t="s">
        <v>168</v>
      </c>
      <c r="F508" s="30" t="s">
        <v>118</v>
      </c>
      <c r="G508" s="31">
        <v>46211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255</v>
      </c>
      <c r="C509" s="30" t="s">
        <v>670</v>
      </c>
      <c r="D509" s="30"/>
      <c r="E509" s="30" t="s">
        <v>168</v>
      </c>
      <c r="F509" s="30" t="s">
        <v>118</v>
      </c>
      <c r="G509" s="31">
        <v>46211</v>
      </c>
      <c r="H509" s="31"/>
      <c r="I509" s="32">
        <f>IF(OR($G509="",$H509=""),"",$H509-$G509)</f>
        <v>0</v>
      </c>
      <c r="J509" s="30"/>
    </row>
    <row r="510" spans="1:10">
      <c r="A510" s="30" t="s">
        <v>51</v>
      </c>
      <c r="B510" s="30" t="s">
        <v>671</v>
      </c>
      <c r="C510" s="30" t="s">
        <v>672</v>
      </c>
      <c r="D510" s="30"/>
      <c r="E510" s="30" t="s">
        <v>257</v>
      </c>
      <c r="F510" s="30" t="s">
        <v>30</v>
      </c>
      <c r="G510" s="31">
        <v>46212</v>
      </c>
      <c r="H510" s="31"/>
      <c r="I510" s="32">
        <f>IF(OR($G510="",$H510=""),"",$H510-$G510)</f>
        <v>0</v>
      </c>
      <c r="J510" s="30"/>
    </row>
    <row r="511" spans="1:10">
      <c r="A511" s="30" t="s">
        <v>51</v>
      </c>
      <c r="B511" s="30" t="s">
        <v>671</v>
      </c>
      <c r="C511" s="30" t="s">
        <v>673</v>
      </c>
      <c r="D511" s="30"/>
      <c r="E511" s="30" t="s">
        <v>257</v>
      </c>
      <c r="F511" s="30" t="s">
        <v>30</v>
      </c>
      <c r="G511" s="31">
        <v>46212</v>
      </c>
      <c r="H511" s="31"/>
      <c r="I511" s="32">
        <f>IF(OR($G511="",$H511=""),"",$H511-$G511)</f>
        <v>0</v>
      </c>
      <c r="J511" s="30"/>
    </row>
    <row r="512" spans="1:10">
      <c r="A512" s="30" t="s">
        <v>51</v>
      </c>
      <c r="B512" s="30" t="s">
        <v>674</v>
      </c>
      <c r="C512" s="30" t="s">
        <v>675</v>
      </c>
      <c r="D512" s="30"/>
      <c r="E512" s="30" t="s">
        <v>257</v>
      </c>
      <c r="F512" s="30" t="s">
        <v>30</v>
      </c>
      <c r="G512" s="31">
        <v>46212</v>
      </c>
      <c r="H512" s="31"/>
      <c r="I512" s="32">
        <f>IF(OR($G512="",$H512=""),"",$H512-$G512)</f>
        <v>0</v>
      </c>
      <c r="J512" s="30"/>
    </row>
    <row r="513" spans="1:10">
      <c r="A513" s="30" t="s">
        <v>51</v>
      </c>
      <c r="B513" s="30" t="s">
        <v>671</v>
      </c>
      <c r="C513" s="30" t="s">
        <v>676</v>
      </c>
      <c r="D513" s="30"/>
      <c r="E513" s="30" t="s">
        <v>257</v>
      </c>
      <c r="F513" s="30" t="s">
        <v>30</v>
      </c>
      <c r="G513" s="31">
        <v>46212</v>
      </c>
      <c r="H513" s="31"/>
      <c r="I513" s="32">
        <f>IF(OR($G513="",$H513=""),"",$H513-$G513)</f>
        <v>0</v>
      </c>
      <c r="J513" s="30"/>
    </row>
    <row r="514" spans="1:10">
      <c r="A514" s="30" t="s">
        <v>51</v>
      </c>
      <c r="B514" s="30" t="s">
        <v>671</v>
      </c>
      <c r="C514" s="30" t="s">
        <v>677</v>
      </c>
      <c r="D514" s="30"/>
      <c r="E514" s="30" t="s">
        <v>257</v>
      </c>
      <c r="F514" s="30" t="s">
        <v>30</v>
      </c>
      <c r="G514" s="31">
        <v>46212</v>
      </c>
      <c r="H514" s="31"/>
      <c r="I514" s="32">
        <f>IF(OR($G514="",$H514=""),"",$H514-$G514)</f>
        <v>0</v>
      </c>
      <c r="J514" s="30"/>
    </row>
    <row r="515" spans="1:10">
      <c r="A515" s="30" t="s">
        <v>51</v>
      </c>
      <c r="B515" s="30" t="s">
        <v>671</v>
      </c>
      <c r="C515" s="30" t="s">
        <v>678</v>
      </c>
      <c r="D515" s="30"/>
      <c r="E515" s="30" t="s">
        <v>257</v>
      </c>
      <c r="F515" s="30" t="s">
        <v>30</v>
      </c>
      <c r="G515" s="31">
        <v>46212</v>
      </c>
      <c r="H515" s="31"/>
      <c r="I515" s="32">
        <f>IF(OR($G515="",$H515=""),"",$H515-$G515)</f>
        <v>0</v>
      </c>
      <c r="J515" s="30"/>
    </row>
    <row r="516" spans="1:10">
      <c r="A516" s="30" t="s">
        <v>51</v>
      </c>
      <c r="B516" s="30" t="s">
        <v>671</v>
      </c>
      <c r="C516" s="30" t="s">
        <v>679</v>
      </c>
      <c r="D516" s="30"/>
      <c r="E516" s="30" t="s">
        <v>257</v>
      </c>
      <c r="F516" s="30" t="s">
        <v>30</v>
      </c>
      <c r="G516" s="31">
        <v>46212</v>
      </c>
      <c r="H516" s="31"/>
      <c r="I516" s="32">
        <f>IF(OR($G516="",$H516=""),"",$H516-$G516)</f>
        <v>0</v>
      </c>
      <c r="J516" s="30"/>
    </row>
    <row r="517" spans="1:10">
      <c r="A517" s="30" t="s">
        <v>51</v>
      </c>
      <c r="B517" s="30" t="s">
        <v>671</v>
      </c>
      <c r="C517" s="30" t="s">
        <v>680</v>
      </c>
      <c r="D517" s="30"/>
      <c r="E517" s="30" t="s">
        <v>257</v>
      </c>
      <c r="F517" s="30" t="s">
        <v>30</v>
      </c>
      <c r="G517" s="31">
        <v>46212</v>
      </c>
      <c r="H517" s="31"/>
      <c r="I517" s="32">
        <f>IF(OR($G517="",$H517=""),"",$H517-$G517)</f>
        <v>0</v>
      </c>
      <c r="J517" s="30"/>
    </row>
    <row r="518" spans="1:10">
      <c r="A518" s="30" t="s">
        <v>51</v>
      </c>
      <c r="B518" s="30" t="s">
        <v>674</v>
      </c>
      <c r="C518" s="30" t="s">
        <v>681</v>
      </c>
      <c r="D518" s="30"/>
      <c r="E518" s="30" t="s">
        <v>257</v>
      </c>
      <c r="F518" s="30" t="s">
        <v>30</v>
      </c>
      <c r="G518" s="31">
        <v>46212</v>
      </c>
      <c r="H518" s="31"/>
      <c r="I518" s="32">
        <f>IF(OR($G518="",$H518=""),"",$H518-$G518)</f>
        <v>0</v>
      </c>
      <c r="J518" s="30"/>
    </row>
    <row r="519" spans="1:10">
      <c r="A519" s="30" t="s">
        <v>51</v>
      </c>
      <c r="B519" s="30" t="s">
        <v>674</v>
      </c>
      <c r="C519" s="30" t="s">
        <v>682</v>
      </c>
      <c r="D519" s="30"/>
      <c r="E519" s="30" t="s">
        <v>257</v>
      </c>
      <c r="F519" s="30" t="s">
        <v>30</v>
      </c>
      <c r="G519" s="31">
        <v>46212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671</v>
      </c>
      <c r="C520" s="30" t="s">
        <v>683</v>
      </c>
      <c r="D520" s="30"/>
      <c r="E520" s="30" t="s">
        <v>257</v>
      </c>
      <c r="F520" s="30" t="s">
        <v>30</v>
      </c>
      <c r="G520" s="31">
        <v>46212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671</v>
      </c>
      <c r="C521" s="30" t="s">
        <v>684</v>
      </c>
      <c r="D521" s="30"/>
      <c r="E521" s="30" t="s">
        <v>257</v>
      </c>
      <c r="F521" s="30" t="s">
        <v>30</v>
      </c>
      <c r="G521" s="31">
        <v>46212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671</v>
      </c>
      <c r="C522" s="30" t="s">
        <v>685</v>
      </c>
      <c r="D522" s="30"/>
      <c r="E522" s="30" t="s">
        <v>257</v>
      </c>
      <c r="F522" s="30" t="s">
        <v>30</v>
      </c>
      <c r="G522" s="31">
        <v>46212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671</v>
      </c>
      <c r="C523" s="30" t="s">
        <v>686</v>
      </c>
      <c r="D523" s="30"/>
      <c r="E523" s="30" t="s">
        <v>257</v>
      </c>
      <c r="F523" s="30" t="s">
        <v>30</v>
      </c>
      <c r="G523" s="31">
        <v>46212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674</v>
      </c>
      <c r="C524" s="30" t="s">
        <v>687</v>
      </c>
      <c r="D524" s="30"/>
      <c r="E524" s="30" t="s">
        <v>257</v>
      </c>
      <c r="F524" s="30" t="s">
        <v>30</v>
      </c>
      <c r="G524" s="31">
        <v>46212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671</v>
      </c>
      <c r="C525" s="30" t="s">
        <v>688</v>
      </c>
      <c r="D525" s="30"/>
      <c r="E525" s="30" t="s">
        <v>257</v>
      </c>
      <c r="F525" s="30" t="s">
        <v>30</v>
      </c>
      <c r="G525" s="31">
        <v>46212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671</v>
      </c>
      <c r="C526" s="30" t="s">
        <v>689</v>
      </c>
      <c r="D526" s="30"/>
      <c r="E526" s="30" t="s">
        <v>257</v>
      </c>
      <c r="F526" s="30" t="s">
        <v>30</v>
      </c>
      <c r="G526" s="31">
        <v>46212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671</v>
      </c>
      <c r="C527" s="30" t="s">
        <v>690</v>
      </c>
      <c r="D527" s="30"/>
      <c r="E527" s="30" t="s">
        <v>257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671</v>
      </c>
      <c r="C528" s="30" t="s">
        <v>691</v>
      </c>
      <c r="D528" s="30"/>
      <c r="E528" s="30" t="s">
        <v>257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671</v>
      </c>
      <c r="C529" s="30" t="s">
        <v>692</v>
      </c>
      <c r="D529" s="30"/>
      <c r="E529" s="30" t="s">
        <v>257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671</v>
      </c>
      <c r="C530" s="30" t="s">
        <v>693</v>
      </c>
      <c r="D530" s="30"/>
      <c r="E530" s="30" t="s">
        <v>257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671</v>
      </c>
      <c r="C531" s="30" t="s">
        <v>694</v>
      </c>
      <c r="D531" s="30"/>
      <c r="E531" s="30" t="s">
        <v>257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671</v>
      </c>
      <c r="C532" s="30" t="s">
        <v>695</v>
      </c>
      <c r="D532" s="30"/>
      <c r="E532" s="30" t="s">
        <v>257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671</v>
      </c>
      <c r="C533" s="30" t="s">
        <v>696</v>
      </c>
      <c r="D533" s="30"/>
      <c r="E533" s="30" t="s">
        <v>257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671</v>
      </c>
      <c r="C534" s="30" t="s">
        <v>697</v>
      </c>
      <c r="D534" s="30"/>
      <c r="E534" s="30" t="s">
        <v>257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674</v>
      </c>
      <c r="C535" s="30" t="s">
        <v>698</v>
      </c>
      <c r="D535" s="30"/>
      <c r="E535" s="30" t="s">
        <v>257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671</v>
      </c>
      <c r="C536" s="30" t="s">
        <v>699</v>
      </c>
      <c r="D536" s="30"/>
      <c r="E536" s="30" t="s">
        <v>257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671</v>
      </c>
      <c r="C537" s="30" t="s">
        <v>700</v>
      </c>
      <c r="D537" s="30"/>
      <c r="E537" s="30" t="s">
        <v>257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671</v>
      </c>
      <c r="C538" s="30" t="s">
        <v>701</v>
      </c>
      <c r="D538" s="30"/>
      <c r="E538" s="30" t="s">
        <v>257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671</v>
      </c>
      <c r="C539" s="30" t="s">
        <v>702</v>
      </c>
      <c r="D539" s="30"/>
      <c r="E539" s="30" t="s">
        <v>257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671</v>
      </c>
      <c r="C540" s="30" t="s">
        <v>703</v>
      </c>
      <c r="D540" s="30"/>
      <c r="E540" s="30" t="s">
        <v>257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671</v>
      </c>
      <c r="C541" s="30" t="s">
        <v>704</v>
      </c>
      <c r="D541" s="30"/>
      <c r="E541" s="30" t="s">
        <v>257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705</v>
      </c>
      <c r="C542" s="30" t="s">
        <v>706</v>
      </c>
      <c r="D542" s="30"/>
      <c r="E542" s="30" t="s">
        <v>257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671</v>
      </c>
      <c r="C543" s="30" t="s">
        <v>707</v>
      </c>
      <c r="D543" s="30"/>
      <c r="E543" s="30" t="s">
        <v>257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671</v>
      </c>
      <c r="C544" s="30" t="s">
        <v>708</v>
      </c>
      <c r="D544" s="30"/>
      <c r="E544" s="30" t="s">
        <v>257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671</v>
      </c>
      <c r="C545" s="30" t="s">
        <v>709</v>
      </c>
      <c r="D545" s="30"/>
      <c r="E545" s="30" t="s">
        <v>257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671</v>
      </c>
      <c r="C546" s="30" t="s">
        <v>710</v>
      </c>
      <c r="D546" s="30"/>
      <c r="E546" s="30" t="s">
        <v>257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705</v>
      </c>
      <c r="C547" s="30" t="s">
        <v>711</v>
      </c>
      <c r="D547" s="30"/>
      <c r="E547" s="30" t="s">
        <v>257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674</v>
      </c>
      <c r="C548" s="30" t="s">
        <v>712</v>
      </c>
      <c r="D548" s="30"/>
      <c r="E548" s="30" t="s">
        <v>257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674</v>
      </c>
      <c r="C549" s="30" t="s">
        <v>713</v>
      </c>
      <c r="D549" s="30"/>
      <c r="E549" s="30" t="s">
        <v>257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61</v>
      </c>
      <c r="B550" s="30" t="s">
        <v>714</v>
      </c>
      <c r="C550" s="30" t="s">
        <v>715</v>
      </c>
      <c r="D550" s="30"/>
      <c r="E550" s="30" t="s">
        <v>716</v>
      </c>
      <c r="F550" s="30" t="s">
        <v>30</v>
      </c>
      <c r="G550" s="31">
        <v>46213</v>
      </c>
      <c r="H550" s="31"/>
      <c r="I550" s="32">
        <f>IF(OR($G550="",$H550=""),"",$H550-$G550)</f>
        <v>0</v>
      </c>
      <c r="J550" s="30"/>
    </row>
    <row r="551" spans="1:10">
      <c r="A551" s="30" t="s">
        <v>61</v>
      </c>
      <c r="B551" s="30" t="s">
        <v>714</v>
      </c>
      <c r="C551" s="30" t="s">
        <v>717</v>
      </c>
      <c r="D551" s="30"/>
      <c r="E551" s="30" t="s">
        <v>716</v>
      </c>
      <c r="F551" s="30" t="s">
        <v>30</v>
      </c>
      <c r="G551" s="31">
        <v>46213</v>
      </c>
      <c r="H551" s="31"/>
      <c r="I551" s="32">
        <f>IF(OR($G551="",$H551=""),"",$H551-$G551)</f>
        <v>0</v>
      </c>
      <c r="J551" s="30"/>
    </row>
    <row r="552" spans="1:10">
      <c r="A552" s="30" t="s">
        <v>61</v>
      </c>
      <c r="B552" s="30" t="s">
        <v>714</v>
      </c>
      <c r="C552" s="30" t="s">
        <v>718</v>
      </c>
      <c r="D552" s="30"/>
      <c r="E552" s="30" t="s">
        <v>716</v>
      </c>
      <c r="F552" s="30" t="s">
        <v>30</v>
      </c>
      <c r="G552" s="31">
        <v>46213</v>
      </c>
      <c r="H552" s="31"/>
      <c r="I552" s="32">
        <f>IF(OR($G552="",$H552=""),"",$H552-$G552)</f>
        <v>0</v>
      </c>
      <c r="J552" s="30"/>
    </row>
    <row r="553" spans="1:10">
      <c r="A553" s="30" t="s">
        <v>61</v>
      </c>
      <c r="B553" s="30" t="s">
        <v>714</v>
      </c>
      <c r="C553" s="30" t="s">
        <v>719</v>
      </c>
      <c r="D553" s="30"/>
      <c r="E553" s="30" t="s">
        <v>716</v>
      </c>
      <c r="F553" s="30" t="s">
        <v>30</v>
      </c>
      <c r="G553" s="31">
        <v>46213</v>
      </c>
      <c r="H553" s="31"/>
      <c r="I553" s="32">
        <f>IF(OR($G553="",$H553=""),"",$H553-$G553)</f>
        <v>0</v>
      </c>
      <c r="J553" s="30"/>
    </row>
    <row r="554" spans="1:10">
      <c r="A554" s="30" t="s">
        <v>61</v>
      </c>
      <c r="B554" s="30" t="s">
        <v>714</v>
      </c>
      <c r="C554" s="30" t="s">
        <v>720</v>
      </c>
      <c r="D554" s="30"/>
      <c r="E554" s="30" t="s">
        <v>716</v>
      </c>
      <c r="F554" s="30" t="s">
        <v>30</v>
      </c>
      <c r="G554" s="31">
        <v>46213</v>
      </c>
      <c r="H554" s="31"/>
      <c r="I554" s="32">
        <f>IF(OR($G554="",$H554=""),"",$H554-$G554)</f>
        <v>0</v>
      </c>
      <c r="J554" s="30"/>
    </row>
    <row r="555" spans="1:10">
      <c r="A555" s="30" t="s">
        <v>61</v>
      </c>
      <c r="B555" s="30" t="s">
        <v>721</v>
      </c>
      <c r="C555" s="30" t="s">
        <v>722</v>
      </c>
      <c r="D555" s="30"/>
      <c r="E555" s="30" t="s">
        <v>716</v>
      </c>
      <c r="F555" s="30" t="s">
        <v>30</v>
      </c>
      <c r="G555" s="31">
        <v>46213</v>
      </c>
      <c r="H555" s="31"/>
      <c r="I555" s="32">
        <f>IF(OR($G555="",$H555=""),"",$H555-$G555)</f>
        <v>0</v>
      </c>
      <c r="J555" s="30"/>
    </row>
    <row r="556" spans="1:10">
      <c r="A556" s="30" t="s">
        <v>61</v>
      </c>
      <c r="B556" s="30" t="s">
        <v>721</v>
      </c>
      <c r="C556" s="30" t="s">
        <v>723</v>
      </c>
      <c r="D556" s="30"/>
      <c r="E556" s="30" t="s">
        <v>716</v>
      </c>
      <c r="F556" s="30" t="s">
        <v>30</v>
      </c>
      <c r="G556" s="31">
        <v>46213</v>
      </c>
      <c r="H556" s="31"/>
      <c r="I556" s="32">
        <f>IF(OR($G556="",$H556=""),"",$H556-$G556)</f>
        <v>0</v>
      </c>
      <c r="J556" s="30"/>
    </row>
    <row r="557" spans="1:10">
      <c r="A557" s="30" t="s">
        <v>61</v>
      </c>
      <c r="B557" s="30" t="s">
        <v>721</v>
      </c>
      <c r="C557" s="30" t="s">
        <v>724</v>
      </c>
      <c r="D557" s="30"/>
      <c r="E557" s="30" t="s">
        <v>716</v>
      </c>
      <c r="F557" s="30" t="s">
        <v>30</v>
      </c>
      <c r="G557" s="31">
        <v>46213</v>
      </c>
      <c r="H557" s="31"/>
      <c r="I557" s="32">
        <f>IF(OR($G557="",$H557=""),"",$H557-$G557)</f>
        <v>0</v>
      </c>
      <c r="J557" s="30"/>
    </row>
    <row r="558" spans="1:10">
      <c r="A558" s="30" t="s">
        <v>61</v>
      </c>
      <c r="B558" s="30" t="s">
        <v>721</v>
      </c>
      <c r="C558" s="30" t="s">
        <v>725</v>
      </c>
      <c r="D558" s="30"/>
      <c r="E558" s="30" t="s">
        <v>716</v>
      </c>
      <c r="F558" s="30" t="s">
        <v>30</v>
      </c>
      <c r="G558" s="31">
        <v>46213</v>
      </c>
      <c r="H558" s="31"/>
      <c r="I558" s="32">
        <f>IF(OR($G558="",$H558=""),"",$H558-$G558)</f>
        <v>0</v>
      </c>
      <c r="J558" s="30"/>
    </row>
    <row r="559" spans="1:10">
      <c r="A559" s="30" t="s">
        <v>61</v>
      </c>
      <c r="B559" s="30" t="s">
        <v>721</v>
      </c>
      <c r="C559" s="30" t="s">
        <v>726</v>
      </c>
      <c r="D559" s="30"/>
      <c r="E559" s="30" t="s">
        <v>716</v>
      </c>
      <c r="F559" s="30" t="s">
        <v>30</v>
      </c>
      <c r="G559" s="31">
        <v>46217</v>
      </c>
      <c r="H559" s="31"/>
      <c r="I559" s="32">
        <f>IF(OR($G559="",$H559=""),"",$H559-$G559)</f>
        <v>0</v>
      </c>
      <c r="J559" s="30"/>
    </row>
    <row r="560" spans="1:10">
      <c r="A560" s="30" t="s">
        <v>61</v>
      </c>
      <c r="B560" s="30" t="s">
        <v>721</v>
      </c>
      <c r="C560" s="30" t="s">
        <v>727</v>
      </c>
      <c r="D560" s="30"/>
      <c r="E560" s="30" t="s">
        <v>716</v>
      </c>
      <c r="F560" s="30" t="s">
        <v>30</v>
      </c>
      <c r="G560" s="31">
        <v>46213</v>
      </c>
      <c r="H560" s="31"/>
      <c r="I560" s="32">
        <f>IF(OR($G560="",$H560=""),"",$H560-$G560)</f>
        <v>0</v>
      </c>
      <c r="J560" s="30"/>
    </row>
    <row r="561" spans="1:10">
      <c r="A561" s="30" t="s">
        <v>61</v>
      </c>
      <c r="B561" s="30" t="s">
        <v>721</v>
      </c>
      <c r="C561" s="30" t="s">
        <v>728</v>
      </c>
      <c r="D561" s="30"/>
      <c r="E561" s="30" t="s">
        <v>716</v>
      </c>
      <c r="F561" s="30" t="s">
        <v>30</v>
      </c>
      <c r="G561" s="31">
        <v>46213</v>
      </c>
      <c r="H561" s="31"/>
      <c r="I561" s="32">
        <f>IF(OR($G561="",$H561=""),"",$H561-$G561)</f>
        <v>0</v>
      </c>
      <c r="J561" s="30"/>
    </row>
    <row r="562" spans="1:10">
      <c r="A562" s="30" t="s">
        <v>61</v>
      </c>
      <c r="B562" s="30" t="s">
        <v>721</v>
      </c>
      <c r="C562" s="30" t="s">
        <v>729</v>
      </c>
      <c r="D562" s="30"/>
      <c r="E562" s="30" t="s">
        <v>716</v>
      </c>
      <c r="F562" s="30" t="s">
        <v>30</v>
      </c>
      <c r="G562" s="31">
        <v>46213</v>
      </c>
      <c r="H562" s="31"/>
      <c r="I562" s="32">
        <f>IF(OR($G562="",$H562=""),"",$H562-$G562)</f>
        <v>0</v>
      </c>
      <c r="J562" s="30"/>
    </row>
    <row r="563" spans="1:10">
      <c r="A563" s="30" t="s">
        <v>61</v>
      </c>
      <c r="B563" s="30" t="s">
        <v>721</v>
      </c>
      <c r="C563" s="30" t="s">
        <v>730</v>
      </c>
      <c r="D563" s="30"/>
      <c r="E563" s="30" t="s">
        <v>716</v>
      </c>
      <c r="F563" s="30" t="s">
        <v>30</v>
      </c>
      <c r="G563" s="31">
        <v>46213</v>
      </c>
      <c r="H563" s="31"/>
      <c r="I563" s="32">
        <f>IF(OR($G563="",$H563=""),"",$H563-$G563)</f>
        <v>0</v>
      </c>
      <c r="J563" s="30"/>
    </row>
    <row r="564" spans="1:10">
      <c r="A564" s="30" t="s">
        <v>61</v>
      </c>
      <c r="B564" s="30" t="s">
        <v>721</v>
      </c>
      <c r="C564" s="30" t="s">
        <v>731</v>
      </c>
      <c r="D564" s="30"/>
      <c r="E564" s="30" t="s">
        <v>716</v>
      </c>
      <c r="F564" s="30" t="s">
        <v>30</v>
      </c>
      <c r="G564" s="31">
        <v>46213</v>
      </c>
      <c r="H564" s="31"/>
      <c r="I564" s="32">
        <f>IF(OR($G564="",$H564=""),"",$H564-$G564)</f>
        <v>0</v>
      </c>
      <c r="J564" s="30"/>
    </row>
    <row r="565" spans="1:10">
      <c r="A565" s="30" t="s">
        <v>61</v>
      </c>
      <c r="B565" s="30" t="s">
        <v>721</v>
      </c>
      <c r="C565" s="30" t="s">
        <v>732</v>
      </c>
      <c r="D565" s="30"/>
      <c r="E565" s="30" t="s">
        <v>716</v>
      </c>
      <c r="F565" s="30" t="s">
        <v>30</v>
      </c>
      <c r="G565" s="31">
        <v>46213</v>
      </c>
      <c r="H565" s="31"/>
      <c r="I565" s="32">
        <f>IF(OR($G565="",$H565=""),"",$H565-$G565)</f>
        <v>0</v>
      </c>
      <c r="J565" s="30"/>
    </row>
    <row r="566" spans="1:10">
      <c r="A566" s="30" t="s">
        <v>61</v>
      </c>
      <c r="B566" s="30" t="s">
        <v>721</v>
      </c>
      <c r="C566" s="30" t="s">
        <v>733</v>
      </c>
      <c r="D566" s="30"/>
      <c r="E566" s="30" t="s">
        <v>716</v>
      </c>
      <c r="F566" s="30" t="s">
        <v>30</v>
      </c>
      <c r="G566" s="31">
        <v>46213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721</v>
      </c>
      <c r="C567" s="30" t="s">
        <v>734</v>
      </c>
      <c r="D567" s="30"/>
      <c r="E567" s="30" t="s">
        <v>716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721</v>
      </c>
      <c r="C568" s="30" t="s">
        <v>735</v>
      </c>
      <c r="D568" s="30"/>
      <c r="E568" s="30" t="s">
        <v>716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721</v>
      </c>
      <c r="C569" s="30" t="s">
        <v>736</v>
      </c>
      <c r="D569" s="30"/>
      <c r="E569" s="30" t="s">
        <v>716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721</v>
      </c>
      <c r="C570" s="30" t="s">
        <v>737</v>
      </c>
      <c r="D570" s="30"/>
      <c r="E570" s="30" t="s">
        <v>716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721</v>
      </c>
      <c r="C571" s="30" t="s">
        <v>738</v>
      </c>
      <c r="D571" s="30"/>
      <c r="E571" s="30" t="s">
        <v>716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721</v>
      </c>
      <c r="C572" s="30" t="s">
        <v>739</v>
      </c>
      <c r="D572" s="30"/>
      <c r="E572" s="30" t="s">
        <v>716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721</v>
      </c>
      <c r="C573" s="30" t="s">
        <v>740</v>
      </c>
      <c r="D573" s="30"/>
      <c r="E573" s="30" t="s">
        <v>716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721</v>
      </c>
      <c r="C574" s="30" t="s">
        <v>741</v>
      </c>
      <c r="D574" s="30"/>
      <c r="E574" s="30" t="s">
        <v>716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742</v>
      </c>
      <c r="C575" s="30" t="s">
        <v>743</v>
      </c>
      <c r="D575" s="30"/>
      <c r="E575" s="30" t="s">
        <v>716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742</v>
      </c>
      <c r="C576" s="30" t="s">
        <v>744</v>
      </c>
      <c r="D576" s="30"/>
      <c r="E576" s="30" t="s">
        <v>716</v>
      </c>
      <c r="F576" s="30" t="s">
        <v>30</v>
      </c>
      <c r="G576" s="31">
        <v>46213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742</v>
      </c>
      <c r="C577" s="30" t="s">
        <v>745</v>
      </c>
      <c r="D577" s="30"/>
      <c r="E577" s="30" t="s">
        <v>716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742</v>
      </c>
      <c r="C578" s="30" t="s">
        <v>746</v>
      </c>
      <c r="D578" s="30"/>
      <c r="E578" s="30" t="s">
        <v>716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742</v>
      </c>
      <c r="C579" s="30" t="s">
        <v>747</v>
      </c>
      <c r="D579" s="30"/>
      <c r="E579" s="30" t="s">
        <v>716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714</v>
      </c>
      <c r="C580" s="30" t="s">
        <v>748</v>
      </c>
      <c r="D580" s="30"/>
      <c r="E580" s="30" t="s">
        <v>749</v>
      </c>
      <c r="F580" s="30" t="s">
        <v>30</v>
      </c>
      <c r="G580" s="31">
        <v>46217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714</v>
      </c>
      <c r="C581" s="30" t="s">
        <v>750</v>
      </c>
      <c r="D581" s="30"/>
      <c r="E581" s="30" t="s">
        <v>749</v>
      </c>
      <c r="F581" s="30" t="s">
        <v>30</v>
      </c>
      <c r="G581" s="31">
        <v>46217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714</v>
      </c>
      <c r="C582" s="30" t="s">
        <v>751</v>
      </c>
      <c r="D582" s="30"/>
      <c r="E582" s="30" t="s">
        <v>749</v>
      </c>
      <c r="F582" s="30" t="s">
        <v>30</v>
      </c>
      <c r="G582" s="31">
        <v>46217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714</v>
      </c>
      <c r="C583" s="30" t="s">
        <v>752</v>
      </c>
      <c r="D583" s="30"/>
      <c r="E583" s="30" t="s">
        <v>749</v>
      </c>
      <c r="F583" s="30" t="s">
        <v>30</v>
      </c>
      <c r="G583" s="31">
        <v>46217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714</v>
      </c>
      <c r="C584" s="30" t="s">
        <v>753</v>
      </c>
      <c r="D584" s="30"/>
      <c r="E584" s="30" t="s">
        <v>749</v>
      </c>
      <c r="F584" s="30" t="s">
        <v>30</v>
      </c>
      <c r="G584" s="31">
        <v>46217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714</v>
      </c>
      <c r="C585" s="30" t="s">
        <v>754</v>
      </c>
      <c r="D585" s="30"/>
      <c r="E585" s="30" t="s">
        <v>749</v>
      </c>
      <c r="F585" s="30" t="s">
        <v>30</v>
      </c>
      <c r="G585" s="31">
        <v>46217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714</v>
      </c>
      <c r="C586" s="30" t="s">
        <v>755</v>
      </c>
      <c r="D586" s="30"/>
      <c r="E586" s="30" t="s">
        <v>749</v>
      </c>
      <c r="F586" s="30" t="s">
        <v>30</v>
      </c>
      <c r="G586" s="31">
        <v>46217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714</v>
      </c>
      <c r="C587" s="30" t="s">
        <v>756</v>
      </c>
      <c r="D587" s="30"/>
      <c r="E587" s="30" t="s">
        <v>749</v>
      </c>
      <c r="F587" s="30" t="s">
        <v>30</v>
      </c>
      <c r="G587" s="31">
        <v>46217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714</v>
      </c>
      <c r="C588" s="30" t="s">
        <v>757</v>
      </c>
      <c r="D588" s="30"/>
      <c r="E588" s="30" t="s">
        <v>749</v>
      </c>
      <c r="F588" s="30" t="s">
        <v>30</v>
      </c>
      <c r="G588" s="31">
        <v>46217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714</v>
      </c>
      <c r="C589" s="30" t="s">
        <v>758</v>
      </c>
      <c r="D589" s="30"/>
      <c r="E589" s="30" t="s">
        <v>749</v>
      </c>
      <c r="F589" s="30" t="s">
        <v>30</v>
      </c>
      <c r="G589" s="31">
        <v>46217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714</v>
      </c>
      <c r="C590" s="30" t="s">
        <v>759</v>
      </c>
      <c r="D590" s="30"/>
      <c r="E590" s="30" t="s">
        <v>749</v>
      </c>
      <c r="F590" s="30" t="s">
        <v>30</v>
      </c>
      <c r="G590" s="31">
        <v>46217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714</v>
      </c>
      <c r="C591" s="30" t="s">
        <v>760</v>
      </c>
      <c r="D591" s="30"/>
      <c r="E591" s="30" t="s">
        <v>749</v>
      </c>
      <c r="F591" s="30" t="s">
        <v>30</v>
      </c>
      <c r="G591" s="31">
        <v>46217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714</v>
      </c>
      <c r="C592" s="30" t="s">
        <v>761</v>
      </c>
      <c r="D592" s="30"/>
      <c r="E592" s="30" t="s">
        <v>749</v>
      </c>
      <c r="F592" s="30" t="s">
        <v>30</v>
      </c>
      <c r="G592" s="31">
        <v>46217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714</v>
      </c>
      <c r="C593" s="30" t="s">
        <v>762</v>
      </c>
      <c r="D593" s="30"/>
      <c r="E593" s="30" t="s">
        <v>749</v>
      </c>
      <c r="F593" s="30" t="s">
        <v>30</v>
      </c>
      <c r="G593" s="31">
        <v>46217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714</v>
      </c>
      <c r="C594" s="30" t="s">
        <v>763</v>
      </c>
      <c r="D594" s="30"/>
      <c r="E594" s="30" t="s">
        <v>749</v>
      </c>
      <c r="F594" s="30" t="s">
        <v>30</v>
      </c>
      <c r="G594" s="31">
        <v>46217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721</v>
      </c>
      <c r="C595" s="30" t="s">
        <v>764</v>
      </c>
      <c r="D595" s="30"/>
      <c r="E595" s="30" t="s">
        <v>749</v>
      </c>
      <c r="F595" s="30" t="s">
        <v>30</v>
      </c>
      <c r="G595" s="31">
        <v>46217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721</v>
      </c>
      <c r="C596" s="30" t="s">
        <v>765</v>
      </c>
      <c r="D596" s="30"/>
      <c r="E596" s="30" t="s">
        <v>749</v>
      </c>
      <c r="F596" s="30" t="s">
        <v>30</v>
      </c>
      <c r="G596" s="31">
        <v>46217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721</v>
      </c>
      <c r="C597" s="30" t="s">
        <v>766</v>
      </c>
      <c r="D597" s="30"/>
      <c r="E597" s="30" t="s">
        <v>749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721</v>
      </c>
      <c r="C598" s="30" t="s">
        <v>767</v>
      </c>
      <c r="D598" s="30"/>
      <c r="E598" s="30" t="s">
        <v>749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721</v>
      </c>
      <c r="C599" s="30" t="s">
        <v>768</v>
      </c>
      <c r="D599" s="30"/>
      <c r="E599" s="30" t="s">
        <v>749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721</v>
      </c>
      <c r="C600" s="30" t="s">
        <v>769</v>
      </c>
      <c r="D600" s="30"/>
      <c r="E600" s="30" t="s">
        <v>749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721</v>
      </c>
      <c r="C601" s="30" t="s">
        <v>770</v>
      </c>
      <c r="D601" s="30"/>
      <c r="E601" s="30" t="s">
        <v>749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721</v>
      </c>
      <c r="C602" s="30" t="s">
        <v>771</v>
      </c>
      <c r="D602" s="30"/>
      <c r="E602" s="30" t="s">
        <v>749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721</v>
      </c>
      <c r="C603" s="30" t="s">
        <v>772</v>
      </c>
      <c r="D603" s="30"/>
      <c r="E603" s="30" t="s">
        <v>749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721</v>
      </c>
      <c r="C604" s="30" t="s">
        <v>773</v>
      </c>
      <c r="D604" s="30"/>
      <c r="E604" s="30" t="s">
        <v>749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721</v>
      </c>
      <c r="C605" s="30" t="s">
        <v>774</v>
      </c>
      <c r="D605" s="30"/>
      <c r="E605" s="30" t="s">
        <v>749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721</v>
      </c>
      <c r="C606" s="30" t="s">
        <v>775</v>
      </c>
      <c r="D606" s="30"/>
      <c r="E606" s="30" t="s">
        <v>749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721</v>
      </c>
      <c r="C607" s="30" t="s">
        <v>776</v>
      </c>
      <c r="D607" s="30"/>
      <c r="E607" s="30" t="s">
        <v>749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721</v>
      </c>
      <c r="C608" s="30" t="s">
        <v>777</v>
      </c>
      <c r="D608" s="30"/>
      <c r="E608" s="30" t="s">
        <v>749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721</v>
      </c>
      <c r="C609" s="30" t="s">
        <v>778</v>
      </c>
      <c r="D609" s="30"/>
      <c r="E609" s="30" t="s">
        <v>749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51</v>
      </c>
      <c r="B610" s="30" t="s">
        <v>58</v>
      </c>
      <c r="C610" s="30" t="s">
        <v>779</v>
      </c>
      <c r="D610" s="30"/>
      <c r="E610" s="30" t="s">
        <v>54</v>
      </c>
      <c r="F610" s="30" t="s">
        <v>56</v>
      </c>
      <c r="G610" s="31">
        <v>46216</v>
      </c>
      <c r="H610" s="31"/>
      <c r="I610" s="32">
        <f>IF(OR($G610="",$H610=""),"",$H610-$G610)</f>
        <v>0</v>
      </c>
      <c r="J610" s="30"/>
    </row>
    <row r="611" spans="1:10">
      <c r="A611" s="30" t="s">
        <v>161</v>
      </c>
      <c r="B611" s="30" t="s">
        <v>162</v>
      </c>
      <c r="C611" s="30" t="s">
        <v>780</v>
      </c>
      <c r="D611" s="30"/>
      <c r="E611" s="30"/>
      <c r="F611" s="30" t="s">
        <v>118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781</v>
      </c>
      <c r="C612" s="30" t="s">
        <v>782</v>
      </c>
      <c r="D612" s="30"/>
      <c r="E612" s="30" t="s">
        <v>64</v>
      </c>
      <c r="F612" s="30" t="s">
        <v>66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781</v>
      </c>
      <c r="C613" s="30" t="s">
        <v>783</v>
      </c>
      <c r="D613" s="30"/>
      <c r="E613" s="30" t="s">
        <v>64</v>
      </c>
      <c r="F613" s="30" t="s">
        <v>66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781</v>
      </c>
      <c r="C614" s="30" t="s">
        <v>784</v>
      </c>
      <c r="D614" s="30"/>
      <c r="E614" s="30" t="s">
        <v>64</v>
      </c>
      <c r="F614" s="30" t="s">
        <v>66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781</v>
      </c>
      <c r="C615" s="30" t="s">
        <v>785</v>
      </c>
      <c r="D615" s="30"/>
      <c r="E615" s="30" t="s">
        <v>64</v>
      </c>
      <c r="F615" s="30" t="s">
        <v>66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781</v>
      </c>
      <c r="C616" s="30" t="s">
        <v>786</v>
      </c>
      <c r="D616" s="30"/>
      <c r="E616" s="30" t="s">
        <v>64</v>
      </c>
      <c r="F616" s="30" t="s">
        <v>66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781</v>
      </c>
      <c r="C617" s="30" t="s">
        <v>787</v>
      </c>
      <c r="D617" s="30"/>
      <c r="E617" s="30" t="s">
        <v>64</v>
      </c>
      <c r="F617" s="30" t="s">
        <v>66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781</v>
      </c>
      <c r="C618" s="30" t="s">
        <v>788</v>
      </c>
      <c r="D618" s="30"/>
      <c r="E618" s="30" t="s">
        <v>64</v>
      </c>
      <c r="F618" s="30" t="s">
        <v>66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781</v>
      </c>
      <c r="C619" s="30" t="s">
        <v>789</v>
      </c>
      <c r="D619" s="30"/>
      <c r="E619" s="30" t="s">
        <v>64</v>
      </c>
      <c r="F619" s="30" t="s">
        <v>66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781</v>
      </c>
      <c r="C620" s="30" t="s">
        <v>790</v>
      </c>
      <c r="D620" s="30"/>
      <c r="E620" s="30" t="s">
        <v>64</v>
      </c>
      <c r="F620" s="30" t="s">
        <v>66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62</v>
      </c>
      <c r="C621" s="30" t="s">
        <v>791</v>
      </c>
      <c r="D621" s="30"/>
      <c r="E621" s="30" t="s">
        <v>64</v>
      </c>
      <c r="F621" s="30" t="s">
        <v>66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62</v>
      </c>
      <c r="C622" s="30" t="s">
        <v>792</v>
      </c>
      <c r="D622" s="30"/>
      <c r="E622" s="30" t="s">
        <v>64</v>
      </c>
      <c r="F622" s="30" t="s">
        <v>66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62</v>
      </c>
      <c r="C623" s="30" t="s">
        <v>793</v>
      </c>
      <c r="D623" s="30"/>
      <c r="E623" s="30" t="s">
        <v>64</v>
      </c>
      <c r="F623" s="30" t="s">
        <v>66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69</v>
      </c>
      <c r="C624" s="30" t="s">
        <v>794</v>
      </c>
      <c r="D624" s="30"/>
      <c r="E624" s="30" t="s">
        <v>64</v>
      </c>
      <c r="F624" s="30" t="s">
        <v>66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69</v>
      </c>
      <c r="C625" s="30" t="s">
        <v>795</v>
      </c>
      <c r="D625" s="30"/>
      <c r="E625" s="30" t="s">
        <v>64</v>
      </c>
      <c r="F625" s="30" t="s">
        <v>66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71</v>
      </c>
      <c r="C626" s="30" t="s">
        <v>796</v>
      </c>
      <c r="D626" s="30"/>
      <c r="E626" s="30" t="s">
        <v>64</v>
      </c>
      <c r="F626" s="30" t="s">
        <v>66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61</v>
      </c>
      <c r="B627" s="30" t="s">
        <v>71</v>
      </c>
      <c r="C627" s="30" t="s">
        <v>797</v>
      </c>
      <c r="D627" s="30"/>
      <c r="E627" s="30" t="s">
        <v>64</v>
      </c>
      <c r="F627" s="30" t="s">
        <v>66</v>
      </c>
      <c r="G627" s="31">
        <v>46217</v>
      </c>
      <c r="H627" s="31"/>
      <c r="I627" s="32">
        <f>IF(OR($G627="",$H627=""),"",$H627-$G627)</f>
        <v>0</v>
      </c>
      <c r="J627" s="30"/>
    </row>
    <row r="628" spans="1:10">
      <c r="A628" s="30" t="s">
        <v>61</v>
      </c>
      <c r="B628" s="30" t="s">
        <v>71</v>
      </c>
      <c r="C628" s="30" t="s">
        <v>798</v>
      </c>
      <c r="D628" s="30"/>
      <c r="E628" s="30" t="s">
        <v>64</v>
      </c>
      <c r="F628" s="30" t="s">
        <v>66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71</v>
      </c>
      <c r="C629" s="30" t="s">
        <v>799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71</v>
      </c>
      <c r="C630" s="30" t="s">
        <v>800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73</v>
      </c>
      <c r="C631" s="30" t="s">
        <v>801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73</v>
      </c>
      <c r="C632" s="30" t="s">
        <v>802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73</v>
      </c>
      <c r="C633" s="30" t="s">
        <v>803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80</v>
      </c>
      <c r="C634" s="30" t="s">
        <v>804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80</v>
      </c>
      <c r="C635" s="30" t="s">
        <v>805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82</v>
      </c>
      <c r="C636" s="30" t="s">
        <v>806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714</v>
      </c>
      <c r="C637" s="30" t="s">
        <v>807</v>
      </c>
      <c r="D637" s="30"/>
      <c r="E637" s="30" t="s">
        <v>808</v>
      </c>
      <c r="F637" s="30" t="s">
        <v>118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714</v>
      </c>
      <c r="C638" s="30" t="s">
        <v>809</v>
      </c>
      <c r="D638" s="30"/>
      <c r="E638" s="30" t="s">
        <v>808</v>
      </c>
      <c r="F638" s="30" t="s">
        <v>118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714</v>
      </c>
      <c r="C639" s="30" t="s">
        <v>810</v>
      </c>
      <c r="D639" s="30"/>
      <c r="E639" s="30" t="s">
        <v>808</v>
      </c>
      <c r="F639" s="30" t="s">
        <v>118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714</v>
      </c>
      <c r="C640" s="30" t="s">
        <v>811</v>
      </c>
      <c r="D640" s="30"/>
      <c r="E640" s="30" t="s">
        <v>808</v>
      </c>
      <c r="F640" s="30" t="s">
        <v>118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714</v>
      </c>
      <c r="C641" s="30" t="s">
        <v>812</v>
      </c>
      <c r="D641" s="30"/>
      <c r="E641" s="30" t="s">
        <v>808</v>
      </c>
      <c r="F641" s="30" t="s">
        <v>118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714</v>
      </c>
      <c r="C642" s="30" t="s">
        <v>813</v>
      </c>
      <c r="D642" s="30"/>
      <c r="E642" s="30" t="s">
        <v>808</v>
      </c>
      <c r="F642" s="30" t="s">
        <v>118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714</v>
      </c>
      <c r="C643" s="30" t="s">
        <v>814</v>
      </c>
      <c r="D643" s="30"/>
      <c r="E643" s="30" t="s">
        <v>808</v>
      </c>
      <c r="F643" s="30" t="s">
        <v>118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714</v>
      </c>
      <c r="C644" s="30" t="s">
        <v>815</v>
      </c>
      <c r="D644" s="30"/>
      <c r="E644" s="30" t="s">
        <v>808</v>
      </c>
      <c r="F644" s="30" t="s">
        <v>118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714</v>
      </c>
      <c r="C645" s="30" t="s">
        <v>816</v>
      </c>
      <c r="D645" s="30"/>
      <c r="E645" s="30" t="s">
        <v>808</v>
      </c>
      <c r="F645" s="30" t="s">
        <v>118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721</v>
      </c>
      <c r="C646" s="30" t="s">
        <v>817</v>
      </c>
      <c r="D646" s="30"/>
      <c r="E646" s="30" t="s">
        <v>808</v>
      </c>
      <c r="F646" s="30" t="s">
        <v>118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721</v>
      </c>
      <c r="C647" s="30" t="s">
        <v>818</v>
      </c>
      <c r="D647" s="30"/>
      <c r="E647" s="30" t="s">
        <v>808</v>
      </c>
      <c r="F647" s="30" t="s">
        <v>118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721</v>
      </c>
      <c r="C648" s="30" t="s">
        <v>819</v>
      </c>
      <c r="D648" s="30"/>
      <c r="E648" s="30" t="s">
        <v>808</v>
      </c>
      <c r="F648" s="30" t="s">
        <v>118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721</v>
      </c>
      <c r="C649" s="30" t="s">
        <v>820</v>
      </c>
      <c r="D649" s="30"/>
      <c r="E649" s="30" t="s">
        <v>808</v>
      </c>
      <c r="F649" s="30" t="s">
        <v>118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721</v>
      </c>
      <c r="C650" s="30" t="s">
        <v>821</v>
      </c>
      <c r="D650" s="30"/>
      <c r="E650" s="30" t="s">
        <v>808</v>
      </c>
      <c r="F650" s="30" t="s">
        <v>118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721</v>
      </c>
      <c r="C651" s="30" t="s">
        <v>822</v>
      </c>
      <c r="D651" s="30"/>
      <c r="E651" s="30" t="s">
        <v>808</v>
      </c>
      <c r="F651" s="30" t="s">
        <v>118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721</v>
      </c>
      <c r="C652" s="30" t="s">
        <v>823</v>
      </c>
      <c r="D652" s="30"/>
      <c r="E652" s="30" t="s">
        <v>808</v>
      </c>
      <c r="F652" s="30" t="s">
        <v>118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742</v>
      </c>
      <c r="C653" s="30" t="s">
        <v>824</v>
      </c>
      <c r="D653" s="30"/>
      <c r="E653" s="30" t="s">
        <v>808</v>
      </c>
      <c r="F653" s="30" t="s">
        <v>118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742</v>
      </c>
      <c r="C654" s="30" t="s">
        <v>825</v>
      </c>
      <c r="D654" s="30"/>
      <c r="E654" s="30" t="s">
        <v>808</v>
      </c>
      <c r="F654" s="30" t="s">
        <v>118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742</v>
      </c>
      <c r="C655" s="30" t="s">
        <v>826</v>
      </c>
      <c r="D655" s="30"/>
      <c r="E655" s="30" t="s">
        <v>808</v>
      </c>
      <c r="F655" s="30" t="s">
        <v>118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742</v>
      </c>
      <c r="C656" s="30" t="s">
        <v>827</v>
      </c>
      <c r="D656" s="30"/>
      <c r="E656" s="30" t="s">
        <v>808</v>
      </c>
      <c r="F656" s="30" t="s">
        <v>118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51</v>
      </c>
      <c r="B657" s="30" t="s">
        <v>255</v>
      </c>
      <c r="C657" s="30" t="s">
        <v>828</v>
      </c>
      <c r="D657" s="30"/>
      <c r="E657" s="30" t="s">
        <v>168</v>
      </c>
      <c r="F657" s="30" t="s">
        <v>30</v>
      </c>
      <c r="G657" s="31">
        <v>46219</v>
      </c>
      <c r="H657" s="31"/>
      <c r="I657" s="32">
        <f>IF(OR($G657="",$H657=""),"",$H657-$G657)</f>
        <v>0</v>
      </c>
      <c r="J657" s="30"/>
    </row>
    <row r="658" spans="1:10">
      <c r="A658" s="30" t="s">
        <v>51</v>
      </c>
      <c r="B658" s="30" t="s">
        <v>255</v>
      </c>
      <c r="C658" s="30" t="s">
        <v>829</v>
      </c>
      <c r="D658" s="30"/>
      <c r="E658" s="30" t="s">
        <v>168</v>
      </c>
      <c r="F658" s="30" t="s">
        <v>30</v>
      </c>
      <c r="G658" s="31">
        <v>46219</v>
      </c>
      <c r="H658" s="31"/>
      <c r="I658" s="32">
        <f>IF(OR($G658="",$H658=""),"",$H658-$G658)</f>
        <v>0</v>
      </c>
      <c r="J658" s="30"/>
    </row>
    <row r="659" spans="1:10">
      <c r="A659" s="30" t="s">
        <v>51</v>
      </c>
      <c r="B659" s="30" t="s">
        <v>255</v>
      </c>
      <c r="C659" s="30" t="s">
        <v>830</v>
      </c>
      <c r="D659" s="30"/>
      <c r="E659" s="30" t="s">
        <v>168</v>
      </c>
      <c r="F659" s="30" t="s">
        <v>30</v>
      </c>
      <c r="G659" s="31">
        <v>46219</v>
      </c>
      <c r="H659" s="31"/>
      <c r="I659" s="32">
        <f>IF(OR($G659="",$H659=""),"",$H659-$G659)</f>
        <v>0</v>
      </c>
      <c r="J659" s="30"/>
    </row>
    <row r="660" spans="1:10">
      <c r="A660" s="30" t="s">
        <v>51</v>
      </c>
      <c r="B660" s="30" t="s">
        <v>255</v>
      </c>
      <c r="C660" s="30" t="s">
        <v>831</v>
      </c>
      <c r="D660" s="30"/>
      <c r="E660" s="30" t="s">
        <v>168</v>
      </c>
      <c r="F660" s="30" t="s">
        <v>30</v>
      </c>
      <c r="G660" s="31">
        <v>46219</v>
      </c>
      <c r="H660" s="31"/>
      <c r="I660" s="32">
        <f>IF(OR($G660="",$H660=""),"",$H660-$G660)</f>
        <v>0</v>
      </c>
      <c r="J660" s="30"/>
    </row>
    <row r="661" spans="1:10">
      <c r="A661" s="30" t="s">
        <v>51</v>
      </c>
      <c r="B661" s="30" t="s">
        <v>255</v>
      </c>
      <c r="C661" s="30" t="s">
        <v>832</v>
      </c>
      <c r="D661" s="30"/>
      <c r="E661" s="30" t="s">
        <v>168</v>
      </c>
      <c r="F661" s="30" t="s">
        <v>30</v>
      </c>
      <c r="G661" s="31">
        <v>46219</v>
      </c>
      <c r="H661" s="31"/>
      <c r="I661" s="32">
        <f>IF(OR($G661="",$H661=""),"",$H661-$G661)</f>
        <v>0</v>
      </c>
      <c r="J661" s="30"/>
    </row>
    <row r="662" spans="1:10">
      <c r="A662" s="30" t="s">
        <v>51</v>
      </c>
      <c r="B662" s="30" t="s">
        <v>255</v>
      </c>
      <c r="C662" s="30" t="s">
        <v>833</v>
      </c>
      <c r="D662" s="30"/>
      <c r="E662" s="30" t="s">
        <v>168</v>
      </c>
      <c r="F662" s="30" t="s">
        <v>30</v>
      </c>
      <c r="G662" s="31">
        <v>46219</v>
      </c>
      <c r="H662" s="31"/>
      <c r="I662" s="32">
        <f>IF(OR($G662="",$H662=""),"",$H662-$G662)</f>
        <v>0</v>
      </c>
      <c r="J662" s="30"/>
    </row>
    <row r="663" spans="1:10">
      <c r="A663" s="30" t="s">
        <v>51</v>
      </c>
      <c r="B663" s="30" t="s">
        <v>834</v>
      </c>
      <c r="C663" s="30" t="s">
        <v>835</v>
      </c>
      <c r="D663" s="30"/>
      <c r="E663" s="30" t="s">
        <v>168</v>
      </c>
      <c r="F663" s="30" t="s">
        <v>30</v>
      </c>
      <c r="G663" s="31">
        <v>46219</v>
      </c>
      <c r="H663" s="31"/>
      <c r="I663" s="32">
        <f>IF(OR($G663="",$H663=""),"",$H663-$G663)</f>
        <v>0</v>
      </c>
      <c r="J663" s="30"/>
    </row>
    <row r="664" spans="1:10">
      <c r="A664" s="30" t="s">
        <v>51</v>
      </c>
      <c r="B664" s="30" t="s">
        <v>834</v>
      </c>
      <c r="C664" s="30" t="s">
        <v>836</v>
      </c>
      <c r="D664" s="30"/>
      <c r="E664" s="30" t="s">
        <v>168</v>
      </c>
      <c r="F664" s="30" t="s">
        <v>30</v>
      </c>
      <c r="G664" s="31">
        <v>46219</v>
      </c>
      <c r="H664" s="31"/>
      <c r="I664" s="32">
        <f>IF(OR($G664="",$H664=""),"",$H664-$G664)</f>
        <v>0</v>
      </c>
      <c r="J664" s="30"/>
    </row>
    <row r="665" spans="1:10">
      <c r="A665" s="30" t="s">
        <v>51</v>
      </c>
      <c r="B665" s="30" t="s">
        <v>834</v>
      </c>
      <c r="C665" s="30" t="s">
        <v>837</v>
      </c>
      <c r="D665" s="30"/>
      <c r="E665" s="30" t="s">
        <v>168</v>
      </c>
      <c r="F665" s="30" t="s">
        <v>30</v>
      </c>
      <c r="G665" s="31">
        <v>46219</v>
      </c>
      <c r="H665" s="31"/>
      <c r="I665" s="32">
        <f>IF(OR($G665="",$H665=""),"",$H665-$G665)</f>
        <v>0</v>
      </c>
      <c r="J665" s="30"/>
    </row>
    <row r="666" spans="1:10">
      <c r="A666" s="30" t="s">
        <v>51</v>
      </c>
      <c r="B666" s="30" t="s">
        <v>834</v>
      </c>
      <c r="C666" s="30" t="s">
        <v>838</v>
      </c>
      <c r="D666" s="30"/>
      <c r="E666" s="30" t="s">
        <v>168</v>
      </c>
      <c r="F666" s="30" t="s">
        <v>30</v>
      </c>
      <c r="G666" s="31">
        <v>46219</v>
      </c>
      <c r="H666" s="31"/>
      <c r="I666" s="32">
        <f>IF(OR($G666="",$H666=""),"",$H666-$G666)</f>
        <v>0</v>
      </c>
      <c r="J666" s="30"/>
    </row>
    <row r="667" spans="1:10">
      <c r="A667" s="30" t="s">
        <v>51</v>
      </c>
      <c r="B667" s="30" t="s">
        <v>834</v>
      </c>
      <c r="C667" s="30" t="s">
        <v>839</v>
      </c>
      <c r="D667" s="30"/>
      <c r="E667" s="30" t="s">
        <v>168</v>
      </c>
      <c r="F667" s="30" t="s">
        <v>30</v>
      </c>
      <c r="G667" s="31">
        <v>46219</v>
      </c>
      <c r="H667" s="31"/>
      <c r="I667" s="32">
        <f>IF(OR($G667="",$H667=""),"",$H667-$G667)</f>
        <v>0</v>
      </c>
      <c r="J667" s="30"/>
    </row>
    <row r="668" spans="1:10">
      <c r="A668" s="30" t="s">
        <v>51</v>
      </c>
      <c r="B668" s="30" t="s">
        <v>834</v>
      </c>
      <c r="C668" s="30" t="s">
        <v>840</v>
      </c>
      <c r="D668" s="30"/>
      <c r="E668" s="30" t="s">
        <v>168</v>
      </c>
      <c r="F668" s="30" t="s">
        <v>30</v>
      </c>
      <c r="G668" s="31">
        <v>46219</v>
      </c>
      <c r="H668" s="31"/>
      <c r="I668" s="32">
        <f>IF(OR($G668="",$H668=""),"",$H668-$G668)</f>
        <v>0</v>
      </c>
      <c r="J668" s="30"/>
    </row>
    <row r="669" spans="1:10">
      <c r="A669" s="30" t="s">
        <v>51</v>
      </c>
      <c r="B669" s="30" t="s">
        <v>834</v>
      </c>
      <c r="C669" s="30" t="s">
        <v>841</v>
      </c>
      <c r="D669" s="30"/>
      <c r="E669" s="30" t="s">
        <v>168</v>
      </c>
      <c r="F669" s="30" t="s">
        <v>30</v>
      </c>
      <c r="G669" s="31">
        <v>46219</v>
      </c>
      <c r="H669" s="31"/>
      <c r="I669" s="32">
        <f>IF(OR($G669="",$H669=""),"",$H669-$G669)</f>
        <v>0</v>
      </c>
      <c r="J669" s="30"/>
    </row>
    <row r="670" spans="1:10">
      <c r="A670" s="30" t="s">
        <v>51</v>
      </c>
      <c r="B670" s="30" t="s">
        <v>834</v>
      </c>
      <c r="C670" s="30" t="s">
        <v>842</v>
      </c>
      <c r="D670" s="30"/>
      <c r="E670" s="30" t="s">
        <v>168</v>
      </c>
      <c r="F670" s="30" t="s">
        <v>30</v>
      </c>
      <c r="G670" s="31">
        <v>46219</v>
      </c>
      <c r="H670" s="31"/>
      <c r="I670" s="32">
        <f>IF(OR($G670="",$H670=""),"",$H670-$G670)</f>
        <v>0</v>
      </c>
      <c r="J670" s="30"/>
    </row>
    <row r="671" spans="1:10">
      <c r="A671" s="30" t="s">
        <v>51</v>
      </c>
      <c r="B671" s="30" t="s">
        <v>834</v>
      </c>
      <c r="C671" s="30" t="s">
        <v>843</v>
      </c>
      <c r="D671" s="30"/>
      <c r="E671" s="30" t="s">
        <v>168</v>
      </c>
      <c r="F671" s="30" t="s">
        <v>30</v>
      </c>
      <c r="G671" s="31">
        <v>46219</v>
      </c>
      <c r="H671" s="31"/>
      <c r="I671" s="32">
        <f>IF(OR($G671="",$H671=""),"",$H671-$G671)</f>
        <v>0</v>
      </c>
      <c r="J671" s="30"/>
    </row>
    <row r="672" spans="1:10">
      <c r="A672" s="30" t="s">
        <v>51</v>
      </c>
      <c r="B672" s="30" t="s">
        <v>834</v>
      </c>
      <c r="C672" s="30" t="s">
        <v>844</v>
      </c>
      <c r="D672" s="30"/>
      <c r="E672" s="30" t="s">
        <v>168</v>
      </c>
      <c r="F672" s="30" t="s">
        <v>30</v>
      </c>
      <c r="G672" s="31">
        <v>46219</v>
      </c>
      <c r="H672" s="31"/>
      <c r="I672" s="32">
        <f>IF(OR($G672="",$H672=""),"",$H672-$G672)</f>
        <v>0</v>
      </c>
      <c r="J672" s="30"/>
    </row>
    <row r="673" spans="1:10">
      <c r="A673" s="30" t="s">
        <v>51</v>
      </c>
      <c r="B673" s="30" t="s">
        <v>834</v>
      </c>
      <c r="C673" s="30" t="s">
        <v>845</v>
      </c>
      <c r="D673" s="30"/>
      <c r="E673" s="30" t="s">
        <v>168</v>
      </c>
      <c r="F673" s="30" t="s">
        <v>30</v>
      </c>
      <c r="G673" s="31">
        <v>46219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834</v>
      </c>
      <c r="C674" s="30" t="s">
        <v>846</v>
      </c>
      <c r="D674" s="30"/>
      <c r="E674" s="30" t="s">
        <v>168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834</v>
      </c>
      <c r="C675" s="30" t="s">
        <v>847</v>
      </c>
      <c r="D675" s="30"/>
      <c r="E675" s="30" t="s">
        <v>168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834</v>
      </c>
      <c r="C676" s="30" t="s">
        <v>848</v>
      </c>
      <c r="D676" s="30"/>
      <c r="E676" s="30" t="s">
        <v>168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834</v>
      </c>
      <c r="C677" s="30" t="s">
        <v>849</v>
      </c>
      <c r="D677" s="30"/>
      <c r="E677" s="30" t="s">
        <v>168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255</v>
      </c>
      <c r="C678" s="30" t="s">
        <v>850</v>
      </c>
      <c r="D678" s="30"/>
      <c r="E678" s="30" t="s">
        <v>168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255</v>
      </c>
      <c r="C679" s="30" t="s">
        <v>851</v>
      </c>
      <c r="D679" s="30"/>
      <c r="E679" s="30" t="s">
        <v>168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255</v>
      </c>
      <c r="C680" s="30" t="s">
        <v>852</v>
      </c>
      <c r="D680" s="30"/>
      <c r="E680" s="30" t="s">
        <v>168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255</v>
      </c>
      <c r="C681" s="30" t="s">
        <v>853</v>
      </c>
      <c r="D681" s="30"/>
      <c r="E681" s="30" t="s">
        <v>168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255</v>
      </c>
      <c r="C682" s="30" t="s">
        <v>854</v>
      </c>
      <c r="D682" s="30"/>
      <c r="E682" s="30" t="s">
        <v>168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255</v>
      </c>
      <c r="C683" s="30" t="s">
        <v>855</v>
      </c>
      <c r="D683" s="30"/>
      <c r="E683" s="30" t="s">
        <v>168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255</v>
      </c>
      <c r="C684" s="30" t="s">
        <v>856</v>
      </c>
      <c r="D684" s="30"/>
      <c r="E684" s="30" t="s">
        <v>168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255</v>
      </c>
      <c r="C685" s="30" t="s">
        <v>857</v>
      </c>
      <c r="D685" s="30"/>
      <c r="E685" s="30" t="s">
        <v>168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255</v>
      </c>
      <c r="C686" s="30" t="s">
        <v>858</v>
      </c>
      <c r="D686" s="30"/>
      <c r="E686" s="30" t="s">
        <v>168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255</v>
      </c>
      <c r="C687" s="30" t="s">
        <v>859</v>
      </c>
      <c r="D687" s="30"/>
      <c r="E687" s="30" t="s">
        <v>168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255</v>
      </c>
      <c r="C688" s="30" t="s">
        <v>860</v>
      </c>
      <c r="D688" s="30"/>
      <c r="E688" s="30" t="s">
        <v>168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255</v>
      </c>
      <c r="C689" s="30" t="s">
        <v>861</v>
      </c>
      <c r="D689" s="30"/>
      <c r="E689" s="30" t="s">
        <v>168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255</v>
      </c>
      <c r="C690" s="30" t="s">
        <v>862</v>
      </c>
      <c r="D690" s="30"/>
      <c r="E690" s="30" t="s">
        <v>168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255</v>
      </c>
      <c r="C691" s="30" t="s">
        <v>863</v>
      </c>
      <c r="D691" s="30"/>
      <c r="E691" s="30" t="s">
        <v>168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255</v>
      </c>
      <c r="C692" s="30" t="s">
        <v>864</v>
      </c>
      <c r="D692" s="30"/>
      <c r="E692" s="30" t="s">
        <v>168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255</v>
      </c>
      <c r="C693" s="30" t="s">
        <v>865</v>
      </c>
      <c r="D693" s="30"/>
      <c r="E693" s="30" t="s">
        <v>168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255</v>
      </c>
      <c r="C694" s="30" t="s">
        <v>866</v>
      </c>
      <c r="D694" s="30"/>
      <c r="E694" s="30" t="s">
        <v>168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255</v>
      </c>
      <c r="C695" s="30" t="s">
        <v>867</v>
      </c>
      <c r="D695" s="30"/>
      <c r="E695" s="30" t="s">
        <v>168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255</v>
      </c>
      <c r="C696" s="30" t="s">
        <v>868</v>
      </c>
      <c r="D696" s="30"/>
      <c r="E696" s="30" t="s">
        <v>168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255</v>
      </c>
      <c r="C697" s="30" t="s">
        <v>869</v>
      </c>
      <c r="D697" s="30"/>
      <c r="E697" s="30" t="s">
        <v>168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255</v>
      </c>
      <c r="C698" s="30" t="s">
        <v>870</v>
      </c>
      <c r="D698" s="30"/>
      <c r="E698" s="30" t="s">
        <v>168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255</v>
      </c>
      <c r="C699" s="30" t="s">
        <v>871</v>
      </c>
      <c r="D699" s="30"/>
      <c r="E699" s="30" t="s">
        <v>168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255</v>
      </c>
      <c r="C700" s="30" t="s">
        <v>872</v>
      </c>
      <c r="D700" s="30"/>
      <c r="E700" s="30" t="s">
        <v>168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255</v>
      </c>
      <c r="C701" s="30" t="s">
        <v>873</v>
      </c>
      <c r="D701" s="30"/>
      <c r="E701" s="30" t="s">
        <v>168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255</v>
      </c>
      <c r="C702" s="30" t="s">
        <v>874</v>
      </c>
      <c r="D702" s="30"/>
      <c r="E702" s="30" t="s">
        <v>168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255</v>
      </c>
      <c r="C703" s="30" t="s">
        <v>875</v>
      </c>
      <c r="D703" s="30"/>
      <c r="E703" s="30" t="s">
        <v>168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255</v>
      </c>
      <c r="C704" s="30" t="s">
        <v>876</v>
      </c>
      <c r="D704" s="30"/>
      <c r="E704" s="30" t="s">
        <v>168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255</v>
      </c>
      <c r="C705" s="30" t="s">
        <v>877</v>
      </c>
      <c r="D705" s="30"/>
      <c r="E705" s="30" t="s">
        <v>168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255</v>
      </c>
      <c r="C706" s="30" t="s">
        <v>878</v>
      </c>
      <c r="D706" s="30"/>
      <c r="E706" s="30" t="s">
        <v>168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255</v>
      </c>
      <c r="C707" s="30" t="s">
        <v>879</v>
      </c>
      <c r="D707" s="30"/>
      <c r="E707" s="30" t="s">
        <v>168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255</v>
      </c>
      <c r="C708" s="30" t="s">
        <v>880</v>
      </c>
      <c r="D708" s="30"/>
      <c r="E708" s="30" t="s">
        <v>168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255</v>
      </c>
      <c r="C709" s="30" t="s">
        <v>881</v>
      </c>
      <c r="D709" s="30"/>
      <c r="E709" s="30" t="s">
        <v>168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255</v>
      </c>
      <c r="C710" s="30" t="s">
        <v>882</v>
      </c>
      <c r="D710" s="30"/>
      <c r="E710" s="30" t="s">
        <v>168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255</v>
      </c>
      <c r="C711" s="30" t="s">
        <v>883</v>
      </c>
      <c r="D711" s="30"/>
      <c r="E711" s="30" t="s">
        <v>168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255</v>
      </c>
      <c r="C712" s="30" t="s">
        <v>884</v>
      </c>
      <c r="D712" s="30"/>
      <c r="E712" s="30" t="s">
        <v>168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834</v>
      </c>
      <c r="C713" s="30" t="s">
        <v>885</v>
      </c>
      <c r="D713" s="30"/>
      <c r="E713" s="30" t="s">
        <v>168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834</v>
      </c>
      <c r="C714" s="30" t="s">
        <v>886</v>
      </c>
      <c r="D714" s="30"/>
      <c r="E714" s="30" t="s">
        <v>168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834</v>
      </c>
      <c r="C715" s="30" t="s">
        <v>887</v>
      </c>
      <c r="D715" s="30"/>
      <c r="E715" s="30" t="s">
        <v>168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834</v>
      </c>
      <c r="C716" s="30" t="s">
        <v>888</v>
      </c>
      <c r="D716" s="30"/>
      <c r="E716" s="30" t="s">
        <v>168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834</v>
      </c>
      <c r="C717" s="30" t="s">
        <v>889</v>
      </c>
      <c r="D717" s="30"/>
      <c r="E717" s="30" t="s">
        <v>168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834</v>
      </c>
      <c r="C718" s="30" t="s">
        <v>890</v>
      </c>
      <c r="D718" s="30"/>
      <c r="E718" s="30" t="s">
        <v>168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834</v>
      </c>
      <c r="C719" s="30" t="s">
        <v>891</v>
      </c>
      <c r="D719" s="30"/>
      <c r="E719" s="30" t="s">
        <v>168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834</v>
      </c>
      <c r="C720" s="30" t="s">
        <v>892</v>
      </c>
      <c r="D720" s="30"/>
      <c r="E720" s="30" t="s">
        <v>168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834</v>
      </c>
      <c r="C721" s="30" t="s">
        <v>893</v>
      </c>
      <c r="D721" s="30"/>
      <c r="E721" s="30" t="s">
        <v>168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834</v>
      </c>
      <c r="C722" s="30" t="s">
        <v>894</v>
      </c>
      <c r="D722" s="30"/>
      <c r="E722" s="30" t="s">
        <v>168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834</v>
      </c>
      <c r="C723" s="30" t="s">
        <v>895</v>
      </c>
      <c r="D723" s="30"/>
      <c r="E723" s="30" t="s">
        <v>168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834</v>
      </c>
      <c r="C724" s="30" t="s">
        <v>896</v>
      </c>
      <c r="D724" s="30"/>
      <c r="E724" s="30" t="s">
        <v>168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834</v>
      </c>
      <c r="C725" s="30" t="s">
        <v>897</v>
      </c>
      <c r="D725" s="30"/>
      <c r="E725" s="30" t="s">
        <v>168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834</v>
      </c>
      <c r="C726" s="30" t="s">
        <v>898</v>
      </c>
      <c r="D726" s="30"/>
      <c r="E726" s="30" t="s">
        <v>168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834</v>
      </c>
      <c r="C727" s="30" t="s">
        <v>899</v>
      </c>
      <c r="D727" s="30"/>
      <c r="E727" s="30" t="s">
        <v>168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834</v>
      </c>
      <c r="C728" s="30" t="s">
        <v>900</v>
      </c>
      <c r="D728" s="30"/>
      <c r="E728" s="30" t="s">
        <v>168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834</v>
      </c>
      <c r="C729" s="30" t="s">
        <v>901</v>
      </c>
      <c r="D729" s="30"/>
      <c r="E729" s="30" t="s">
        <v>168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834</v>
      </c>
      <c r="C730" s="30" t="s">
        <v>902</v>
      </c>
      <c r="D730" s="30"/>
      <c r="E730" s="30" t="s">
        <v>168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834</v>
      </c>
      <c r="C731" s="30" t="s">
        <v>903</v>
      </c>
      <c r="D731" s="30"/>
      <c r="E731" s="30" t="s">
        <v>168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834</v>
      </c>
      <c r="C732" s="30" t="s">
        <v>904</v>
      </c>
      <c r="D732" s="30"/>
      <c r="E732" s="30" t="s">
        <v>168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905</v>
      </c>
      <c r="C733" s="30" t="s">
        <v>906</v>
      </c>
      <c r="D733" s="30"/>
      <c r="E733" s="30" t="s">
        <v>257</v>
      </c>
      <c r="F733" s="30" t="s">
        <v>118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905</v>
      </c>
      <c r="C734" s="30" t="s">
        <v>907</v>
      </c>
      <c r="D734" s="30"/>
      <c r="E734" s="30" t="s">
        <v>257</v>
      </c>
      <c r="F734" s="30" t="s">
        <v>118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905</v>
      </c>
      <c r="C735" s="30" t="s">
        <v>908</v>
      </c>
      <c r="D735" s="30"/>
      <c r="E735" s="30" t="s">
        <v>257</v>
      </c>
      <c r="F735" s="30" t="s">
        <v>118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905</v>
      </c>
      <c r="C736" s="30" t="s">
        <v>909</v>
      </c>
      <c r="D736" s="30"/>
      <c r="E736" s="30" t="s">
        <v>257</v>
      </c>
      <c r="F736" s="30" t="s">
        <v>118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905</v>
      </c>
      <c r="C737" s="30" t="s">
        <v>910</v>
      </c>
      <c r="D737" s="30"/>
      <c r="E737" s="30" t="s">
        <v>257</v>
      </c>
      <c r="F737" s="30" t="s">
        <v>118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905</v>
      </c>
      <c r="C738" s="30" t="s">
        <v>911</v>
      </c>
      <c r="D738" s="30"/>
      <c r="E738" s="30" t="s">
        <v>257</v>
      </c>
      <c r="F738" s="30" t="s">
        <v>118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905</v>
      </c>
      <c r="C739" s="30" t="s">
        <v>912</v>
      </c>
      <c r="D739" s="30"/>
      <c r="E739" s="30" t="s">
        <v>257</v>
      </c>
      <c r="F739" s="30" t="s">
        <v>118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905</v>
      </c>
      <c r="C740" s="30" t="s">
        <v>913</v>
      </c>
      <c r="D740" s="30"/>
      <c r="E740" s="30" t="s">
        <v>257</v>
      </c>
      <c r="F740" s="30" t="s">
        <v>118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905</v>
      </c>
      <c r="C741" s="30" t="s">
        <v>914</v>
      </c>
      <c r="D741" s="30"/>
      <c r="E741" s="30" t="s">
        <v>257</v>
      </c>
      <c r="F741" s="30" t="s">
        <v>118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905</v>
      </c>
      <c r="C742" s="30" t="s">
        <v>915</v>
      </c>
      <c r="D742" s="30"/>
      <c r="E742" s="30" t="s">
        <v>257</v>
      </c>
      <c r="F742" s="30" t="s">
        <v>118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905</v>
      </c>
      <c r="C743" s="30" t="s">
        <v>916</v>
      </c>
      <c r="D743" s="30"/>
      <c r="E743" s="30" t="s">
        <v>257</v>
      </c>
      <c r="F743" s="30" t="s">
        <v>118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905</v>
      </c>
      <c r="C744" s="30" t="s">
        <v>917</v>
      </c>
      <c r="D744" s="30"/>
      <c r="E744" s="30" t="s">
        <v>257</v>
      </c>
      <c r="F744" s="30" t="s">
        <v>118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905</v>
      </c>
      <c r="C745" s="30" t="s">
        <v>918</v>
      </c>
      <c r="D745" s="30"/>
      <c r="E745" s="30" t="s">
        <v>257</v>
      </c>
      <c r="F745" s="30" t="s">
        <v>118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905</v>
      </c>
      <c r="C746" s="30" t="s">
        <v>919</v>
      </c>
      <c r="D746" s="30"/>
      <c r="E746" s="30" t="s">
        <v>257</v>
      </c>
      <c r="F746" s="30" t="s">
        <v>118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905</v>
      </c>
      <c r="C747" s="30" t="s">
        <v>920</v>
      </c>
      <c r="D747" s="30"/>
      <c r="E747" s="30" t="s">
        <v>257</v>
      </c>
      <c r="F747" s="30" t="s">
        <v>118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905</v>
      </c>
      <c r="C748" s="30" t="s">
        <v>921</v>
      </c>
      <c r="D748" s="30"/>
      <c r="E748" s="30" t="s">
        <v>257</v>
      </c>
      <c r="F748" s="30" t="s">
        <v>118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905</v>
      </c>
      <c r="C749" s="30" t="s">
        <v>922</v>
      </c>
      <c r="D749" s="30"/>
      <c r="E749" s="30" t="s">
        <v>257</v>
      </c>
      <c r="F749" s="30" t="s">
        <v>118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905</v>
      </c>
      <c r="C750" s="30" t="s">
        <v>923</v>
      </c>
      <c r="D750" s="30"/>
      <c r="E750" s="30" t="s">
        <v>257</v>
      </c>
      <c r="F750" s="30" t="s">
        <v>118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905</v>
      </c>
      <c r="C751" s="30" t="s">
        <v>924</v>
      </c>
      <c r="D751" s="30"/>
      <c r="E751" s="30" t="s">
        <v>257</v>
      </c>
      <c r="F751" s="30" t="s">
        <v>118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905</v>
      </c>
      <c r="C752" s="30" t="s">
        <v>925</v>
      </c>
      <c r="D752" s="30"/>
      <c r="E752" s="30" t="s">
        <v>257</v>
      </c>
      <c r="F752" s="30" t="s">
        <v>118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905</v>
      </c>
      <c r="C753" s="30" t="s">
        <v>926</v>
      </c>
      <c r="D753" s="30"/>
      <c r="E753" s="30" t="s">
        <v>257</v>
      </c>
      <c r="F753" s="30" t="s">
        <v>118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927</v>
      </c>
      <c r="C754" s="30" t="s">
        <v>928</v>
      </c>
      <c r="D754" s="30"/>
      <c r="E754" s="30" t="s">
        <v>257</v>
      </c>
      <c r="F754" s="30" t="s">
        <v>118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927</v>
      </c>
      <c r="C755" s="30" t="s">
        <v>929</v>
      </c>
      <c r="D755" s="30"/>
      <c r="E755" s="30" t="s">
        <v>257</v>
      </c>
      <c r="F755" s="30" t="s">
        <v>118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927</v>
      </c>
      <c r="C756" s="30" t="s">
        <v>930</v>
      </c>
      <c r="D756" s="30"/>
      <c r="E756" s="30" t="s">
        <v>257</v>
      </c>
      <c r="F756" s="30" t="s">
        <v>118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927</v>
      </c>
      <c r="C757" s="30" t="s">
        <v>931</v>
      </c>
      <c r="D757" s="30"/>
      <c r="E757" s="30" t="s">
        <v>257</v>
      </c>
      <c r="F757" s="30" t="s">
        <v>118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927</v>
      </c>
      <c r="C758" s="30" t="s">
        <v>932</v>
      </c>
      <c r="D758" s="30"/>
      <c r="E758" s="30" t="s">
        <v>257</v>
      </c>
      <c r="F758" s="30" t="s">
        <v>118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927</v>
      </c>
      <c r="C759" s="30" t="s">
        <v>933</v>
      </c>
      <c r="D759" s="30"/>
      <c r="E759" s="30" t="s">
        <v>257</v>
      </c>
      <c r="F759" s="30" t="s">
        <v>118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927</v>
      </c>
      <c r="C760" s="30" t="s">
        <v>934</v>
      </c>
      <c r="D760" s="30"/>
      <c r="E760" s="30" t="s">
        <v>257</v>
      </c>
      <c r="F760" s="30" t="s">
        <v>118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927</v>
      </c>
      <c r="C761" s="30" t="s">
        <v>935</v>
      </c>
      <c r="D761" s="30"/>
      <c r="E761" s="30" t="s">
        <v>257</v>
      </c>
      <c r="F761" s="30" t="s">
        <v>118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927</v>
      </c>
      <c r="C762" s="30" t="s">
        <v>936</v>
      </c>
      <c r="D762" s="30"/>
      <c r="E762" s="30" t="s">
        <v>257</v>
      </c>
      <c r="F762" s="30" t="s">
        <v>118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927</v>
      </c>
      <c r="C763" s="30" t="s">
        <v>937</v>
      </c>
      <c r="D763" s="30"/>
      <c r="E763" s="30" t="s">
        <v>257</v>
      </c>
      <c r="F763" s="30" t="s">
        <v>118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905</v>
      </c>
      <c r="C764" s="30" t="s">
        <v>938</v>
      </c>
      <c r="D764" s="30"/>
      <c r="E764" s="30" t="s">
        <v>257</v>
      </c>
      <c r="F764" s="30" t="s">
        <v>118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939</v>
      </c>
      <c r="C765" s="30" t="s">
        <v>940</v>
      </c>
      <c r="D765" s="30"/>
      <c r="E765" s="30" t="s">
        <v>257</v>
      </c>
      <c r="F765" s="30" t="s">
        <v>118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939</v>
      </c>
      <c r="C766" s="30" t="s">
        <v>941</v>
      </c>
      <c r="D766" s="30"/>
      <c r="E766" s="30" t="s">
        <v>257</v>
      </c>
      <c r="F766" s="30" t="s">
        <v>118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939</v>
      </c>
      <c r="C767" s="30" t="s">
        <v>942</v>
      </c>
      <c r="D767" s="30"/>
      <c r="E767" s="30" t="s">
        <v>257</v>
      </c>
      <c r="F767" s="30" t="s">
        <v>118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939</v>
      </c>
      <c r="C768" s="30" t="s">
        <v>943</v>
      </c>
      <c r="D768" s="30"/>
      <c r="E768" s="30" t="s">
        <v>257</v>
      </c>
      <c r="F768" s="30" t="s">
        <v>118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939</v>
      </c>
      <c r="C769" s="30" t="s">
        <v>944</v>
      </c>
      <c r="D769" s="30"/>
      <c r="E769" s="30" t="s">
        <v>257</v>
      </c>
      <c r="F769" s="30" t="s">
        <v>118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939</v>
      </c>
      <c r="C770" s="30" t="s">
        <v>945</v>
      </c>
      <c r="D770" s="30"/>
      <c r="E770" s="30" t="s">
        <v>257</v>
      </c>
      <c r="F770" s="30" t="s">
        <v>118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927</v>
      </c>
      <c r="C771" s="30" t="s">
        <v>946</v>
      </c>
      <c r="D771" s="30"/>
      <c r="E771" s="30" t="s">
        <v>257</v>
      </c>
      <c r="F771" s="30" t="s">
        <v>118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927</v>
      </c>
      <c r="C772" s="30" t="s">
        <v>947</v>
      </c>
      <c r="D772" s="30"/>
      <c r="E772" s="30" t="s">
        <v>257</v>
      </c>
      <c r="F772" s="30" t="s">
        <v>118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927</v>
      </c>
      <c r="C773" s="30" t="s">
        <v>948</v>
      </c>
      <c r="D773" s="30"/>
      <c r="E773" s="30" t="s">
        <v>257</v>
      </c>
      <c r="F773" s="30" t="s">
        <v>118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927</v>
      </c>
      <c r="C774" s="30" t="s">
        <v>949</v>
      </c>
      <c r="D774" s="30"/>
      <c r="E774" s="30" t="s">
        <v>257</v>
      </c>
      <c r="F774" s="30" t="s">
        <v>118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927</v>
      </c>
      <c r="C775" s="30" t="s">
        <v>950</v>
      </c>
      <c r="D775" s="30"/>
      <c r="E775" s="30" t="s">
        <v>257</v>
      </c>
      <c r="F775" s="30" t="s">
        <v>118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927</v>
      </c>
      <c r="C776" s="30" t="s">
        <v>951</v>
      </c>
      <c r="D776" s="30"/>
      <c r="E776" s="30" t="s">
        <v>257</v>
      </c>
      <c r="F776" s="30" t="s">
        <v>118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927</v>
      </c>
      <c r="C777" s="30" t="s">
        <v>952</v>
      </c>
      <c r="D777" s="30"/>
      <c r="E777" s="30" t="s">
        <v>257</v>
      </c>
      <c r="F777" s="30" t="s">
        <v>118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953</v>
      </c>
      <c r="C778" s="30" t="s">
        <v>954</v>
      </c>
      <c r="D778" s="30"/>
      <c r="E778" s="30" t="s">
        <v>257</v>
      </c>
      <c r="F778" s="30" t="s">
        <v>118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953</v>
      </c>
      <c r="C779" s="30" t="s">
        <v>955</v>
      </c>
      <c r="D779" s="30"/>
      <c r="E779" s="30" t="s">
        <v>257</v>
      </c>
      <c r="F779" s="30" t="s">
        <v>118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953</v>
      </c>
      <c r="C780" s="30" t="s">
        <v>956</v>
      </c>
      <c r="D780" s="30"/>
      <c r="E780" s="30" t="s">
        <v>257</v>
      </c>
      <c r="F780" s="30" t="s">
        <v>118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953</v>
      </c>
      <c r="C781" s="30" t="s">
        <v>957</v>
      </c>
      <c r="D781" s="30"/>
      <c r="E781" s="30" t="s">
        <v>257</v>
      </c>
      <c r="F781" s="30" t="s">
        <v>118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953</v>
      </c>
      <c r="C782" s="30" t="s">
        <v>958</v>
      </c>
      <c r="D782" s="30"/>
      <c r="E782" s="30" t="s">
        <v>257</v>
      </c>
      <c r="F782" s="30" t="s">
        <v>118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953</v>
      </c>
      <c r="C783" s="30" t="s">
        <v>959</v>
      </c>
      <c r="D783" s="30"/>
      <c r="E783" s="30" t="s">
        <v>257</v>
      </c>
      <c r="F783" s="30" t="s">
        <v>118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953</v>
      </c>
      <c r="C784" s="30" t="s">
        <v>960</v>
      </c>
      <c r="D784" s="30"/>
      <c r="E784" s="30" t="s">
        <v>257</v>
      </c>
      <c r="F784" s="30" t="s">
        <v>118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953</v>
      </c>
      <c r="C785" s="30" t="s">
        <v>961</v>
      </c>
      <c r="D785" s="30"/>
      <c r="E785" s="30" t="s">
        <v>257</v>
      </c>
      <c r="F785" s="30" t="s">
        <v>118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61</v>
      </c>
      <c r="B786" s="30" t="s">
        <v>721</v>
      </c>
      <c r="C786" s="30" t="s">
        <v>962</v>
      </c>
      <c r="D786" s="30"/>
      <c r="E786" s="30" t="s">
        <v>808</v>
      </c>
      <c r="F786" s="30" t="s">
        <v>118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26</v>
      </c>
      <c r="B787" s="30" t="s">
        <v>221</v>
      </c>
      <c r="C787" s="30" t="s">
        <v>963</v>
      </c>
      <c r="D787" s="30"/>
      <c r="E787" s="30" t="s">
        <v>964</v>
      </c>
      <c r="F787" s="30" t="s">
        <v>30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26</v>
      </c>
      <c r="B788" s="30" t="s">
        <v>221</v>
      </c>
      <c r="C788" s="30" t="s">
        <v>965</v>
      </c>
      <c r="D788" s="30"/>
      <c r="E788" s="30" t="s">
        <v>964</v>
      </c>
      <c r="F788" s="30" t="s">
        <v>30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26</v>
      </c>
      <c r="B789" s="30" t="s">
        <v>221</v>
      </c>
      <c r="C789" s="30" t="s">
        <v>966</v>
      </c>
      <c r="D789" s="30"/>
      <c r="E789" s="30" t="s">
        <v>964</v>
      </c>
      <c r="F789" s="30" t="s">
        <v>30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26</v>
      </c>
      <c r="B790" s="30" t="s">
        <v>221</v>
      </c>
      <c r="C790" s="30" t="s">
        <v>967</v>
      </c>
      <c r="D790" s="30"/>
      <c r="E790" s="30" t="s">
        <v>964</v>
      </c>
      <c r="F790" s="30" t="s">
        <v>30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26</v>
      </c>
      <c r="B791" s="30" t="s">
        <v>221</v>
      </c>
      <c r="C791" s="30" t="s">
        <v>968</v>
      </c>
      <c r="D791" s="30"/>
      <c r="E791" s="30" t="s">
        <v>964</v>
      </c>
      <c r="F791" s="30" t="s">
        <v>30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26</v>
      </c>
      <c r="B792" s="30" t="s">
        <v>221</v>
      </c>
      <c r="C792" s="30" t="s">
        <v>969</v>
      </c>
      <c r="D792" s="30"/>
      <c r="E792" s="30" t="s">
        <v>964</v>
      </c>
      <c r="F792" s="30" t="s">
        <v>30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26</v>
      </c>
      <c r="B793" s="30" t="s">
        <v>221</v>
      </c>
      <c r="C793" s="30" t="s">
        <v>970</v>
      </c>
      <c r="D793" s="30"/>
      <c r="E793" s="30" t="s">
        <v>964</v>
      </c>
      <c r="F793" s="30" t="s">
        <v>30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26</v>
      </c>
      <c r="B794" s="30" t="s">
        <v>221</v>
      </c>
      <c r="C794" s="30" t="s">
        <v>971</v>
      </c>
      <c r="D794" s="30"/>
      <c r="E794" s="30" t="s">
        <v>964</v>
      </c>
      <c r="F794" s="30" t="s">
        <v>30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26</v>
      </c>
      <c r="B795" s="30" t="s">
        <v>221</v>
      </c>
      <c r="C795" s="30" t="s">
        <v>972</v>
      </c>
      <c r="D795" s="30"/>
      <c r="E795" s="30" t="s">
        <v>964</v>
      </c>
      <c r="F795" s="30" t="s">
        <v>30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26</v>
      </c>
      <c r="B796" s="30" t="s">
        <v>221</v>
      </c>
      <c r="C796" s="30" t="s">
        <v>973</v>
      </c>
      <c r="D796" s="30"/>
      <c r="E796" s="30" t="s">
        <v>964</v>
      </c>
      <c r="F796" s="30" t="s">
        <v>30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26</v>
      </c>
      <c r="B797" s="30" t="s">
        <v>221</v>
      </c>
      <c r="C797" s="30" t="s">
        <v>974</v>
      </c>
      <c r="D797" s="30"/>
      <c r="E797" s="30" t="s">
        <v>964</v>
      </c>
      <c r="F797" s="30" t="s">
        <v>30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26</v>
      </c>
      <c r="B798" s="30" t="s">
        <v>221</v>
      </c>
      <c r="C798" s="30" t="s">
        <v>975</v>
      </c>
      <c r="D798" s="30"/>
      <c r="E798" s="30" t="s">
        <v>964</v>
      </c>
      <c r="F798" s="30" t="s">
        <v>30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26</v>
      </c>
      <c r="B799" s="30" t="s">
        <v>221</v>
      </c>
      <c r="C799" s="30" t="s">
        <v>976</v>
      </c>
      <c r="D799" s="30"/>
      <c r="E799" s="30" t="s">
        <v>964</v>
      </c>
      <c r="F799" s="30" t="s">
        <v>30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26</v>
      </c>
      <c r="B800" s="30" t="s">
        <v>221</v>
      </c>
      <c r="C800" s="30" t="s">
        <v>977</v>
      </c>
      <c r="D800" s="30"/>
      <c r="E800" s="30" t="s">
        <v>964</v>
      </c>
      <c r="F800" s="30" t="s">
        <v>30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26</v>
      </c>
      <c r="B801" s="30" t="s">
        <v>221</v>
      </c>
      <c r="C801" s="30" t="s">
        <v>978</v>
      </c>
      <c r="D801" s="30"/>
      <c r="E801" s="30" t="s">
        <v>964</v>
      </c>
      <c r="F801" s="30" t="s">
        <v>30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173</v>
      </c>
      <c r="B802" s="30" t="s">
        <v>979</v>
      </c>
      <c r="C802" s="30" t="s">
        <v>980</v>
      </c>
      <c r="D802" s="30"/>
      <c r="E802" s="30"/>
      <c r="F802" s="30" t="s">
        <v>30</v>
      </c>
      <c r="G802" s="31">
        <v>46220</v>
      </c>
      <c r="H802" s="31"/>
      <c r="I802" s="32">
        <f>IF(OR($G802="",$H802=""),"",$H802-$G802)</f>
        <v>0</v>
      </c>
      <c r="J802" s="30"/>
    </row>
    <row r="803" spans="1:10">
      <c r="A803" s="30" t="s">
        <v>173</v>
      </c>
      <c r="B803" s="30" t="s">
        <v>979</v>
      </c>
      <c r="C803" s="30" t="s">
        <v>981</v>
      </c>
      <c r="D803" s="30"/>
      <c r="E803" s="30"/>
      <c r="F803" s="30" t="s">
        <v>30</v>
      </c>
      <c r="G803" s="31">
        <v>46220</v>
      </c>
      <c r="H803" s="31"/>
      <c r="I803" s="32">
        <f>IF(OR($G803="",$H803=""),"",$H803-$G803)</f>
        <v>0</v>
      </c>
      <c r="J803" s="30"/>
    </row>
    <row r="804" spans="1:10">
      <c r="A804" s="30" t="s">
        <v>173</v>
      </c>
      <c r="B804" s="30" t="s">
        <v>979</v>
      </c>
      <c r="C804" s="30" t="s">
        <v>982</v>
      </c>
      <c r="D804" s="30"/>
      <c r="E804" s="30"/>
      <c r="F804" s="30" t="s">
        <v>30</v>
      </c>
      <c r="G804" s="31">
        <v>46220</v>
      </c>
      <c r="H804" s="31"/>
      <c r="I804" s="32">
        <f>IF(OR($G804="",$H804=""),"",$H804-$G804)</f>
        <v>0</v>
      </c>
      <c r="J804" s="30"/>
    </row>
    <row r="805" spans="1:10">
      <c r="A805" s="30" t="s">
        <v>173</v>
      </c>
      <c r="B805" s="30" t="s">
        <v>979</v>
      </c>
      <c r="C805" s="30" t="s">
        <v>983</v>
      </c>
      <c r="D805" s="30"/>
      <c r="E805" s="30"/>
      <c r="F805" s="30" t="s">
        <v>30</v>
      </c>
      <c r="G805" s="31">
        <v>46220</v>
      </c>
      <c r="H805" s="31"/>
      <c r="I805" s="32">
        <f>IF(OR($G805="",$H805=""),"",$H805-$G805)</f>
        <v>0</v>
      </c>
      <c r="J805" s="30"/>
    </row>
    <row r="806" spans="1:10">
      <c r="A806" s="30" t="s">
        <v>173</v>
      </c>
      <c r="B806" s="30" t="s">
        <v>984</v>
      </c>
      <c r="C806" s="30" t="s">
        <v>985</v>
      </c>
      <c r="D806" s="30"/>
      <c r="E806" s="30"/>
      <c r="F806" s="30" t="s">
        <v>30</v>
      </c>
      <c r="G806" s="31">
        <v>46220</v>
      </c>
      <c r="H806" s="31"/>
      <c r="I806" s="32">
        <f>IF(OR($G806="",$H806=""),"",$H806-$G806)</f>
        <v>0</v>
      </c>
      <c r="J806" s="30"/>
    </row>
    <row r="807" spans="1:10">
      <c r="A807" s="30" t="s">
        <v>173</v>
      </c>
      <c r="B807" s="30" t="s">
        <v>984</v>
      </c>
      <c r="C807" s="30" t="s">
        <v>986</v>
      </c>
      <c r="D807" s="30"/>
      <c r="E807" s="30"/>
      <c r="F807" s="30" t="s">
        <v>30</v>
      </c>
      <c r="G807" s="31">
        <v>46220</v>
      </c>
      <c r="H807" s="31"/>
      <c r="I807" s="32">
        <f>IF(OR($G807="",$H807=""),"",$H807-$G807)</f>
        <v>0</v>
      </c>
      <c r="J807" s="30"/>
    </row>
    <row r="808" spans="1:10">
      <c r="A808" s="30" t="s">
        <v>173</v>
      </c>
      <c r="B808" s="30" t="s">
        <v>984</v>
      </c>
      <c r="C808" s="30" t="s">
        <v>987</v>
      </c>
      <c r="D808" s="30"/>
      <c r="E808" s="30"/>
      <c r="F808" s="30" t="s">
        <v>30</v>
      </c>
      <c r="G808" s="31">
        <v>46220</v>
      </c>
      <c r="H808" s="31"/>
      <c r="I808" s="32">
        <f>IF(OR($G808="",$H808=""),"",$H808-$G808)</f>
        <v>0</v>
      </c>
      <c r="J808" s="30"/>
    </row>
    <row r="809" spans="1:10">
      <c r="A809" s="30" t="s">
        <v>51</v>
      </c>
      <c r="B809" s="30" t="s">
        <v>705</v>
      </c>
      <c r="C809" s="30" t="s">
        <v>988</v>
      </c>
      <c r="D809" s="30"/>
      <c r="E809" s="30" t="s">
        <v>257</v>
      </c>
      <c r="F809" s="30" t="s">
        <v>56</v>
      </c>
      <c r="G809" s="31">
        <v>46227</v>
      </c>
      <c r="H809" s="31"/>
      <c r="I809" s="32">
        <f>IF(OR($G809="",$H809=""),"",$H809-$G809)</f>
        <v>0</v>
      </c>
      <c r="J809" s="30"/>
    </row>
    <row r="810" spans="1:10">
      <c r="A810" s="30" t="s">
        <v>51</v>
      </c>
      <c r="B810" s="30" t="s">
        <v>671</v>
      </c>
      <c r="C810" s="30" t="s">
        <v>989</v>
      </c>
      <c r="D810" s="30"/>
      <c r="E810" s="30" t="s">
        <v>257</v>
      </c>
      <c r="F810" s="30" t="s">
        <v>56</v>
      </c>
      <c r="G810" s="31">
        <v>46227</v>
      </c>
      <c r="H810" s="31"/>
      <c r="I810" s="32">
        <f>IF(OR($G810="",$H810=""),"",$H810-$G810)</f>
        <v>0</v>
      </c>
      <c r="J810" s="30"/>
    </row>
    <row r="811" spans="1:10">
      <c r="A811" s="30" t="s">
        <v>51</v>
      </c>
      <c r="B811" s="30" t="s">
        <v>671</v>
      </c>
      <c r="C811" s="30" t="s">
        <v>990</v>
      </c>
      <c r="D811" s="30"/>
      <c r="E811" s="30" t="s">
        <v>257</v>
      </c>
      <c r="F811" s="30" t="s">
        <v>56</v>
      </c>
      <c r="G811" s="31">
        <v>46227</v>
      </c>
      <c r="H811" s="31"/>
      <c r="I811" s="32">
        <f>IF(OR($G811="",$H811=""),"",$H811-$G811)</f>
        <v>0</v>
      </c>
      <c r="J811" s="30"/>
    </row>
    <row r="812" spans="1:10">
      <c r="A812" s="30" t="s">
        <v>51</v>
      </c>
      <c r="B812" s="30" t="s">
        <v>671</v>
      </c>
      <c r="C812" s="30" t="s">
        <v>991</v>
      </c>
      <c r="D812" s="30"/>
      <c r="E812" s="30" t="s">
        <v>257</v>
      </c>
      <c r="F812" s="30" t="s">
        <v>56</v>
      </c>
      <c r="G812" s="31">
        <v>46227</v>
      </c>
      <c r="H812" s="31"/>
      <c r="I812" s="32">
        <f>IF(OR($G812="",$H812=""),"",$H812-$G812)</f>
        <v>0</v>
      </c>
      <c r="J812" s="30"/>
    </row>
    <row r="813" spans="1:10">
      <c r="A813" s="30" t="s">
        <v>61</v>
      </c>
      <c r="B813" s="30" t="s">
        <v>742</v>
      </c>
      <c r="C813" s="30" t="s">
        <v>992</v>
      </c>
      <c r="D813" s="30"/>
      <c r="E813" s="30" t="s">
        <v>64</v>
      </c>
      <c r="F813" s="30" t="s">
        <v>56</v>
      </c>
      <c r="G813" s="31">
        <v>46227</v>
      </c>
      <c r="H813" s="31"/>
      <c r="I813" s="32">
        <f>IF(OR($G813="",$H813=""),"",$H813-$G813)</f>
        <v>0</v>
      </c>
      <c r="J813" s="30"/>
    </row>
    <row r="814" spans="1:10">
      <c r="A814" s="30" t="s">
        <v>61</v>
      </c>
      <c r="B814" s="30" t="s">
        <v>721</v>
      </c>
      <c r="C814" s="30" t="s">
        <v>993</v>
      </c>
      <c r="D814" s="30"/>
      <c r="E814" s="30" t="s">
        <v>64</v>
      </c>
      <c r="F814" s="30" t="s">
        <v>56</v>
      </c>
      <c r="G814" s="31">
        <v>46227</v>
      </c>
      <c r="H814" s="31"/>
      <c r="I814" s="32">
        <f>IF(OR($G814="",$H814=""),"",$H814-$G814)</f>
        <v>0</v>
      </c>
      <c r="J814" s="30"/>
    </row>
    <row r="815" spans="1:10">
      <c r="A815" s="30" t="s">
        <v>61</v>
      </c>
      <c r="B815" s="30" t="s">
        <v>721</v>
      </c>
      <c r="C815" s="30" t="s">
        <v>994</v>
      </c>
      <c r="D815" s="30"/>
      <c r="E815" s="30" t="s">
        <v>64</v>
      </c>
      <c r="F815" s="30" t="s">
        <v>56</v>
      </c>
      <c r="G815" s="31">
        <v>46227</v>
      </c>
      <c r="H815" s="31"/>
      <c r="I815" s="32">
        <f>IF(OR($G815="",$H815=""),"",$H815-$G815)</f>
        <v>0</v>
      </c>
      <c r="J815" s="30"/>
    </row>
    <row r="816" spans="1:10">
      <c r="A816" s="30" t="s">
        <v>61</v>
      </c>
      <c r="B816" s="30" t="s">
        <v>721</v>
      </c>
      <c r="C816" s="30" t="s">
        <v>995</v>
      </c>
      <c r="D816" s="30"/>
      <c r="E816" s="30" t="s">
        <v>64</v>
      </c>
      <c r="F816" s="30" t="s">
        <v>56</v>
      </c>
      <c r="G816" s="31">
        <v>46227</v>
      </c>
      <c r="H816" s="31"/>
      <c r="I816" s="32">
        <f>IF(OR($G816="",$H816=""),"",$H816-$G816)</f>
        <v>0</v>
      </c>
      <c r="J816" s="30"/>
    </row>
    <row r="817" spans="1:10">
      <c r="A817" s="30" t="s">
        <v>61</v>
      </c>
      <c r="B817" s="30" t="s">
        <v>721</v>
      </c>
      <c r="C817" s="30" t="s">
        <v>996</v>
      </c>
      <c r="D817" s="30"/>
      <c r="E817" s="30" t="s">
        <v>64</v>
      </c>
      <c r="F817" s="30" t="s">
        <v>56</v>
      </c>
      <c r="G817" s="31">
        <v>46227</v>
      </c>
      <c r="H817" s="31"/>
      <c r="I817" s="32">
        <f>IF(OR($G817="",$H817=""),"",$H817-$G817)</f>
        <v>0</v>
      </c>
      <c r="J817" s="30"/>
    </row>
    <row r="818" spans="1:10">
      <c r="A818" s="30" t="s">
        <v>61</v>
      </c>
      <c r="B818" s="30" t="s">
        <v>742</v>
      </c>
      <c r="C818" s="30" t="s">
        <v>997</v>
      </c>
      <c r="D818" s="30"/>
      <c r="E818" s="30" t="s">
        <v>64</v>
      </c>
      <c r="F818" s="30" t="s">
        <v>56</v>
      </c>
      <c r="G818" s="31">
        <v>46227</v>
      </c>
      <c r="H818" s="31"/>
      <c r="I818" s="32">
        <f>IF(OR($G818="",$H818=""),"",$H818-$G818)</f>
        <v>0</v>
      </c>
      <c r="J818" s="30"/>
    </row>
    <row r="819" spans="1:10">
      <c r="A819" s="30" t="s">
        <v>26</v>
      </c>
      <c r="B819" s="30" t="s">
        <v>598</v>
      </c>
      <c r="C819" s="30" t="s">
        <v>998</v>
      </c>
      <c r="D819" s="30"/>
      <c r="E819" s="30" t="s">
        <v>483</v>
      </c>
      <c r="F819" s="30" t="s">
        <v>30</v>
      </c>
      <c r="G819" s="31">
        <v>46231</v>
      </c>
      <c r="H819" s="31"/>
      <c r="I819" s="32">
        <f>IF(OR($G819="",$H819=""),"",$H819-$G819)</f>
        <v>0</v>
      </c>
      <c r="J819" s="30"/>
    </row>
    <row r="820" spans="1:10">
      <c r="A820" s="30" t="s">
        <v>26</v>
      </c>
      <c r="B820" s="30" t="s">
        <v>598</v>
      </c>
      <c r="C820" s="30" t="s">
        <v>999</v>
      </c>
      <c r="D820" s="30"/>
      <c r="E820" s="30" t="s">
        <v>483</v>
      </c>
      <c r="F820" s="30" t="s">
        <v>30</v>
      </c>
      <c r="G820" s="31">
        <v>46231</v>
      </c>
      <c r="H820" s="31"/>
      <c r="I820" s="32">
        <f>IF(OR($G820="",$H820=""),"",$H820-$G820)</f>
        <v>0</v>
      </c>
      <c r="J820" s="30"/>
    </row>
    <row r="821" spans="1:10">
      <c r="A821" s="30" t="s">
        <v>26</v>
      </c>
      <c r="B821" s="30" t="s">
        <v>598</v>
      </c>
      <c r="C821" s="30" t="s">
        <v>1000</v>
      </c>
      <c r="D821" s="30"/>
      <c r="E821" s="30" t="s">
        <v>483</v>
      </c>
      <c r="F821" s="30" t="s">
        <v>30</v>
      </c>
      <c r="G821" s="31">
        <v>46231</v>
      </c>
      <c r="H821" s="31"/>
      <c r="I821" s="32">
        <f>IF(OR($G821="",$H821=""),"",$H821-$G821)</f>
        <v>0</v>
      </c>
      <c r="J821" s="30"/>
    </row>
    <row r="822" spans="1:10">
      <c r="A822" s="30" t="s">
        <v>26</v>
      </c>
      <c r="B822" s="30" t="s">
        <v>598</v>
      </c>
      <c r="C822" s="30" t="s">
        <v>1001</v>
      </c>
      <c r="D822" s="30"/>
      <c r="E822" s="30" t="s">
        <v>483</v>
      </c>
      <c r="F822" s="30" t="s">
        <v>30</v>
      </c>
      <c r="G822" s="31">
        <v>46231</v>
      </c>
      <c r="H822" s="31"/>
      <c r="I822" s="32">
        <f>IF(OR($G822="",$H822=""),"",$H822-$G822)</f>
        <v>0</v>
      </c>
      <c r="J822" s="30"/>
    </row>
    <row r="823" spans="1:10">
      <c r="A823" s="30" t="s">
        <v>26</v>
      </c>
      <c r="B823" s="30" t="s">
        <v>598</v>
      </c>
      <c r="C823" s="30" t="s">
        <v>1002</v>
      </c>
      <c r="D823" s="30"/>
      <c r="E823" s="30" t="s">
        <v>483</v>
      </c>
      <c r="F823" s="30" t="s">
        <v>30</v>
      </c>
      <c r="G823" s="31">
        <v>46231</v>
      </c>
      <c r="H823" s="31"/>
      <c r="I823" s="32">
        <f>IF(OR($G823="",$H823=""),"",$H823-$G823)</f>
        <v>0</v>
      </c>
      <c r="J823" s="30"/>
    </row>
    <row r="824" spans="1:10">
      <c r="A824" s="30" t="s">
        <v>26</v>
      </c>
      <c r="B824" s="30" t="s">
        <v>598</v>
      </c>
      <c r="C824" s="30" t="s">
        <v>1003</v>
      </c>
      <c r="D824" s="30"/>
      <c r="E824" s="30" t="s">
        <v>483</v>
      </c>
      <c r="F824" s="30" t="s">
        <v>30</v>
      </c>
      <c r="G824" s="31">
        <v>46231</v>
      </c>
      <c r="H824" s="31"/>
      <c r="I824" s="32">
        <f>IF(OR($G824="",$H824=""),"",$H824-$G824)</f>
        <v>0</v>
      </c>
      <c r="J824" s="30"/>
    </row>
    <row r="825" spans="1:10">
      <c r="A825" s="30" t="s">
        <v>26</v>
      </c>
      <c r="B825" s="30" t="s">
        <v>598</v>
      </c>
      <c r="C825" s="30" t="s">
        <v>1004</v>
      </c>
      <c r="D825" s="30"/>
      <c r="E825" s="30" t="s">
        <v>483</v>
      </c>
      <c r="F825" s="30" t="s">
        <v>30</v>
      </c>
      <c r="G825" s="31">
        <v>46231</v>
      </c>
      <c r="H825" s="31"/>
      <c r="I825" s="32">
        <f>IF(OR($G825="",$H825=""),"",$H825-$G825)</f>
        <v>0</v>
      </c>
      <c r="J825" s="30"/>
    </row>
    <row r="826" spans="1:10">
      <c r="A826" s="30" t="s">
        <v>26</v>
      </c>
      <c r="B826" s="30" t="s">
        <v>598</v>
      </c>
      <c r="C826" s="30" t="s">
        <v>1005</v>
      </c>
      <c r="D826" s="30"/>
      <c r="E826" s="30" t="s">
        <v>483</v>
      </c>
      <c r="F826" s="30" t="s">
        <v>30</v>
      </c>
      <c r="G826" s="31">
        <v>46231</v>
      </c>
      <c r="H826" s="31"/>
      <c r="I826" s="32">
        <f>IF(OR($G826="",$H826=""),"",$H826-$G826)</f>
        <v>0</v>
      </c>
      <c r="J826" s="30"/>
    </row>
    <row r="827" spans="1:10">
      <c r="A827" s="30" t="s">
        <v>26</v>
      </c>
      <c r="B827" s="30" t="s">
        <v>598</v>
      </c>
      <c r="C827" s="30" t="s">
        <v>1006</v>
      </c>
      <c r="D827" s="30"/>
      <c r="E827" s="30" t="s">
        <v>483</v>
      </c>
      <c r="F827" s="30" t="s">
        <v>30</v>
      </c>
      <c r="G827" s="31">
        <v>46231</v>
      </c>
      <c r="H827" s="31"/>
      <c r="I827" s="32">
        <f>IF(OR($G827="",$H827=""),"",$H827-$G827)</f>
        <v>0</v>
      </c>
      <c r="J827" s="30"/>
    </row>
    <row r="828" spans="1:10">
      <c r="A828" s="30" t="s">
        <v>26</v>
      </c>
      <c r="B828" s="30" t="s">
        <v>598</v>
      </c>
      <c r="C828" s="30" t="s">
        <v>1007</v>
      </c>
      <c r="D828" s="30"/>
      <c r="E828" s="30" t="s">
        <v>483</v>
      </c>
      <c r="F828" s="30" t="s">
        <v>30</v>
      </c>
      <c r="G828" s="31">
        <v>46231</v>
      </c>
      <c r="H828" s="31"/>
      <c r="I828" s="32">
        <f>IF(OR($G828="",$H828=""),"",$H828-$G828)</f>
        <v>0</v>
      </c>
      <c r="J828" s="30"/>
    </row>
    <row r="829" spans="1:10">
      <c r="A829" s="30" t="s">
        <v>26</v>
      </c>
      <c r="B829" s="30" t="s">
        <v>598</v>
      </c>
      <c r="C829" s="30" t="s">
        <v>1008</v>
      </c>
      <c r="D829" s="30"/>
      <c r="E829" s="30" t="s">
        <v>483</v>
      </c>
      <c r="F829" s="30" t="s">
        <v>30</v>
      </c>
      <c r="G829" s="31">
        <v>46231</v>
      </c>
      <c r="H829" s="31"/>
      <c r="I829" s="32">
        <f>IF(OR($G829="",$H829=""),"",$H829-$G829)</f>
        <v>0</v>
      </c>
      <c r="J829" s="30"/>
    </row>
    <row r="830" spans="1:10">
      <c r="A830" s="30" t="s">
        <v>86</v>
      </c>
      <c r="B830" s="30" t="s">
        <v>103</v>
      </c>
      <c r="C830" s="30" t="s">
        <v>1009</v>
      </c>
      <c r="D830" s="30"/>
      <c r="E830" s="30" t="s">
        <v>89</v>
      </c>
      <c r="F830" s="30" t="s">
        <v>30</v>
      </c>
      <c r="G830" s="31">
        <v>46231</v>
      </c>
      <c r="H830" s="31"/>
      <c r="I830" s="32">
        <f>IF(OR($G830="",$H830=""),"",$H830-$G830)</f>
        <v>0</v>
      </c>
      <c r="J830" s="30"/>
    </row>
    <row r="831" spans="1:10">
      <c r="A831" s="30" t="s">
        <v>86</v>
      </c>
      <c r="B831" s="30" t="s">
        <v>103</v>
      </c>
      <c r="C831" s="30" t="s">
        <v>1010</v>
      </c>
      <c r="D831" s="30"/>
      <c r="E831" s="30" t="s">
        <v>89</v>
      </c>
      <c r="F831" s="30" t="s">
        <v>30</v>
      </c>
      <c r="G831" s="31">
        <v>46231</v>
      </c>
      <c r="H831" s="31"/>
      <c r="I831" s="32">
        <f>IF(OR($G831="",$H831=""),"",$H831-$G831)</f>
        <v>0</v>
      </c>
      <c r="J831" s="30"/>
    </row>
    <row r="832" spans="1:10">
      <c r="A832" s="30" t="s">
        <v>86</v>
      </c>
      <c r="B832" s="30" t="s">
        <v>103</v>
      </c>
      <c r="C832" s="30" t="s">
        <v>1011</v>
      </c>
      <c r="D832" s="30"/>
      <c r="E832" s="30" t="s">
        <v>89</v>
      </c>
      <c r="F832" s="30" t="s">
        <v>30</v>
      </c>
      <c r="G832" s="31">
        <v>46231</v>
      </c>
      <c r="H832" s="31"/>
      <c r="I832" s="32">
        <f>IF(OR($G832="",$H832=""),"",$H832-$G832)</f>
        <v>0</v>
      </c>
      <c r="J832" s="30"/>
    </row>
    <row r="833" spans="1:10">
      <c r="A833" s="30" t="s">
        <v>86</v>
      </c>
      <c r="B833" s="30" t="s">
        <v>103</v>
      </c>
      <c r="C833" s="30" t="s">
        <v>1012</v>
      </c>
      <c r="D833" s="30"/>
      <c r="E833" s="30" t="s">
        <v>89</v>
      </c>
      <c r="F833" s="30" t="s">
        <v>30</v>
      </c>
      <c r="G833" s="31">
        <v>46231</v>
      </c>
      <c r="H833" s="31"/>
      <c r="I833" s="32">
        <f>IF(OR($G833="",$H833=""),"",$H833-$G833)</f>
        <v>0</v>
      </c>
      <c r="J833" s="30"/>
    </row>
    <row r="834" spans="1:10">
      <c r="A834" s="30" t="s">
        <v>86</v>
      </c>
      <c r="B834" s="30" t="s">
        <v>103</v>
      </c>
      <c r="C834" s="30" t="s">
        <v>1013</v>
      </c>
      <c r="D834" s="30"/>
      <c r="E834" s="30" t="s">
        <v>89</v>
      </c>
      <c r="F834" s="30" t="s">
        <v>30</v>
      </c>
      <c r="G834" s="31">
        <v>46231</v>
      </c>
      <c r="H834" s="31"/>
      <c r="I834" s="32">
        <f>IF(OR($G834="",$H834=""),"",$H834-$G834)</f>
        <v>0</v>
      </c>
      <c r="J834" s="30"/>
    </row>
    <row r="835" spans="1:10">
      <c r="A835" s="30" t="s">
        <v>86</v>
      </c>
      <c r="B835" s="30" t="s">
        <v>103</v>
      </c>
      <c r="C835" s="30" t="s">
        <v>1014</v>
      </c>
      <c r="D835" s="30"/>
      <c r="E835" s="30" t="s">
        <v>89</v>
      </c>
      <c r="F835" s="30" t="s">
        <v>30</v>
      </c>
      <c r="G835" s="31">
        <v>46231</v>
      </c>
      <c r="H835" s="31"/>
      <c r="I835" s="32">
        <f>IF(OR($G835="",$H835=""),"",$H835-$G835)</f>
        <v>0</v>
      </c>
      <c r="J835" s="30"/>
    </row>
    <row r="836" spans="1:10">
      <c r="A836" s="30" t="s">
        <v>86</v>
      </c>
      <c r="B836" s="30" t="s">
        <v>103</v>
      </c>
      <c r="C836" s="30" t="s">
        <v>1015</v>
      </c>
      <c r="D836" s="30"/>
      <c r="E836" s="30" t="s">
        <v>89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86</v>
      </c>
      <c r="B837" s="30" t="s">
        <v>103</v>
      </c>
      <c r="C837" s="30" t="s">
        <v>1016</v>
      </c>
      <c r="D837" s="30"/>
      <c r="E837" s="30" t="s">
        <v>89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86</v>
      </c>
      <c r="B838" s="30" t="s">
        <v>103</v>
      </c>
      <c r="C838" s="30" t="s">
        <v>1017</v>
      </c>
      <c r="D838" s="30"/>
      <c r="E838" s="30" t="s">
        <v>89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86</v>
      </c>
      <c r="B839" s="30" t="s">
        <v>103</v>
      </c>
      <c r="C839" s="30" t="s">
        <v>1018</v>
      </c>
      <c r="D839" s="30"/>
      <c r="E839" s="30" t="s">
        <v>89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86</v>
      </c>
      <c r="B840" s="30" t="s">
        <v>103</v>
      </c>
      <c r="C840" s="30" t="s">
        <v>1019</v>
      </c>
      <c r="D840" s="30"/>
      <c r="E840" s="30" t="s">
        <v>89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86</v>
      </c>
      <c r="B841" s="30" t="s">
        <v>103</v>
      </c>
      <c r="C841" s="30" t="s">
        <v>1020</v>
      </c>
      <c r="D841" s="30"/>
      <c r="E841" s="30" t="s">
        <v>89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86</v>
      </c>
      <c r="B842" s="30" t="s">
        <v>103</v>
      </c>
      <c r="C842" s="30" t="s">
        <v>1021</v>
      </c>
      <c r="D842" s="30"/>
      <c r="E842" s="30" t="s">
        <v>89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86</v>
      </c>
      <c r="B843" s="30" t="s">
        <v>103</v>
      </c>
      <c r="C843" s="30" t="s">
        <v>1022</v>
      </c>
      <c r="D843" s="30"/>
      <c r="E843" s="30" t="s">
        <v>89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86</v>
      </c>
      <c r="B844" s="30" t="s">
        <v>103</v>
      </c>
      <c r="C844" s="30" t="s">
        <v>1023</v>
      </c>
      <c r="D844" s="30"/>
      <c r="E844" s="30" t="s">
        <v>89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86</v>
      </c>
      <c r="B845" s="30" t="s">
        <v>103</v>
      </c>
      <c r="C845" s="30" t="s">
        <v>1024</v>
      </c>
      <c r="D845" s="30"/>
      <c r="E845" s="30" t="s">
        <v>89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86</v>
      </c>
      <c r="B846" s="30" t="s">
        <v>103</v>
      </c>
      <c r="C846" s="30" t="s">
        <v>1025</v>
      </c>
      <c r="D846" s="30"/>
      <c r="E846" s="30" t="s">
        <v>89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103</v>
      </c>
      <c r="C847" s="30" t="s">
        <v>1026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103</v>
      </c>
      <c r="C848" s="30" t="s">
        <v>1027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103</v>
      </c>
      <c r="C849" s="30" t="s">
        <v>1028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51</v>
      </c>
      <c r="B850" s="30" t="s">
        <v>569</v>
      </c>
      <c r="C850" s="30" t="s">
        <v>1029</v>
      </c>
      <c r="D850" s="30"/>
      <c r="E850" s="30" t="s">
        <v>168</v>
      </c>
      <c r="F850" s="30" t="s">
        <v>30</v>
      </c>
      <c r="G850" s="31">
        <v>46219</v>
      </c>
      <c r="H850" s="31"/>
      <c r="I850" s="32">
        <f>IF(OR($G850="",$H850=""),"",$H850-$G850)</f>
        <v>0</v>
      </c>
      <c r="J850" s="30"/>
    </row>
    <row r="851" spans="1:10">
      <c r="A851" s="30" t="s">
        <v>51</v>
      </c>
      <c r="B851" s="30" t="s">
        <v>569</v>
      </c>
      <c r="C851" s="30" t="s">
        <v>1030</v>
      </c>
      <c r="D851" s="30"/>
      <c r="E851" s="30" t="s">
        <v>168</v>
      </c>
      <c r="F851" s="30" t="s">
        <v>30</v>
      </c>
      <c r="G851" s="31">
        <v>46219</v>
      </c>
      <c r="H851" s="31"/>
      <c r="I851" s="32">
        <f>IF(OR($G851="",$H851=""),"",$H851-$G851)</f>
        <v>0</v>
      </c>
      <c r="J851" s="30"/>
    </row>
    <row r="852" spans="1:10">
      <c r="A852" s="30" t="s">
        <v>51</v>
      </c>
      <c r="B852" s="30" t="s">
        <v>569</v>
      </c>
      <c r="C852" s="30" t="s">
        <v>1031</v>
      </c>
      <c r="D852" s="30"/>
      <c r="E852" s="30" t="s">
        <v>168</v>
      </c>
      <c r="F852" s="30" t="s">
        <v>30</v>
      </c>
      <c r="G852" s="31">
        <v>46219</v>
      </c>
      <c r="H852" s="31"/>
      <c r="I852" s="32">
        <f>IF(OR($G852="",$H852=""),"",$H852-$G852)</f>
        <v>0</v>
      </c>
      <c r="J852" s="30"/>
    </row>
    <row r="853" spans="1:10">
      <c r="A853" s="30" t="s">
        <v>61</v>
      </c>
      <c r="B853" s="30" t="s">
        <v>742</v>
      </c>
      <c r="C853" s="30" t="s">
        <v>81</v>
      </c>
      <c r="D853" s="30"/>
      <c r="E853" s="30" t="s">
        <v>64</v>
      </c>
      <c r="F853" s="30" t="s">
        <v>56</v>
      </c>
      <c r="G853" s="31">
        <v>46227</v>
      </c>
      <c r="H853" s="31"/>
      <c r="I853" s="32">
        <f>IF(OR($G853="",$H853=""),"",$H853-$G853)</f>
        <v>0</v>
      </c>
      <c r="J853" s="30"/>
    </row>
    <row r="854" spans="1:10">
      <c r="A854" s="30" t="s">
        <v>61</v>
      </c>
      <c r="B854" s="30" t="s">
        <v>721</v>
      </c>
      <c r="C854" s="30" t="s">
        <v>1032</v>
      </c>
      <c r="D854" s="30"/>
      <c r="E854" s="30" t="s">
        <v>64</v>
      </c>
      <c r="F854" s="30" t="s">
        <v>56</v>
      </c>
      <c r="G854" s="31">
        <v>46227</v>
      </c>
      <c r="H854" s="31"/>
      <c r="I854" s="32">
        <f>IF(OR($G854="",$H854=""),"",$H854-$G854)</f>
        <v>0</v>
      </c>
      <c r="J854" s="30"/>
    </row>
    <row r="855" spans="1:10">
      <c r="A855" s="30" t="s">
        <v>61</v>
      </c>
      <c r="B855" s="30" t="s">
        <v>714</v>
      </c>
      <c r="C855" s="30" t="s">
        <v>1033</v>
      </c>
      <c r="D855" s="30"/>
      <c r="E855" s="30" t="s">
        <v>64</v>
      </c>
      <c r="F855" s="30" t="s">
        <v>56</v>
      </c>
      <c r="G855" s="31">
        <v>46227</v>
      </c>
      <c r="H855" s="31"/>
      <c r="I855" s="32">
        <f>IF(OR($G855="",$H855=""),"",$H855-$G855)</f>
        <v>0</v>
      </c>
      <c r="J855" s="30"/>
    </row>
    <row r="856" spans="1:10">
      <c r="A856" s="30" t="s">
        <v>61</v>
      </c>
      <c r="B856" s="30" t="s">
        <v>721</v>
      </c>
      <c r="C856" s="30" t="s">
        <v>1034</v>
      </c>
      <c r="D856" s="30"/>
      <c r="E856" s="30" t="s">
        <v>64</v>
      </c>
      <c r="F856" s="30" t="s">
        <v>56</v>
      </c>
      <c r="G856" s="31">
        <v>46227</v>
      </c>
      <c r="H856" s="31"/>
      <c r="I856" s="32">
        <f>IF(OR($G856="",$H856=""),"",$H856-$G856)</f>
        <v>0</v>
      </c>
      <c r="J856" s="30"/>
    </row>
    <row r="857" spans="1:10">
      <c r="A857" s="30" t="s">
        <v>61</v>
      </c>
      <c r="B857" s="30" t="s">
        <v>721</v>
      </c>
      <c r="C857" s="30" t="s">
        <v>1035</v>
      </c>
      <c r="D857" s="30"/>
      <c r="E857" s="30" t="s">
        <v>64</v>
      </c>
      <c r="F857" s="30" t="s">
        <v>56</v>
      </c>
      <c r="G857" s="31">
        <v>46227</v>
      </c>
      <c r="H857" s="31"/>
      <c r="I857" s="32">
        <f>IF(OR($G857="",$H857=""),"",$H857-$G857)</f>
        <v>0</v>
      </c>
      <c r="J857" s="30"/>
    </row>
    <row r="858" spans="1:10">
      <c r="A858" s="30" t="s">
        <v>114</v>
      </c>
      <c r="B858" s="30" t="s">
        <v>115</v>
      </c>
      <c r="C858" s="30" t="s">
        <v>1036</v>
      </c>
      <c r="D858" s="30"/>
      <c r="E858" s="30" t="s">
        <v>117</v>
      </c>
      <c r="F858" s="30" t="s">
        <v>30</v>
      </c>
      <c r="G858" s="31">
        <v>46233</v>
      </c>
      <c r="H858" s="31"/>
      <c r="I858" s="32">
        <f>IF(OR($G858="",$H858=""),"",$H858-$G858)</f>
        <v>0</v>
      </c>
      <c r="J85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Listy!$B$2:$B$27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2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1038</v>
      </c>
      <c r="K2" s="12"/>
      <c r="L2" s="12"/>
    </row>
    <row r="3" spans="1:15" ht="22" customHeight="1">
      <c r="B3" s="33" t="s">
        <v>1039</v>
      </c>
      <c r="C3" s="33"/>
      <c r="E3" s="33" t="s">
        <v>1056</v>
      </c>
      <c r="F3" s="33"/>
      <c r="G3" s="33"/>
      <c r="I3" s="33" t="s">
        <v>1061</v>
      </c>
      <c r="J3" s="33"/>
      <c r="K3" s="33"/>
      <c r="M3" s="33" t="s">
        <v>1062</v>
      </c>
      <c r="N3" s="33"/>
      <c r="O3" s="33"/>
    </row>
    <row r="4" spans="1:15">
      <c r="B4" s="34" t="s">
        <v>1040</v>
      </c>
      <c r="C4" s="35">
        <f>SUMPRODUCT(--(('W rejestracji'!$A$9:$A$3000&amp;'W rejestracji'!$C$9:$C$3000)&lt;&gt;""))</f>
        <v>0</v>
      </c>
      <c r="E4" s="21" t="s">
        <v>1057</v>
      </c>
      <c r="F4" s="21" t="s">
        <v>1058</v>
      </c>
      <c r="G4" s="21" t="s">
        <v>1055</v>
      </c>
      <c r="I4" s="21" t="s">
        <v>1057</v>
      </c>
      <c r="J4" s="21" t="s">
        <v>1058</v>
      </c>
      <c r="K4" s="21" t="s">
        <v>1055</v>
      </c>
      <c r="M4" s="21" t="s">
        <v>1057</v>
      </c>
      <c r="N4" s="21" t="s">
        <v>1058</v>
      </c>
      <c r="O4" s="21" t="s">
        <v>1055</v>
      </c>
    </row>
    <row r="5" spans="1:15">
      <c r="B5" s="34" t="s">
        <v>1041</v>
      </c>
      <c r="C5" s="35">
        <f>SUMPRODUCT(--((Zarejestrowane!$A$9:$A$3000&amp;Zarejestrowane!$C$9:$C$3000)&lt;&gt;""))</f>
        <v>0</v>
      </c>
      <c r="E5" s="34" t="s">
        <v>475</v>
      </c>
      <c r="F5" s="36">
        <f>COUNTIF('W rejestracji'!$F$9:$F$3000,E5)</f>
        <v>0</v>
      </c>
      <c r="G5" s="36">
        <f>COUNTIF(Zarejestrowane!$F$9:$F$3000,E5)</f>
        <v>0</v>
      </c>
      <c r="I5" s="34" t="s">
        <v>161</v>
      </c>
      <c r="J5" s="36">
        <f>COUNTIF('W rejestracji'!$A$9:$A$3000,I5)</f>
        <v>0</v>
      </c>
      <c r="K5" s="36">
        <f>COUNTIF(Zarejestrowane!$A$9:$A$3000,I5)</f>
        <v>0</v>
      </c>
      <c r="M5" s="34" t="s">
        <v>117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1042</v>
      </c>
      <c r="C6" s="35">
        <f>IF(COUNT(Zarejestrowane!$I$9:$I$3000)=0,"—",ROUND(AVERAGE(Zarejestrowane!$I$9:$I$3000),1))</f>
        <v>0</v>
      </c>
      <c r="E6" s="34" t="s">
        <v>356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391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1043</v>
      </c>
      <c r="C7" s="35">
        <f>IF(COUNT(Zarejestrowane!$I$9:$I$3000)=0,"—",MAX(Zarejestrowane!$I$9:$I$3000))</f>
        <v>0</v>
      </c>
      <c r="E7" s="34" t="s">
        <v>118</v>
      </c>
      <c r="F7" s="36">
        <f>COUNTIF('W rejestracji'!$F$9:$F$3000,E7)</f>
        <v>0</v>
      </c>
      <c r="G7" s="36">
        <f>COUNTIF(Zarejestrowane!$F$9:$F$3000,E7)</f>
        <v>0</v>
      </c>
      <c r="I7" s="34" t="s">
        <v>114</v>
      </c>
      <c r="J7" s="36">
        <f>COUNTIF('W rejestracji'!$A$9:$A$3000,I7)</f>
        <v>0</v>
      </c>
      <c r="K7" s="36">
        <f>COUNTIF(Zarejestrowane!$A$9:$A$3000,I7)</f>
        <v>0</v>
      </c>
      <c r="M7" s="34" t="s">
        <v>964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1044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654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1045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181</v>
      </c>
      <c r="J9" s="36">
        <f>COUNTIF('W rejestracji'!$A$9:$A$3000,I9)</f>
        <v>0</v>
      </c>
      <c r="K9" s="36">
        <f>COUNTIF(Zarejestrowane!$A$9:$A$3000,I9)</f>
        <v>0</v>
      </c>
      <c r="M9" s="34" t="s">
        <v>524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1046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173</v>
      </c>
      <c r="J10" s="36">
        <f>COUNTIF('W rejestracji'!$A$9:$A$3000,I10)</f>
        <v>0</v>
      </c>
      <c r="K10" s="36">
        <f>COUNTIF(Zarejestrowane!$A$9:$A$3000,I10)</f>
        <v>0</v>
      </c>
      <c r="M10" s="34" t="s">
        <v>168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1059</v>
      </c>
      <c r="F11" s="36">
        <f>$C$4-SUM(F5:F10)</f>
        <v>0</v>
      </c>
      <c r="G11" s="36">
        <f>$C$5-SUM(G5:G10)</f>
        <v>0</v>
      </c>
      <c r="I11" s="34" t="s">
        <v>275</v>
      </c>
      <c r="J11" s="36">
        <f>COUNTIF('W rejestracji'!$A$9:$A$3000,I11)</f>
        <v>0</v>
      </c>
      <c r="K11" s="36">
        <f>COUNTIF(Zarejestrowane!$A$9:$A$3000,I11)</f>
        <v>0</v>
      </c>
      <c r="M11" s="34" t="s">
        <v>223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1047</v>
      </c>
      <c r="C12" s="33"/>
      <c r="D12" s="33"/>
      <c r="E12" s="37" t="s">
        <v>1060</v>
      </c>
      <c r="F12" s="38">
        <f>SUM(F5:F11)</f>
        <v>0</v>
      </c>
      <c r="G12" s="38">
        <f>SUM(G5:G11)</f>
        <v>0</v>
      </c>
      <c r="I12" s="34" t="s">
        <v>166</v>
      </c>
      <c r="J12" s="36">
        <f>COUNTIF('W rejestracji'!$A$9:$A$3000,I12)</f>
        <v>0</v>
      </c>
      <c r="K12" s="36">
        <f>COUNTIF(Zarejestrowane!$A$9:$A$3000,I12)</f>
        <v>0</v>
      </c>
      <c r="M12" s="34" t="s">
        <v>141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1048</v>
      </c>
      <c r="C13" s="18" t="s">
        <v>1049</v>
      </c>
      <c r="I13" s="34" t="s">
        <v>388</v>
      </c>
      <c r="J13" s="36">
        <f>COUNTIF('W rejestracji'!$A$9:$A$3000,I13)</f>
        <v>0</v>
      </c>
      <c r="K13" s="36">
        <f>COUNTIF(Zarejestrowane!$A$9:$A$3000,I13)</f>
        <v>0</v>
      </c>
      <c r="M13" s="34" t="s">
        <v>587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1049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1049</v>
      </c>
      <c r="I15" s="34" t="s">
        <v>651</v>
      </c>
      <c r="J15" s="36">
        <f>COUNTIF('W rejestracji'!$A$9:$A$3000,I15)</f>
        <v>0</v>
      </c>
      <c r="K15" s="36">
        <f>COUNTIF(Zarejestrowane!$A$9:$A$3000,I15)</f>
        <v>0</v>
      </c>
      <c r="M15" s="34" t="s">
        <v>64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1049</v>
      </c>
      <c r="D16" s="12" t="s">
        <v>1052</v>
      </c>
      <c r="E16" s="12"/>
      <c r="F16" s="12"/>
      <c r="I16" s="34" t="s">
        <v>138</v>
      </c>
      <c r="J16" s="36">
        <f>COUNTIF('W rejestracji'!$A$9:$A$3000,I16)</f>
        <v>0</v>
      </c>
      <c r="K16" s="36">
        <f>COUNTIF(Zarejestrowane!$A$9:$A$3000,I16)</f>
        <v>0</v>
      </c>
      <c r="M16" s="34" t="s">
        <v>439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257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1050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260</v>
      </c>
      <c r="J18" s="36">
        <f>COUNTIF('W rejestracji'!$A$9:$A$3000,I18)</f>
        <v>0</v>
      </c>
      <c r="K18" s="36">
        <f>COUNTIF(Zarejestrowane!$A$9:$A$3000,I18)</f>
        <v>0</v>
      </c>
      <c r="M18" s="34" t="s">
        <v>176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1051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1059</v>
      </c>
      <c r="J19" s="36">
        <f>$C$4-SUM(J5:J18)</f>
        <v>0</v>
      </c>
      <c r="K19" s="36">
        <f>$C$5-SUM(K5:K18)</f>
        <v>0</v>
      </c>
      <c r="M19" s="34" t="s">
        <v>716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1060</v>
      </c>
      <c r="J20" s="38">
        <f>SUM(J5:J19)</f>
        <v>0</v>
      </c>
      <c r="K20" s="38">
        <f>SUM(K5:K19)</f>
        <v>0</v>
      </c>
      <c r="M20" s="34" t="s">
        <v>558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1053</v>
      </c>
      <c r="C21" s="33"/>
      <c r="D21" s="33"/>
      <c r="M21" s="34" t="s">
        <v>510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1048</v>
      </c>
      <c r="C22" s="21" t="s">
        <v>1054</v>
      </c>
      <c r="D22" s="21" t="s">
        <v>1055</v>
      </c>
      <c r="M22" s="34" t="s">
        <v>29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483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749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COUNTIFS(Zarejestrowane!$H$9:$H$3000,"&gt;="&amp;$B$25,Zarejestrowane!$H$9:$H$3000,"&lt;"&amp;EDATE($B$25,1))+COUNT('Archiwum 2026-07'!$H$2:$H$5000)</f>
        <v>0</v>
      </c>
      <c r="M25" s="34" t="s">
        <v>355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808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420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164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89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278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1059</v>
      </c>
      <c r="N31" s="36">
        <f>$C$4-SUM(N5:N30)</f>
        <v>0</v>
      </c>
      <c r="O31" s="36">
        <f>$C$5-SUM(O5:O30)</f>
        <v>0</v>
      </c>
    </row>
    <row r="32" spans="2:15">
      <c r="M32" s="37" t="s">
        <v>1060</v>
      </c>
      <c r="N32" s="38">
        <f>SUM(N5:N31)</f>
        <v>0</v>
      </c>
      <c r="O32" s="38">
        <f>SUM(O5:O31)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Listy!$I$2:$I$28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1063</v>
      </c>
      <c r="B1" s="1"/>
      <c r="C1" s="1"/>
      <c r="D1" s="2" t="s">
        <v>1</v>
      </c>
    </row>
    <row r="3" spans="1:4">
      <c r="A3" s="12" t="s">
        <v>1064</v>
      </c>
    </row>
    <row r="4" spans="1:4">
      <c r="A4" s="21" t="s">
        <v>1065</v>
      </c>
      <c r="B4" s="21" t="s">
        <v>17</v>
      </c>
    </row>
    <row r="5" spans="1:4">
      <c r="A5" s="13" t="s">
        <v>1066</v>
      </c>
      <c r="B5" s="13" t="s">
        <v>1014</v>
      </c>
    </row>
    <row r="6" spans="1:4">
      <c r="A6" s="13" t="s">
        <v>1067</v>
      </c>
      <c r="B6" s="13" t="s">
        <v>1025</v>
      </c>
    </row>
    <row r="7" spans="1:4">
      <c r="A7" s="13" t="s">
        <v>1067</v>
      </c>
      <c r="B7" s="13" t="s">
        <v>1015</v>
      </c>
    </row>
    <row r="8" spans="1:4">
      <c r="A8" s="13" t="s">
        <v>1067</v>
      </c>
      <c r="B8" s="13" t="s">
        <v>106</v>
      </c>
    </row>
    <row r="9" spans="1:4">
      <c r="A9" s="13" t="s">
        <v>1067</v>
      </c>
      <c r="B9" s="13" t="s">
        <v>1009</v>
      </c>
    </row>
    <row r="10" spans="1:4">
      <c r="A10" s="13" t="s">
        <v>1067</v>
      </c>
      <c r="B10" s="13" t="s">
        <v>1012</v>
      </c>
    </row>
    <row r="11" spans="1:4">
      <c r="A11" s="13" t="s">
        <v>1068</v>
      </c>
      <c r="B11" s="13" t="s">
        <v>100</v>
      </c>
    </row>
    <row r="12" spans="1:4">
      <c r="A12" s="13" t="s">
        <v>1066</v>
      </c>
      <c r="B12" s="13" t="s">
        <v>1069</v>
      </c>
    </row>
    <row r="13" spans="1:4">
      <c r="A13" s="13" t="s">
        <v>1066</v>
      </c>
      <c r="B13" s="13" t="s">
        <v>1018</v>
      </c>
    </row>
    <row r="14" spans="1:4">
      <c r="A14" s="13" t="s">
        <v>1066</v>
      </c>
      <c r="B14" s="13" t="s">
        <v>1022</v>
      </c>
    </row>
    <row r="15" spans="1:4">
      <c r="A15" s="13" t="s">
        <v>1066</v>
      </c>
      <c r="B15" s="13" t="s">
        <v>1028</v>
      </c>
    </row>
    <row r="16" spans="1:4">
      <c r="A16" s="13" t="s">
        <v>1066</v>
      </c>
      <c r="B16" s="13" t="s">
        <v>1017</v>
      </c>
    </row>
    <row r="17" spans="1:2">
      <c r="A17" s="13" t="s">
        <v>1066</v>
      </c>
      <c r="B17" s="13" t="s">
        <v>1011</v>
      </c>
    </row>
    <row r="18" spans="1:2">
      <c r="A18" s="13" t="s">
        <v>1066</v>
      </c>
      <c r="B18" s="13" t="s">
        <v>1016</v>
      </c>
    </row>
    <row r="19" spans="1:2">
      <c r="A19" s="13" t="s">
        <v>1066</v>
      </c>
      <c r="B19" s="13" t="s">
        <v>1013</v>
      </c>
    </row>
    <row r="20" spans="1:2">
      <c r="A20" s="13" t="s">
        <v>1066</v>
      </c>
      <c r="B20" s="13" t="s">
        <v>1024</v>
      </c>
    </row>
    <row r="21" spans="1:2">
      <c r="A21" s="13" t="s">
        <v>1066</v>
      </c>
      <c r="B21" s="13" t="s">
        <v>1019</v>
      </c>
    </row>
    <row r="22" spans="1:2">
      <c r="A22" s="13" t="s">
        <v>1066</v>
      </c>
      <c r="B22" s="13" t="s">
        <v>1023</v>
      </c>
    </row>
    <row r="23" spans="1:2">
      <c r="A23" s="13" t="s">
        <v>1066</v>
      </c>
      <c r="B23" s="13" t="s">
        <v>1027</v>
      </c>
    </row>
    <row r="24" spans="1:2">
      <c r="A24" s="13" t="s">
        <v>1066</v>
      </c>
      <c r="B24" s="13" t="s">
        <v>1020</v>
      </c>
    </row>
    <row r="25" spans="1:2">
      <c r="A25" s="13" t="s">
        <v>1066</v>
      </c>
      <c r="B25" s="13" t="s">
        <v>1010</v>
      </c>
    </row>
    <row r="26" spans="1:2">
      <c r="A26" s="13" t="s">
        <v>1066</v>
      </c>
      <c r="B26" s="13" t="s">
        <v>1021</v>
      </c>
    </row>
    <row r="27" spans="1:2">
      <c r="A27" s="13" t="s">
        <v>1066</v>
      </c>
      <c r="B27" s="13" t="s">
        <v>111</v>
      </c>
    </row>
    <row r="28" spans="1:2">
      <c r="A28" s="13" t="s">
        <v>1066</v>
      </c>
      <c r="B28" s="13" t="s">
        <v>112</v>
      </c>
    </row>
    <row r="29" spans="1:2">
      <c r="A29" s="13" t="s">
        <v>1066</v>
      </c>
      <c r="B29" s="13" t="s">
        <v>1026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1070</v>
      </c>
      <c r="B1" s="21" t="s">
        <v>1071</v>
      </c>
      <c r="C1" s="21" t="s">
        <v>1072</v>
      </c>
      <c r="D1" s="21" t="s">
        <v>1073</v>
      </c>
      <c r="E1" s="21" t="s">
        <v>1074</v>
      </c>
      <c r="F1" s="21" t="s">
        <v>1075</v>
      </c>
      <c r="G1" s="21" t="s">
        <v>1084</v>
      </c>
      <c r="H1" s="21" t="s">
        <v>1085</v>
      </c>
      <c r="I1" s="21" t="s">
        <v>1086</v>
      </c>
    </row>
    <row r="2" spans="1:9">
      <c r="A2" s="13" t="s">
        <v>161</v>
      </c>
      <c r="B2" s="13" t="s">
        <v>117</v>
      </c>
      <c r="C2" s="13" t="s">
        <v>475</v>
      </c>
      <c r="D2" s="13" t="s">
        <v>55</v>
      </c>
      <c r="E2" s="14">
        <f>TODAY()-0</f>
        <v>0</v>
      </c>
      <c r="F2" s="13" t="s">
        <v>1049</v>
      </c>
      <c r="G2" s="13" t="s">
        <v>1049</v>
      </c>
      <c r="H2" s="13" t="s">
        <v>1049</v>
      </c>
      <c r="I2" s="13" t="s">
        <v>1049</v>
      </c>
    </row>
    <row r="3" spans="1:9">
      <c r="A3" s="13" t="s">
        <v>51</v>
      </c>
      <c r="B3" s="13" t="s">
        <v>391</v>
      </c>
      <c r="C3" s="13" t="s">
        <v>356</v>
      </c>
      <c r="D3" s="13" t="s">
        <v>90</v>
      </c>
      <c r="E3" s="14">
        <f>TODAY()-1</f>
        <v>0</v>
      </c>
      <c r="F3" s="13" t="s">
        <v>1076</v>
      </c>
      <c r="G3" s="13" t="s">
        <v>475</v>
      </c>
      <c r="H3" s="13" t="s">
        <v>161</v>
      </c>
      <c r="I3" s="13" t="s">
        <v>117</v>
      </c>
    </row>
    <row r="4" spans="1:9">
      <c r="A4" s="13" t="s">
        <v>114</v>
      </c>
      <c r="B4" s="13" t="s">
        <v>964</v>
      </c>
      <c r="C4" s="13" t="s">
        <v>118</v>
      </c>
      <c r="D4" s="13" t="s">
        <v>65</v>
      </c>
      <c r="E4" s="14">
        <f>TODAY()-2</f>
        <v>0</v>
      </c>
      <c r="F4" s="13" t="s">
        <v>1077</v>
      </c>
      <c r="G4" s="13" t="s">
        <v>356</v>
      </c>
      <c r="H4" s="13" t="s">
        <v>51</v>
      </c>
      <c r="I4" s="13" t="s">
        <v>391</v>
      </c>
    </row>
    <row r="5" spans="1:9">
      <c r="A5" s="13" t="s">
        <v>26</v>
      </c>
      <c r="B5" s="13" t="s">
        <v>654</v>
      </c>
      <c r="C5" s="13" t="s">
        <v>56</v>
      </c>
      <c r="E5" s="14">
        <f>TODAY()-3</f>
        <v>0</v>
      </c>
      <c r="F5" s="13" t="s">
        <v>1078</v>
      </c>
      <c r="G5" s="13" t="s">
        <v>118</v>
      </c>
      <c r="H5" s="13" t="s">
        <v>114</v>
      </c>
      <c r="I5" s="13" t="s">
        <v>964</v>
      </c>
    </row>
    <row r="6" spans="1:9">
      <c r="A6" s="13" t="s">
        <v>181</v>
      </c>
      <c r="B6" s="13" t="s">
        <v>524</v>
      </c>
      <c r="C6" s="13" t="s">
        <v>30</v>
      </c>
      <c r="E6" s="14">
        <f>TODAY()-4</f>
        <v>0</v>
      </c>
      <c r="F6" s="13" t="s">
        <v>1079</v>
      </c>
      <c r="G6" s="13" t="s">
        <v>56</v>
      </c>
      <c r="H6" s="13" t="s">
        <v>26</v>
      </c>
      <c r="I6" s="13" t="s">
        <v>654</v>
      </c>
    </row>
    <row r="7" spans="1:9">
      <c r="A7" s="13" t="s">
        <v>173</v>
      </c>
      <c r="B7" s="13" t="s">
        <v>168</v>
      </c>
      <c r="C7" s="13" t="s">
        <v>66</v>
      </c>
      <c r="E7" s="14">
        <f>TODAY()-5</f>
        <v>0</v>
      </c>
      <c r="F7" s="13" t="s">
        <v>1080</v>
      </c>
      <c r="G7" s="13" t="s">
        <v>30</v>
      </c>
      <c r="H7" s="13" t="s">
        <v>181</v>
      </c>
      <c r="I7" s="13" t="s">
        <v>524</v>
      </c>
    </row>
    <row r="8" spans="1:9">
      <c r="A8" s="13" t="s">
        <v>275</v>
      </c>
      <c r="B8" s="13" t="s">
        <v>223</v>
      </c>
      <c r="E8" s="14">
        <f>TODAY()-6</f>
        <v>0</v>
      </c>
      <c r="F8" s="13" t="s">
        <v>1081</v>
      </c>
      <c r="G8" s="13" t="s">
        <v>66</v>
      </c>
      <c r="H8" s="13" t="s">
        <v>173</v>
      </c>
      <c r="I8" s="13" t="s">
        <v>168</v>
      </c>
    </row>
    <row r="9" spans="1:9">
      <c r="A9" s="13" t="s">
        <v>166</v>
      </c>
      <c r="B9" s="13" t="s">
        <v>141</v>
      </c>
      <c r="E9" s="14">
        <f>TODAY()-7</f>
        <v>0</v>
      </c>
      <c r="F9" s="13" t="s">
        <v>1082</v>
      </c>
      <c r="H9" s="13" t="s">
        <v>275</v>
      </c>
      <c r="I9" s="13" t="s">
        <v>223</v>
      </c>
    </row>
    <row r="10" spans="1:9">
      <c r="A10" s="13" t="s">
        <v>388</v>
      </c>
      <c r="B10" s="13" t="s">
        <v>587</v>
      </c>
      <c r="E10" s="14">
        <f>TODAY()-8</f>
        <v>0</v>
      </c>
      <c r="F10" s="13" t="s">
        <v>1083</v>
      </c>
      <c r="H10" s="13" t="s">
        <v>166</v>
      </c>
      <c r="I10" s="13" t="s">
        <v>141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388</v>
      </c>
      <c r="I11" s="13" t="s">
        <v>587</v>
      </c>
    </row>
    <row r="12" spans="1:9">
      <c r="A12" s="13" t="s">
        <v>651</v>
      </c>
      <c r="B12" s="13" t="s">
        <v>64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138</v>
      </c>
      <c r="B13" s="13" t="s">
        <v>439</v>
      </c>
      <c r="E13" s="14">
        <f>TODAY()-11</f>
        <v>0</v>
      </c>
      <c r="H13" s="13" t="s">
        <v>651</v>
      </c>
      <c r="I13" s="13" t="s">
        <v>64</v>
      </c>
    </row>
    <row r="14" spans="1:9">
      <c r="A14" s="13" t="s">
        <v>61</v>
      </c>
      <c r="B14" s="13" t="s">
        <v>257</v>
      </c>
      <c r="E14" s="14">
        <f>TODAY()-12</f>
        <v>0</v>
      </c>
      <c r="H14" s="13" t="s">
        <v>138</v>
      </c>
      <c r="I14" s="13" t="s">
        <v>439</v>
      </c>
    </row>
    <row r="15" spans="1:9">
      <c r="A15" s="13" t="s">
        <v>260</v>
      </c>
      <c r="B15" s="13" t="s">
        <v>176</v>
      </c>
      <c r="E15" s="14">
        <f>TODAY()-13</f>
        <v>0</v>
      </c>
      <c r="H15" s="13" t="s">
        <v>61</v>
      </c>
      <c r="I15" s="13" t="s">
        <v>257</v>
      </c>
    </row>
    <row r="16" spans="1:9">
      <c r="B16" s="13" t="s">
        <v>716</v>
      </c>
      <c r="E16" s="14">
        <f>TODAY()-14</f>
        <v>0</v>
      </c>
      <c r="H16" s="13" t="s">
        <v>260</v>
      </c>
      <c r="I16" s="13" t="s">
        <v>176</v>
      </c>
    </row>
    <row r="17" spans="2:9">
      <c r="B17" s="13" t="s">
        <v>558</v>
      </c>
      <c r="E17" s="14">
        <f>TODAY()-15</f>
        <v>0</v>
      </c>
      <c r="I17" s="13" t="s">
        <v>716</v>
      </c>
    </row>
    <row r="18" spans="2:9">
      <c r="B18" s="13" t="s">
        <v>510</v>
      </c>
      <c r="E18" s="14">
        <f>TODAY()-16</f>
        <v>0</v>
      </c>
      <c r="I18" s="13" t="s">
        <v>558</v>
      </c>
    </row>
    <row r="19" spans="2:9">
      <c r="B19" s="13" t="s">
        <v>29</v>
      </c>
      <c r="E19" s="14">
        <f>TODAY()-17</f>
        <v>0</v>
      </c>
      <c r="I19" s="13" t="s">
        <v>510</v>
      </c>
    </row>
    <row r="20" spans="2:9">
      <c r="B20" s="13" t="s">
        <v>483</v>
      </c>
      <c r="E20" s="14">
        <f>TODAY()-18</f>
        <v>0</v>
      </c>
      <c r="I20" s="13" t="s">
        <v>29</v>
      </c>
    </row>
    <row r="21" spans="2:9">
      <c r="B21" s="13" t="s">
        <v>749</v>
      </c>
      <c r="E21" s="14">
        <f>TODAY()-19</f>
        <v>0</v>
      </c>
      <c r="I21" s="13" t="s">
        <v>483</v>
      </c>
    </row>
    <row r="22" spans="2:9">
      <c r="B22" s="13" t="s">
        <v>355</v>
      </c>
      <c r="E22" s="14">
        <f>TODAY()-20</f>
        <v>0</v>
      </c>
      <c r="I22" s="13" t="s">
        <v>749</v>
      </c>
    </row>
    <row r="23" spans="2:9">
      <c r="B23" s="13" t="s">
        <v>808</v>
      </c>
      <c r="E23" s="14">
        <f>TODAY()-21</f>
        <v>0</v>
      </c>
      <c r="I23" s="13" t="s">
        <v>355</v>
      </c>
    </row>
    <row r="24" spans="2:9">
      <c r="B24" s="13" t="s">
        <v>420</v>
      </c>
      <c r="E24" s="14">
        <f>TODAY()-22</f>
        <v>0</v>
      </c>
      <c r="I24" s="13" t="s">
        <v>808</v>
      </c>
    </row>
    <row r="25" spans="2:9">
      <c r="B25" s="13" t="s">
        <v>164</v>
      </c>
      <c r="E25" s="14">
        <f>TODAY()-23</f>
        <v>0</v>
      </c>
      <c r="I25" s="13" t="s">
        <v>420</v>
      </c>
    </row>
    <row r="26" spans="2:9">
      <c r="B26" s="13" t="s">
        <v>89</v>
      </c>
      <c r="E26" s="14">
        <f>TODAY()-24</f>
        <v>0</v>
      </c>
      <c r="I26" s="13" t="s">
        <v>164</v>
      </c>
    </row>
    <row r="27" spans="2:9">
      <c r="B27" s="13" t="s">
        <v>278</v>
      </c>
      <c r="E27" s="14">
        <f>TODAY()-25</f>
        <v>0</v>
      </c>
      <c r="I27" s="13" t="s">
        <v>89</v>
      </c>
    </row>
    <row r="28" spans="2:9">
      <c r="E28" s="14">
        <f>TODAY()-26</f>
        <v>0</v>
      </c>
      <c r="I28" s="13" t="s">
        <v>278</v>
      </c>
    </row>
    <row r="29" spans="2:9">
      <c r="E29" s="14">
        <f>TODAY()-27</f>
        <v>0</v>
      </c>
    </row>
    <row r="30" spans="2:9">
      <c r="E30" s="14">
        <f>TODAY()-28</f>
        <v>0</v>
      </c>
    </row>
    <row r="31" spans="2:9">
      <c r="E31" s="14">
        <f>TODAY()-29</f>
        <v>0</v>
      </c>
    </row>
    <row r="32" spans="2:9">
      <c r="E32" s="14">
        <f>TODAY()-30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1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134</v>
      </c>
      <c r="E1" s="21" t="s">
        <v>18</v>
      </c>
      <c r="F1" s="21" t="s">
        <v>20</v>
      </c>
      <c r="G1" s="21" t="s">
        <v>21</v>
      </c>
      <c r="H1" s="21" t="s">
        <v>135</v>
      </c>
      <c r="I1" s="21" t="s">
        <v>136</v>
      </c>
      <c r="J1" s="21" t="s">
        <v>23</v>
      </c>
    </row>
    <row r="2" spans="1:10">
      <c r="A2" s="30" t="s">
        <v>114</v>
      </c>
      <c r="B2" s="30" t="s">
        <v>1087</v>
      </c>
      <c r="C2" s="30" t="s">
        <v>1088</v>
      </c>
      <c r="D2" s="30" t="s">
        <v>1089</v>
      </c>
      <c r="E2" s="30" t="s">
        <v>117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114</v>
      </c>
      <c r="B3" s="30" t="s">
        <v>1087</v>
      </c>
      <c r="C3" s="30" t="s">
        <v>1090</v>
      </c>
      <c r="D3" s="30" t="s">
        <v>1091</v>
      </c>
      <c r="E3" s="30" t="s">
        <v>117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114</v>
      </c>
      <c r="B4" s="30" t="s">
        <v>1087</v>
      </c>
      <c r="C4" s="30" t="s">
        <v>1092</v>
      </c>
      <c r="D4" s="30" t="s">
        <v>1093</v>
      </c>
      <c r="E4" s="30" t="s">
        <v>117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114</v>
      </c>
      <c r="B5" s="30" t="s">
        <v>1087</v>
      </c>
      <c r="C5" s="30" t="s">
        <v>1094</v>
      </c>
      <c r="D5" s="30" t="s">
        <v>1095</v>
      </c>
      <c r="E5" s="30" t="s">
        <v>117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114</v>
      </c>
      <c r="B6" s="30" t="s">
        <v>1087</v>
      </c>
      <c r="C6" s="30" t="s">
        <v>1096</v>
      </c>
      <c r="D6" s="30" t="s">
        <v>1097</v>
      </c>
      <c r="E6" s="30" t="s">
        <v>117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114</v>
      </c>
      <c r="B7" s="30" t="s">
        <v>1087</v>
      </c>
      <c r="C7" s="30" t="s">
        <v>1098</v>
      </c>
      <c r="D7" s="30" t="s">
        <v>1099</v>
      </c>
      <c r="E7" s="30" t="s">
        <v>117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114</v>
      </c>
      <c r="B8" s="30" t="s">
        <v>1087</v>
      </c>
      <c r="C8" s="30" t="s">
        <v>1100</v>
      </c>
      <c r="D8" s="30" t="s">
        <v>1101</v>
      </c>
      <c r="E8" s="30" t="s">
        <v>117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114</v>
      </c>
      <c r="B9" s="30" t="s">
        <v>1087</v>
      </c>
      <c r="C9" s="30" t="s">
        <v>1102</v>
      </c>
      <c r="D9" s="30" t="s">
        <v>1103</v>
      </c>
      <c r="E9" s="30" t="s">
        <v>117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114</v>
      </c>
      <c r="B10" s="30" t="s">
        <v>1087</v>
      </c>
      <c r="C10" s="30" t="s">
        <v>1104</v>
      </c>
      <c r="D10" s="30" t="s">
        <v>1105</v>
      </c>
      <c r="E10" s="30" t="s">
        <v>117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114</v>
      </c>
      <c r="B11" s="30" t="s">
        <v>1087</v>
      </c>
      <c r="C11" s="30" t="s">
        <v>1106</v>
      </c>
      <c r="D11" s="30" t="s">
        <v>1107</v>
      </c>
      <c r="E11" s="30" t="s">
        <v>117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114</v>
      </c>
      <c r="B12" s="30" t="s">
        <v>1087</v>
      </c>
      <c r="C12" s="30" t="s">
        <v>1108</v>
      </c>
      <c r="D12" s="30" t="s">
        <v>1109</v>
      </c>
      <c r="E12" s="30" t="s">
        <v>117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114</v>
      </c>
      <c r="B13" s="30" t="s">
        <v>1087</v>
      </c>
      <c r="C13" s="30" t="s">
        <v>1110</v>
      </c>
      <c r="D13" s="30" t="s">
        <v>1111</v>
      </c>
      <c r="E13" s="30" t="s">
        <v>117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114</v>
      </c>
      <c r="B14" s="30" t="s">
        <v>1087</v>
      </c>
      <c r="C14" s="30" t="s">
        <v>1112</v>
      </c>
      <c r="D14" s="30" t="s">
        <v>1113</v>
      </c>
      <c r="E14" s="30" t="s">
        <v>117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114</v>
      </c>
      <c r="B15" s="30" t="s">
        <v>1087</v>
      </c>
      <c r="C15" s="30" t="s">
        <v>1114</v>
      </c>
      <c r="D15" s="30" t="s">
        <v>1115</v>
      </c>
      <c r="E15" s="30" t="s">
        <v>117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114</v>
      </c>
      <c r="B16" s="30" t="s">
        <v>1087</v>
      </c>
      <c r="C16" s="30" t="s">
        <v>1116</v>
      </c>
      <c r="D16" s="30" t="s">
        <v>1117</v>
      </c>
      <c r="E16" s="30" t="s">
        <v>117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114</v>
      </c>
      <c r="B17" s="30" t="s">
        <v>1087</v>
      </c>
      <c r="C17" s="30" t="s">
        <v>1118</v>
      </c>
      <c r="D17" s="30" t="s">
        <v>1119</v>
      </c>
      <c r="E17" s="30" t="s">
        <v>117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114</v>
      </c>
      <c r="B18" s="30" t="s">
        <v>1087</v>
      </c>
      <c r="C18" s="30" t="s">
        <v>1120</v>
      </c>
      <c r="D18" s="30" t="s">
        <v>1121</v>
      </c>
      <c r="E18" s="30" t="s">
        <v>117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</sheetData>
  <autoFilter ref="A1:J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2026-08-04T13:56:31Z</dcterms:created>
  <dcterms:modified xsi:type="dcterms:W3CDTF">2026-08-04T13:56:31Z</dcterms:modified>
</cp:coreProperties>
</file>