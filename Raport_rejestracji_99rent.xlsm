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<sst xmlns="http://schemas.openxmlformats.org/spreadsheetml/2006/main" count="5106" uniqueCount="1136">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</sst>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theme="1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2" fillId="4" borderId="4" xfId="0" applyFont="1" applyFill="1" applyBorder="1"/>
    <xf numFmtId="1" fontId="12" fillId="4" borderId="4" xfId="0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1088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7" t="s">
        <v>1089</v>
      </c>
      <c r="C3" s="27"/>
      <c r="E3" s="27" t="s">
        <v>1105</v>
      </c>
      <c r="F3" s="27"/>
      <c r="G3" s="27"/>
      <c r="I3" s="27" t="s">
        <v>1110</v>
      </c>
      <c r="J3" s="27"/>
      <c r="K3" s="27"/>
      <c r="M3" s="27" t="s">
        <v>1111</v>
      </c>
      <c r="N3" s="27"/>
      <c r="O3" s="27"/>
    </row>
    <row r="4" spans="1:15">
      <c r="B4" s="28" t="s">
        <v>1090</v>
      </c>
      <c r="C4" s="29">
        <f>SUMPRODUCT(--(('W rejestracji'!$A$9:$A$3000&amp;'W rejestracji'!$C$9:$C$3000)&lt;&gt;""))</f>
        <v>0</v>
      </c>
      <c r="E4" s="15" t="s">
        <v>1106</v>
      </c>
      <c r="F4" s="15" t="s">
        <v>1107</v>
      </c>
      <c r="G4" s="15" t="s">
        <v>1104</v>
      </c>
      <c r="I4" s="15" t="s">
        <v>1106</v>
      </c>
      <c r="J4" s="15" t="s">
        <v>1107</v>
      </c>
      <c r="K4" s="15" t="s">
        <v>1104</v>
      </c>
      <c r="M4" s="15" t="s">
        <v>1106</v>
      </c>
      <c r="N4" s="15" t="s">
        <v>1107</v>
      </c>
      <c r="O4" s="15" t="s">
        <v>1104</v>
      </c>
    </row>
    <row r="5" spans="1:15">
      <c r="B5" s="28" t="s">
        <v>1091</v>
      </c>
      <c r="C5" s="29">
        <f>SUMPRODUCT(--((Zarejestrowane!$A$9:$A$3000&amp;Zarejestrowane!$C$9:$C$3000)&lt;&gt;""))</f>
        <v>0</v>
      </c>
      <c r="E5" s="28" t="s">
        <v>471</v>
      </c>
      <c r="F5" s="30">
        <f>COUNTIF('W rejestracji'!$F$9:$F$3000,E5)</f>
        <v>0</v>
      </c>
      <c r="G5" s="30">
        <f>COUNTIF(Zarejestrowane!$F$9:$F$3000,E5)</f>
        <v>0</v>
      </c>
      <c r="I5" s="28" t="s">
        <v>560</v>
      </c>
      <c r="J5" s="30">
        <f>COUNTIF('W rejestracji'!$A$9:$A$3000,I5)</f>
        <v>0</v>
      </c>
      <c r="K5" s="30">
        <f>COUNTIF(Zarejestrowane!$A$9:$A$3000,I5)</f>
        <v>0</v>
      </c>
      <c r="M5" s="28" t="s">
        <v>113</v>
      </c>
      <c r="N5" s="30">
        <f>COUNTIF('W rejestracji'!$D$9:$D$3000,M5)</f>
        <v>0</v>
      </c>
      <c r="O5" s="30">
        <f>COUNTIF(Zarejestrowane!$E$9:$E$3000,M5)</f>
        <v>0</v>
      </c>
    </row>
    <row r="6" spans="1:15">
      <c r="B6" s="28" t="s">
        <v>1092</v>
      </c>
      <c r="C6" s="29">
        <f>IF(COUNT(Zarejestrowane!$I$9:$I$3000)=0,"—",ROUND(AVERAGE(Zarejestrowane!$I$9:$I$3000),1))</f>
        <v>0</v>
      </c>
      <c r="E6" s="28" t="s">
        <v>352</v>
      </c>
      <c r="F6" s="30">
        <f>COUNTIF('W rejestracji'!$F$9:$F$3000,E6)</f>
        <v>0</v>
      </c>
      <c r="G6" s="30">
        <f>COUNTIF(Zarejestrowane!$F$9:$F$3000,E6)</f>
        <v>0</v>
      </c>
      <c r="I6" s="28" t="s">
        <v>46</v>
      </c>
      <c r="J6" s="30">
        <f>COUNTIF('W rejestracji'!$A$9:$A$3000,I6)</f>
        <v>0</v>
      </c>
      <c r="K6" s="30">
        <f>COUNTIF(Zarejestrowane!$A$9:$A$3000,I6)</f>
        <v>0</v>
      </c>
      <c r="M6" s="28" t="s">
        <v>387</v>
      </c>
      <c r="N6" s="30">
        <f>COUNTIF('W rejestracji'!$D$9:$D$3000,M6)</f>
        <v>0</v>
      </c>
      <c r="O6" s="30">
        <f>COUNTIF(Zarejestrowane!$E$9:$E$3000,M6)</f>
        <v>0</v>
      </c>
    </row>
    <row r="7" spans="1:15">
      <c r="B7" s="28" t="s">
        <v>1093</v>
      </c>
      <c r="C7" s="29">
        <f>IF(COUNT(Zarejestrowane!$I$9:$I$3000)=0,"—",MAX(Zarejestrowane!$I$9:$I$3000))</f>
        <v>0</v>
      </c>
      <c r="E7" s="28" t="s">
        <v>114</v>
      </c>
      <c r="F7" s="30">
        <f>COUNTIF('W rejestracji'!$F$9:$F$3000,E7)</f>
        <v>0</v>
      </c>
      <c r="G7" s="30">
        <f>COUNTIF(Zarejestrowane!$F$9:$F$3000,E7)</f>
        <v>0</v>
      </c>
      <c r="I7" s="28" t="s">
        <v>575</v>
      </c>
      <c r="J7" s="30">
        <f>COUNTIF('W rejestracji'!$A$9:$A$3000,I7)</f>
        <v>0</v>
      </c>
      <c r="K7" s="30">
        <f>COUNTIF(Zarejestrowane!$A$9:$A$3000,I7)</f>
        <v>0</v>
      </c>
      <c r="M7" s="28" t="s">
        <v>1010</v>
      </c>
      <c r="N7" s="30">
        <f>COUNTIF('W rejestracji'!$D$9:$D$3000,M7)</f>
        <v>0</v>
      </c>
      <c r="O7" s="30">
        <f>COUNTIF(Zarejestrowane!$E$9:$E$3000,M7)</f>
        <v>0</v>
      </c>
    </row>
    <row r="8" spans="1:15">
      <c r="B8" s="28" t="s">
        <v>1094</v>
      </c>
      <c r="C8" s="29">
        <f>IF(COUNT(Zarejestrowane!$I$9:$I$3000)=0,"—",MIN(Zarejestrowane!$I$9:$I$3000))</f>
        <v>0</v>
      </c>
      <c r="E8" s="28" t="s">
        <v>51</v>
      </c>
      <c r="F8" s="30">
        <f>COUNTIF('W rejestracji'!$F$9:$F$3000,E8)</f>
        <v>0</v>
      </c>
      <c r="G8" s="30">
        <f>COUNTIF(Zarejestrowane!$F$9:$F$3000,E8)</f>
        <v>0</v>
      </c>
      <c r="I8" s="28" t="s">
        <v>21</v>
      </c>
      <c r="J8" s="30">
        <f>COUNTIF('W rejestracji'!$A$9:$A$3000,I8)</f>
        <v>0</v>
      </c>
      <c r="K8" s="30">
        <f>COUNTIF(Zarejestrowane!$A$9:$A$3000,I8)</f>
        <v>0</v>
      </c>
      <c r="M8" s="28" t="s">
        <v>697</v>
      </c>
      <c r="N8" s="30">
        <f>COUNTIF('W rejestracji'!$D$9:$D$3000,M8)</f>
        <v>0</v>
      </c>
      <c r="O8" s="30">
        <f>COUNTIF(Zarejestrowane!$E$9:$E$3000,M8)</f>
        <v>0</v>
      </c>
    </row>
    <row r="9" spans="1:15">
      <c r="B9" s="28" t="s">
        <v>1095</v>
      </c>
      <c r="C9" s="29">
        <f>COUNTIFS(Zarejestrowane!$H$9:$H$3000,"&gt;="&amp;DATE(YEAR(TODAY()),MONTH(TODAY()),1))</f>
        <v>0</v>
      </c>
      <c r="E9" s="28" t="s">
        <v>25</v>
      </c>
      <c r="F9" s="30">
        <f>COUNTIF('W rejestracji'!$F$9:$F$3000,E9)</f>
        <v>0</v>
      </c>
      <c r="G9" s="30">
        <f>COUNTIF(Zarejestrowane!$F$9:$F$3000,E9)</f>
        <v>0</v>
      </c>
      <c r="I9" s="28" t="s">
        <v>176</v>
      </c>
      <c r="J9" s="30">
        <f>COUNTIF('W rejestracji'!$A$9:$A$3000,I9)</f>
        <v>0</v>
      </c>
      <c r="K9" s="30">
        <f>COUNTIF(Zarejestrowane!$A$9:$A$3000,I9)</f>
        <v>0</v>
      </c>
      <c r="M9" s="28" t="s">
        <v>523</v>
      </c>
      <c r="N9" s="30">
        <f>COUNTIF('W rejestracji'!$D$9:$D$3000,M9)</f>
        <v>0</v>
      </c>
      <c r="O9" s="30">
        <f>COUNTIF(Zarejestrowane!$E$9:$E$3000,M9)</f>
        <v>0</v>
      </c>
    </row>
    <row r="10" spans="1:15">
      <c r="B10" s="28" t="s">
        <v>1096</v>
      </c>
      <c r="C10" s="29">
        <f>IF(COUNT('W rejestracji'!$H$9:$H$3000)=0,"—",MAX('W rejestracji'!$H$9:$H$3000))</f>
        <v>0</v>
      </c>
      <c r="E10" s="28" t="s">
        <v>61</v>
      </c>
      <c r="F10" s="30">
        <f>COUNTIF('W rejestracji'!$F$9:$F$3000,E10)</f>
        <v>0</v>
      </c>
      <c r="G10" s="30">
        <f>COUNTIF(Zarejestrowane!$F$9:$F$3000,E10)</f>
        <v>0</v>
      </c>
      <c r="I10" s="28" t="s">
        <v>168</v>
      </c>
      <c r="J10" s="30">
        <f>COUNTIF('W rejestracji'!$A$9:$A$3000,I10)</f>
        <v>0</v>
      </c>
      <c r="K10" s="30">
        <f>COUNTIF(Zarejestrowane!$A$9:$A$3000,I10)</f>
        <v>0</v>
      </c>
      <c r="M10" s="28" t="s">
        <v>613</v>
      </c>
      <c r="N10" s="30">
        <f>COUNTIF('W rejestracji'!$D$9:$D$3000,M10)</f>
        <v>0</v>
      </c>
      <c r="O10" s="30">
        <f>COUNTIF(Zarejestrowane!$E$9:$E$3000,M10)</f>
        <v>0</v>
      </c>
    </row>
    <row r="11" spans="1:15">
      <c r="E11" s="28" t="s">
        <v>1108</v>
      </c>
      <c r="F11" s="30">
        <f>$C$4-SUM(F5:F10)</f>
        <v>0</v>
      </c>
      <c r="G11" s="30">
        <f>$C$5-SUM(G5:G10)</f>
        <v>0</v>
      </c>
      <c r="I11" s="28" t="s">
        <v>271</v>
      </c>
      <c r="J11" s="30">
        <f>COUNTIF('W rejestracji'!$A$9:$A$3000,I11)</f>
        <v>0</v>
      </c>
      <c r="K11" s="30">
        <f>COUNTIF(Zarejestrowane!$A$9:$A$3000,I11)</f>
        <v>0</v>
      </c>
      <c r="M11" s="28" t="s">
        <v>219</v>
      </c>
      <c r="N11" s="30">
        <f>COUNTIF('W rejestracji'!$D$9:$D$3000,M11)</f>
        <v>0</v>
      </c>
      <c r="O11" s="30">
        <f>COUNTIF(Zarejestrowane!$E$9:$E$3000,M11)</f>
        <v>0</v>
      </c>
    </row>
    <row r="12" spans="1:15" ht="22" customHeight="1">
      <c r="B12" s="27" t="s">
        <v>1097</v>
      </c>
      <c r="C12" s="27"/>
      <c r="D12" s="27"/>
      <c r="E12" s="31" t="s">
        <v>1109</v>
      </c>
      <c r="F12" s="32">
        <f>SUM(F5:F11)</f>
        <v>0</v>
      </c>
      <c r="G12" s="32">
        <f>SUM(G5:G11)</f>
        <v>0</v>
      </c>
      <c r="I12" s="28" t="s">
        <v>161</v>
      </c>
      <c r="J12" s="30">
        <f>COUNTIF('W rejestracji'!$A$9:$A$3000,I12)</f>
        <v>0</v>
      </c>
      <c r="K12" s="30">
        <f>COUNTIF(Zarejestrowane!$A$9:$A$3000,I12)</f>
        <v>0</v>
      </c>
      <c r="M12" s="28" t="s">
        <v>136</v>
      </c>
      <c r="N12" s="30">
        <f>COUNTIF('W rejestracji'!$D$9:$D$3000,M12)</f>
        <v>0</v>
      </c>
      <c r="O12" s="30">
        <f>COUNTIF(Zarejestrowane!$E$9:$E$3000,M12)</f>
        <v>0</v>
      </c>
    </row>
    <row r="13" spans="1:15">
      <c r="B13" s="28" t="s">
        <v>1098</v>
      </c>
      <c r="C13" s="12" t="s">
        <v>1099</v>
      </c>
      <c r="I13" s="28" t="s">
        <v>384</v>
      </c>
      <c r="J13" s="30">
        <f>COUNTIF('W rejestracji'!$A$9:$A$3000,I13)</f>
        <v>0</v>
      </c>
      <c r="K13" s="30">
        <f>COUNTIF(Zarejestrowane!$A$9:$A$3000,I13)</f>
        <v>0</v>
      </c>
      <c r="M13" s="28" t="s">
        <v>630</v>
      </c>
      <c r="N13" s="30">
        <f>COUNTIF('W rejestracji'!$D$9:$D$3000,M13)</f>
        <v>0</v>
      </c>
      <c r="O13" s="30">
        <f>COUNTIF(Zarejestrowane!$E$9:$E$3000,M13)</f>
        <v>0</v>
      </c>
    </row>
    <row r="14" spans="1:15">
      <c r="B14" s="28" t="s">
        <v>15</v>
      </c>
      <c r="C14" s="12" t="s">
        <v>1099</v>
      </c>
      <c r="I14" s="28" t="s">
        <v>81</v>
      </c>
      <c r="J14" s="30">
        <f>COUNTIF('W rejestracji'!$A$9:$A$3000,I14)</f>
        <v>0</v>
      </c>
      <c r="K14" s="30">
        <f>COUNTIF(Zarejestrowane!$A$9:$A$3000,I14)</f>
        <v>0</v>
      </c>
      <c r="M14" s="28" t="s">
        <v>49</v>
      </c>
      <c r="N14" s="30">
        <f>COUNTIF('W rejestracji'!$D$9:$D$3000,M14)</f>
        <v>0</v>
      </c>
      <c r="O14" s="30">
        <f>COUNTIF(Zarejestrowane!$E$9:$E$3000,M14)</f>
        <v>0</v>
      </c>
    </row>
    <row r="15" spans="1:15">
      <c r="B15" s="28" t="s">
        <v>10</v>
      </c>
      <c r="C15" s="12" t="s">
        <v>1099</v>
      </c>
      <c r="I15" s="28" t="s">
        <v>694</v>
      </c>
      <c r="J15" s="30">
        <f>COUNTIF('W rejestracji'!$A$9:$A$3000,I15)</f>
        <v>0</v>
      </c>
      <c r="K15" s="30">
        <f>COUNTIF(Zarejestrowane!$A$9:$A$3000,I15)</f>
        <v>0</v>
      </c>
      <c r="M15" s="28" t="s">
        <v>1041</v>
      </c>
      <c r="N15" s="30">
        <f>COUNTIF('W rejestracji'!$D$9:$D$3000,M15)</f>
        <v>0</v>
      </c>
      <c r="O15" s="30">
        <f>COUNTIF(Zarejestrowane!$E$9:$E$3000,M15)</f>
        <v>0</v>
      </c>
    </row>
    <row r="16" spans="1:15">
      <c r="B16" s="28" t="s">
        <v>13</v>
      </c>
      <c r="C16" s="12" t="s">
        <v>1099</v>
      </c>
      <c r="I16" s="28" t="s">
        <v>133</v>
      </c>
      <c r="J16" s="30">
        <f>COUNTIF('W rejestracji'!$A$9:$A$3000,I16)</f>
        <v>0</v>
      </c>
      <c r="K16" s="30">
        <f>COUNTIF(Zarejestrowane!$A$9:$A$3000,I16)</f>
        <v>0</v>
      </c>
      <c r="M16" s="28" t="s">
        <v>59</v>
      </c>
      <c r="N16" s="30">
        <f>COUNTIF('W rejestracji'!$D$9:$D$3000,M16)</f>
        <v>0</v>
      </c>
      <c r="O16" s="30">
        <f>COUNTIF(Zarejestrowane!$E$9:$E$3000,M16)</f>
        <v>0</v>
      </c>
    </row>
    <row r="17" spans="2:15">
      <c r="I17" s="28" t="s">
        <v>56</v>
      </c>
      <c r="J17" s="30">
        <f>COUNTIF('W rejestracji'!$A$9:$A$3000,I17)</f>
        <v>0</v>
      </c>
      <c r="K17" s="30">
        <f>COUNTIF(Zarejestrowane!$A$9:$A$3000,I17)</f>
        <v>0</v>
      </c>
      <c r="M17" s="28" t="s">
        <v>435</v>
      </c>
      <c r="N17" s="30">
        <f>COUNTIF('W rejestracji'!$D$9:$D$3000,M17)</f>
        <v>0</v>
      </c>
      <c r="O17" s="30">
        <f>COUNTIF(Zarejestrowane!$E$9:$E$3000,M17)</f>
        <v>0</v>
      </c>
    </row>
    <row r="18" spans="2:15">
      <c r="B18" s="28" t="s">
        <v>1100</v>
      </c>
      <c r="C18" s="29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I18" s="28" t="s">
        <v>256</v>
      </c>
      <c r="J18" s="30">
        <f>COUNTIF('W rejestracji'!$A$9:$A$3000,I18)</f>
        <v>0</v>
      </c>
      <c r="K18" s="30">
        <f>COUNTIF(Zarejestrowane!$A$9:$A$3000,I18)</f>
        <v>0</v>
      </c>
      <c r="M18" s="28" t="s">
        <v>950</v>
      </c>
      <c r="N18" s="30">
        <f>COUNTIF('W rejestracji'!$D$9:$D$3000,M18)</f>
        <v>0</v>
      </c>
      <c r="O18" s="30">
        <f>COUNTIF(Zarejestrowane!$E$9:$E$3000,M18)</f>
        <v>0</v>
      </c>
    </row>
    <row r="19" spans="2:15">
      <c r="B19" s="28" t="s">
        <v>1101</v>
      </c>
      <c r="C19" s="29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I19" s="28" t="s">
        <v>1108</v>
      </c>
      <c r="J19" s="30">
        <f>$C$4-SUM(J5:J18)</f>
        <v>0</v>
      </c>
      <c r="K19" s="30">
        <f>$C$5-SUM(K5:K18)</f>
        <v>0</v>
      </c>
      <c r="M19" s="28" t="s">
        <v>541</v>
      </c>
      <c r="N19" s="30">
        <f>COUNTIF('W rejestracji'!$D$9:$D$3000,M19)</f>
        <v>0</v>
      </c>
      <c r="O19" s="30">
        <f>COUNTIF(Zarejestrowane!$E$9:$E$3000,M19)</f>
        <v>0</v>
      </c>
    </row>
    <row r="20" spans="2:15">
      <c r="I20" s="31" t="s">
        <v>1109</v>
      </c>
      <c r="J20" s="32">
        <f>SUM(J5:J19)</f>
        <v>0</v>
      </c>
      <c r="K20" s="32">
        <f>SUM(K5:K19)</f>
        <v>0</v>
      </c>
      <c r="M20" s="28" t="s">
        <v>171</v>
      </c>
      <c r="N20" s="30">
        <f>COUNTIF('W rejestracji'!$D$9:$D$3000,M20)</f>
        <v>0</v>
      </c>
      <c r="O20" s="30">
        <f>COUNTIF(Zarejestrowane!$E$9:$E$3000,M20)</f>
        <v>0</v>
      </c>
    </row>
    <row r="21" spans="2:15" ht="22" customHeight="1">
      <c r="B21" s="27" t="s">
        <v>1102</v>
      </c>
      <c r="C21" s="27"/>
      <c r="D21" s="27"/>
      <c r="M21" s="28" t="s">
        <v>759</v>
      </c>
      <c r="N21" s="30">
        <f>COUNTIF('W rejestracji'!$D$9:$D$3000,M21)</f>
        <v>0</v>
      </c>
      <c r="O21" s="30">
        <f>COUNTIF(Zarejestrowane!$E$9:$E$3000,M21)</f>
        <v>0</v>
      </c>
    </row>
    <row r="22" spans="2:15">
      <c r="B22" s="15" t="s">
        <v>1098</v>
      </c>
      <c r="C22" s="15" t="s">
        <v>1103</v>
      </c>
      <c r="D22" s="15" t="s">
        <v>1104</v>
      </c>
      <c r="M22" s="28" t="s">
        <v>562</v>
      </c>
      <c r="N22" s="30">
        <f>COUNTIF('W rejestracji'!$D$9:$D$3000,M22)</f>
        <v>0</v>
      </c>
      <c r="O22" s="30">
        <f>COUNTIF(Zarejestrowane!$E$9:$E$3000,M22)</f>
        <v>0</v>
      </c>
    </row>
    <row r="23" spans="2:15">
      <c r="B23" s="33">
        <f>DATE(2026,5,1)</f>
        <v>0</v>
      </c>
      <c r="C23" s="30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0">
        <f>COUNTIFS(Zarejestrowane!$H$9:$H$3000,"&gt;="&amp;$B$23,Zarejestrowane!$H$9:$H$3000,"&lt;"&amp;EDATE($B$23,1))</f>
        <v>0</v>
      </c>
      <c r="M23" s="28" t="s">
        <v>508</v>
      </c>
      <c r="N23" s="30">
        <f>COUNTIF('W rejestracji'!$D$9:$D$3000,M23)</f>
        <v>0</v>
      </c>
      <c r="O23" s="30">
        <f>COUNTIF(Zarejestrowane!$E$9:$E$3000,M23)</f>
        <v>0</v>
      </c>
    </row>
    <row r="24" spans="2:15">
      <c r="B24" s="33">
        <f>DATE(2026,6,1)</f>
        <v>0</v>
      </c>
      <c r="C24" s="30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0">
        <f>COUNTIFS(Zarejestrowane!$H$9:$H$3000,"&gt;="&amp;$B$24,Zarejestrowane!$H$9:$H$3000,"&lt;"&amp;EDATE($B$24,1))</f>
        <v>0</v>
      </c>
      <c r="M24" s="28" t="s">
        <v>534</v>
      </c>
      <c r="N24" s="30">
        <f>COUNTIF('W rejestracji'!$D$9:$D$3000,M24)</f>
        <v>0</v>
      </c>
      <c r="O24" s="30">
        <f>COUNTIF(Zarejestrowane!$E$9:$E$3000,M24)</f>
        <v>0</v>
      </c>
    </row>
    <row r="25" spans="2:15">
      <c r="B25" s="33">
        <f>DATE(2026,7,1)</f>
        <v>0</v>
      </c>
      <c r="C25" s="30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0">
        <f>COUNTIFS(Zarejestrowane!$H$9:$H$3000,"&gt;="&amp;$B$25,Zarejestrowane!$H$9:$H$3000,"&lt;"&amp;EDATE($B$25,1))</f>
        <v>0</v>
      </c>
      <c r="M25" s="28" t="s">
        <v>24</v>
      </c>
      <c r="N25" s="30">
        <f>COUNTIF('W rejestracji'!$D$9:$D$3000,M25)</f>
        <v>0</v>
      </c>
      <c r="O25" s="30">
        <f>COUNTIF(Zarejestrowane!$E$9:$E$3000,M25)</f>
        <v>0</v>
      </c>
    </row>
    <row r="26" spans="2:15">
      <c r="B26" s="33">
        <f>DATE(2026,8,1)</f>
        <v>0</v>
      </c>
      <c r="C26" s="30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0">
        <f>COUNTIFS(Zarejestrowane!$H$9:$H$3000,"&gt;="&amp;$B$26,Zarejestrowane!$H$9:$H$3000,"&lt;"&amp;EDATE($B$26,1))</f>
        <v>0</v>
      </c>
      <c r="M26" s="28" t="s">
        <v>1049</v>
      </c>
      <c r="N26" s="30">
        <f>COUNTIF('W rejestracji'!$D$9:$D$3000,M26)</f>
        <v>0</v>
      </c>
      <c r="O26" s="30">
        <f>COUNTIF(Zarejestrowane!$E$9:$E$3000,M26)</f>
        <v>0</v>
      </c>
    </row>
    <row r="27" spans="2:15">
      <c r="B27" s="33">
        <f>DATE(2026,9,1)</f>
        <v>0</v>
      </c>
      <c r="C27" s="30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0">
        <f>COUNTIFS(Zarejestrowane!$H$9:$H$3000,"&gt;="&amp;$B$27,Zarejestrowane!$H$9:$H$3000,"&lt;"&amp;EDATE($B$27,1))</f>
        <v>0</v>
      </c>
      <c r="M27" s="28" t="s">
        <v>480</v>
      </c>
      <c r="N27" s="30">
        <f>COUNTIF('W rejestracji'!$D$9:$D$3000,M27)</f>
        <v>0</v>
      </c>
      <c r="O27" s="30">
        <f>COUNTIF(Zarejestrowane!$E$9:$E$3000,M27)</f>
        <v>0</v>
      </c>
    </row>
    <row r="28" spans="2:15">
      <c r="B28" s="33">
        <f>DATE(2026,10,1)</f>
        <v>0</v>
      </c>
      <c r="C28" s="30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0">
        <f>COUNTIFS(Zarejestrowane!$H$9:$H$3000,"&gt;="&amp;$B$28,Zarejestrowane!$H$9:$H$3000,"&lt;"&amp;EDATE($B$28,1))</f>
        <v>0</v>
      </c>
      <c r="M28" s="28" t="s">
        <v>792</v>
      </c>
      <c r="N28" s="30">
        <f>COUNTIF('W rejestracji'!$D$9:$D$3000,M28)</f>
        <v>0</v>
      </c>
      <c r="O28" s="30">
        <f>COUNTIF(Zarejestrowane!$E$9:$E$3000,M28)</f>
        <v>0</v>
      </c>
    </row>
    <row r="29" spans="2:15">
      <c r="B29" s="33">
        <f>DATE(2026,11,1)</f>
        <v>0</v>
      </c>
      <c r="C29" s="30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0">
        <f>COUNTIFS(Zarejestrowane!$H$9:$H$3000,"&gt;="&amp;$B$29,Zarejestrowane!$H$9:$H$3000,"&lt;"&amp;EDATE($B$29,1))</f>
        <v>0</v>
      </c>
      <c r="M29" s="28" t="s">
        <v>351</v>
      </c>
      <c r="N29" s="30">
        <f>COUNTIF('W rejestracji'!$D$9:$D$3000,M29)</f>
        <v>0</v>
      </c>
      <c r="O29" s="30">
        <f>COUNTIF(Zarejestrowane!$E$9:$E$3000,M29)</f>
        <v>0</v>
      </c>
    </row>
    <row r="30" spans="2:15">
      <c r="B30" s="33">
        <f>DATE(2026,12,1)</f>
        <v>0</v>
      </c>
      <c r="C30" s="30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0">
        <f>COUNTIFS(Zarejestrowane!$H$9:$H$3000,"&gt;="&amp;$B$30,Zarejestrowane!$H$9:$H$3000,"&lt;"&amp;EDATE($B$30,1))</f>
        <v>0</v>
      </c>
      <c r="M30" s="28" t="s">
        <v>851</v>
      </c>
      <c r="N30" s="30">
        <f>COUNTIF('W rejestracji'!$D$9:$D$3000,M30)</f>
        <v>0</v>
      </c>
      <c r="O30" s="30">
        <f>COUNTIF(Zarejestrowane!$E$9:$E$3000,M30)</f>
        <v>0</v>
      </c>
    </row>
    <row r="31" spans="2:15">
      <c r="M31" s="28" t="s">
        <v>416</v>
      </c>
      <c r="N31" s="30">
        <f>COUNTIF('W rejestracji'!$D$9:$D$3000,M31)</f>
        <v>0</v>
      </c>
      <c r="O31" s="30">
        <f>COUNTIF(Zarejestrowane!$E$9:$E$3000,M31)</f>
        <v>0</v>
      </c>
    </row>
    <row r="32" spans="2:15">
      <c r="M32" s="28" t="s">
        <v>477</v>
      </c>
      <c r="N32" s="30">
        <f>COUNTIF('W rejestracji'!$D$9:$D$3000,M32)</f>
        <v>0</v>
      </c>
      <c r="O32" s="30">
        <f>COUNTIF(Zarejestrowane!$E$9:$E$3000,M32)</f>
        <v>0</v>
      </c>
    </row>
    <row r="33" spans="13:15">
      <c r="M33" s="28" t="s">
        <v>159</v>
      </c>
      <c r="N33" s="30">
        <f>COUNTIF('W rejestracji'!$D$9:$D$3000,M33)</f>
        <v>0</v>
      </c>
      <c r="O33" s="30">
        <f>COUNTIF(Zarejestrowane!$E$9:$E$3000,M33)</f>
        <v>0</v>
      </c>
    </row>
    <row r="34" spans="13:15">
      <c r="M34" s="28" t="s">
        <v>256</v>
      </c>
      <c r="N34" s="30">
        <f>COUNTIF('W rejestracji'!$D$9:$D$3000,M34)</f>
        <v>0</v>
      </c>
      <c r="O34" s="30">
        <f>COUNTIF(Zarejestrowane!$E$9:$E$3000,M34)</f>
        <v>0</v>
      </c>
    </row>
    <row r="35" spans="13:15">
      <c r="M35" s="28" t="s">
        <v>84</v>
      </c>
      <c r="N35" s="30">
        <f>COUNTIF('W rejestracji'!$D$9:$D$3000,M35)</f>
        <v>0</v>
      </c>
      <c r="O35" s="30">
        <f>COUNTIF(Zarejestrowane!$E$9:$E$3000,M35)</f>
        <v>0</v>
      </c>
    </row>
    <row r="36" spans="13:15">
      <c r="M36" s="28" t="s">
        <v>274</v>
      </c>
      <c r="N36" s="30">
        <f>COUNTIF('W rejestracji'!$D$9:$D$3000,M36)</f>
        <v>0</v>
      </c>
      <c r="O36" s="30">
        <f>COUNTIF(Zarejestrowane!$E$9:$E$3000,M36)</f>
        <v>0</v>
      </c>
    </row>
    <row r="37" spans="13:15">
      <c r="M37" s="28" t="s">
        <v>1108</v>
      </c>
      <c r="N37" s="30">
        <f>$C$4-SUM(N5:N36)</f>
        <v>0</v>
      </c>
      <c r="O37" s="30">
        <f>$C$5-SUM(O5:O36)</f>
        <v>0</v>
      </c>
    </row>
    <row r="38" spans="13:15">
      <c r="M38" s="31" t="s">
        <v>1109</v>
      </c>
      <c r="N38" s="32">
        <f>SUM(N5:N37)</f>
        <v>0</v>
      </c>
      <c r="O38" s="32">
        <f>SUM(O5:O37)</f>
        <v>0</v>
      </c>
    </row>
  </sheetData>
  <mergeCells count="7">
    <mergeCell ref="A1:N1"/>
    <mergeCell ref="B3:C3"/>
    <mergeCell ref="B12:D12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1112</v>
      </c>
      <c r="B1" s="1"/>
      <c r="C1" s="1"/>
      <c r="D1" s="2" t="s">
        <v>1</v>
      </c>
    </row>
    <row r="3" spans="1:4">
      <c r="A3" s="6" t="s">
        <v>1113</v>
      </c>
    </row>
    <row r="4" spans="1:4">
      <c r="A4" s="15" t="s">
        <v>1114</v>
      </c>
      <c r="B4" s="15" t="s">
        <v>12</v>
      </c>
    </row>
    <row r="5" spans="1:4">
      <c r="A5" s="7" t="s">
        <v>1115</v>
      </c>
      <c r="B5" s="7" t="s">
        <v>1065</v>
      </c>
    </row>
    <row r="6" spans="1:4">
      <c r="A6" s="7" t="s">
        <v>1116</v>
      </c>
      <c r="B6" s="7" t="s">
        <v>1076</v>
      </c>
    </row>
    <row r="7" spans="1:4">
      <c r="A7" s="7" t="s">
        <v>1116</v>
      </c>
      <c r="B7" s="7" t="s">
        <v>1066</v>
      </c>
    </row>
    <row r="8" spans="1:4">
      <c r="A8" s="7" t="s">
        <v>1116</v>
      </c>
      <c r="B8" s="7" t="s">
        <v>102</v>
      </c>
    </row>
    <row r="9" spans="1:4">
      <c r="A9" s="7" t="s">
        <v>1116</v>
      </c>
      <c r="B9" s="7" t="s">
        <v>1060</v>
      </c>
    </row>
    <row r="10" spans="1:4">
      <c r="A10" s="7" t="s">
        <v>1116</v>
      </c>
      <c r="B10" s="7" t="s">
        <v>1063</v>
      </c>
    </row>
    <row r="11" spans="1:4">
      <c r="A11" s="7" t="s">
        <v>1117</v>
      </c>
      <c r="B11" s="7" t="s">
        <v>96</v>
      </c>
    </row>
    <row r="12" spans="1:4">
      <c r="A12" s="7" t="s">
        <v>1115</v>
      </c>
      <c r="B12" s="7" t="s">
        <v>1118</v>
      </c>
    </row>
    <row r="13" spans="1:4">
      <c r="A13" s="7" t="s">
        <v>1115</v>
      </c>
      <c r="B13" s="7" t="s">
        <v>1069</v>
      </c>
    </row>
    <row r="14" spans="1:4">
      <c r="A14" s="7" t="s">
        <v>1115</v>
      </c>
      <c r="B14" s="7" t="s">
        <v>1073</v>
      </c>
    </row>
    <row r="15" spans="1:4">
      <c r="A15" s="7" t="s">
        <v>1115</v>
      </c>
      <c r="B15" s="7" t="s">
        <v>1079</v>
      </c>
    </row>
    <row r="16" spans="1:4">
      <c r="A16" s="7" t="s">
        <v>1115</v>
      </c>
      <c r="B16" s="7" t="s">
        <v>1068</v>
      </c>
    </row>
    <row r="17" spans="1:2">
      <c r="A17" s="7" t="s">
        <v>1115</v>
      </c>
      <c r="B17" s="7" t="s">
        <v>1062</v>
      </c>
    </row>
    <row r="18" spans="1:2">
      <c r="A18" s="7" t="s">
        <v>1115</v>
      </c>
      <c r="B18" s="7" t="s">
        <v>1067</v>
      </c>
    </row>
    <row r="19" spans="1:2">
      <c r="A19" s="7" t="s">
        <v>1115</v>
      </c>
      <c r="B19" s="7" t="s">
        <v>1064</v>
      </c>
    </row>
    <row r="20" spans="1:2">
      <c r="A20" s="7" t="s">
        <v>1115</v>
      </c>
      <c r="B20" s="7" t="s">
        <v>1075</v>
      </c>
    </row>
    <row r="21" spans="1:2">
      <c r="A21" s="7" t="s">
        <v>1115</v>
      </c>
      <c r="B21" s="7" t="s">
        <v>1070</v>
      </c>
    </row>
    <row r="22" spans="1:2">
      <c r="A22" s="7" t="s">
        <v>1115</v>
      </c>
      <c r="B22" s="7" t="s">
        <v>1074</v>
      </c>
    </row>
    <row r="23" spans="1:2">
      <c r="A23" s="7" t="s">
        <v>1115</v>
      </c>
      <c r="B23" s="7" t="s">
        <v>1078</v>
      </c>
    </row>
    <row r="24" spans="1:2">
      <c r="A24" s="7" t="s">
        <v>1115</v>
      </c>
      <c r="B24" s="7" t="s">
        <v>1071</v>
      </c>
    </row>
    <row r="25" spans="1:2">
      <c r="A25" s="7" t="s">
        <v>1115</v>
      </c>
      <c r="B25" s="7" t="s">
        <v>1061</v>
      </c>
    </row>
    <row r="26" spans="1:2">
      <c r="A26" s="7" t="s">
        <v>1115</v>
      </c>
      <c r="B26" s="7" t="s">
        <v>1072</v>
      </c>
    </row>
    <row r="27" spans="1:2">
      <c r="A27" s="7" t="s">
        <v>1115</v>
      </c>
      <c r="B27" s="7" t="s">
        <v>107</v>
      </c>
    </row>
    <row r="28" spans="1:2">
      <c r="A28" s="7" t="s">
        <v>1115</v>
      </c>
      <c r="B28" s="7" t="s">
        <v>108</v>
      </c>
    </row>
    <row r="29" spans="1:2">
      <c r="A29" s="7" t="s">
        <v>1115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1119</v>
      </c>
      <c r="B1" s="15" t="s">
        <v>1120</v>
      </c>
      <c r="C1" s="15" t="s">
        <v>1121</v>
      </c>
      <c r="D1" s="15" t="s">
        <v>1122</v>
      </c>
      <c r="E1" s="15" t="s">
        <v>1123</v>
      </c>
      <c r="F1" s="15" t="s">
        <v>1124</v>
      </c>
      <c r="G1" s="15" t="s">
        <v>1133</v>
      </c>
      <c r="H1" s="15" t="s">
        <v>1134</v>
      </c>
      <c r="I1" s="15" t="s">
        <v>1135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 t="s">
        <v>1099</v>
      </c>
      <c r="G2" s="7" t="s">
        <v>1099</v>
      </c>
      <c r="H2" s="7" t="s">
        <v>1099</v>
      </c>
      <c r="I2" s="7" t="s">
        <v>1099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 t="s">
        <v>1125</v>
      </c>
      <c r="G3" s="7" t="s">
        <v>471</v>
      </c>
      <c r="H3" s="7" t="s">
        <v>560</v>
      </c>
      <c r="I3" s="7" t="s">
        <v>113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 t="s">
        <v>1126</v>
      </c>
      <c r="G4" s="7" t="s">
        <v>352</v>
      </c>
      <c r="H4" s="7" t="s">
        <v>46</v>
      </c>
      <c r="I4" s="7" t="s">
        <v>387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 t="s">
        <v>1127</v>
      </c>
      <c r="G5" s="7" t="s">
        <v>114</v>
      </c>
      <c r="H5" s="7" t="s">
        <v>575</v>
      </c>
      <c r="I5" s="7" t="s">
        <v>1010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 t="s">
        <v>1128</v>
      </c>
      <c r="G6" s="7" t="s">
        <v>51</v>
      </c>
      <c r="H6" s="7" t="s">
        <v>21</v>
      </c>
      <c r="I6" s="7" t="s">
        <v>697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 t="s">
        <v>1129</v>
      </c>
      <c r="G7" s="7" t="s">
        <v>25</v>
      </c>
      <c r="H7" s="7" t="s">
        <v>176</v>
      </c>
      <c r="I7" s="7" t="s">
        <v>523</v>
      </c>
    </row>
    <row r="8" spans="1:9">
      <c r="A8" s="7" t="s">
        <v>271</v>
      </c>
      <c r="B8" s="7" t="s">
        <v>219</v>
      </c>
      <c r="E8" s="8">
        <f>TODAY()-6</f>
        <v>0</v>
      </c>
      <c r="F8" s="7" t="s">
        <v>1130</v>
      </c>
      <c r="G8" s="7" t="s">
        <v>61</v>
      </c>
      <c r="H8" s="7" t="s">
        <v>168</v>
      </c>
      <c r="I8" s="7" t="s">
        <v>613</v>
      </c>
    </row>
    <row r="9" spans="1:9">
      <c r="A9" s="7" t="s">
        <v>161</v>
      </c>
      <c r="B9" s="7" t="s">
        <v>136</v>
      </c>
      <c r="E9" s="8">
        <f>TODAY()-7</f>
        <v>0</v>
      </c>
      <c r="F9" s="7" t="s">
        <v>1131</v>
      </c>
      <c r="H9" s="7" t="s">
        <v>271</v>
      </c>
      <c r="I9" s="7" t="s">
        <v>219</v>
      </c>
    </row>
    <row r="10" spans="1:9">
      <c r="A10" s="7" t="s">
        <v>384</v>
      </c>
      <c r="B10" s="7" t="s">
        <v>630</v>
      </c>
      <c r="E10" s="8">
        <f>TODAY()-8</f>
        <v>0</v>
      </c>
      <c r="F10" s="7" t="s">
        <v>1132</v>
      </c>
      <c r="H10" s="7" t="s">
        <v>161</v>
      </c>
      <c r="I10" s="7" t="s">
        <v>136</v>
      </c>
    </row>
    <row r="11" spans="1:9">
      <c r="A11" s="7" t="s">
        <v>81</v>
      </c>
      <c r="B11" s="7" t="s">
        <v>49</v>
      </c>
      <c r="E11" s="8">
        <f>TODAY()-9</f>
        <v>0</v>
      </c>
      <c r="H11" s="7" t="s">
        <v>384</v>
      </c>
      <c r="I11" s="7" t="s">
        <v>630</v>
      </c>
    </row>
    <row r="12" spans="1:9">
      <c r="A12" s="7" t="s">
        <v>694</v>
      </c>
      <c r="B12" s="7" t="s">
        <v>1041</v>
      </c>
      <c r="E12" s="8">
        <f>TODAY()-10</f>
        <v>0</v>
      </c>
      <c r="H12" s="7" t="s">
        <v>81</v>
      </c>
      <c r="I12" s="7" t="s">
        <v>49</v>
      </c>
    </row>
    <row r="13" spans="1:9">
      <c r="A13" s="7" t="s">
        <v>133</v>
      </c>
      <c r="B13" s="7" t="s">
        <v>59</v>
      </c>
      <c r="E13" s="8">
        <f>TODAY()-11</f>
        <v>0</v>
      </c>
      <c r="H13" s="7" t="s">
        <v>694</v>
      </c>
      <c r="I13" s="7" t="s">
        <v>1041</v>
      </c>
    </row>
    <row r="14" spans="1:9">
      <c r="A14" s="7" t="s">
        <v>56</v>
      </c>
      <c r="B14" s="7" t="s">
        <v>435</v>
      </c>
      <c r="E14" s="8">
        <f>TODAY()-12</f>
        <v>0</v>
      </c>
      <c r="H14" s="7" t="s">
        <v>133</v>
      </c>
      <c r="I14" s="7" t="s">
        <v>59</v>
      </c>
    </row>
    <row r="15" spans="1:9">
      <c r="A15" s="7" t="s">
        <v>256</v>
      </c>
      <c r="B15" s="7" t="s">
        <v>950</v>
      </c>
      <c r="E15" s="8">
        <f>TODAY()-13</f>
        <v>0</v>
      </c>
      <c r="H15" s="7" t="s">
        <v>56</v>
      </c>
      <c r="I15" s="7" t="s">
        <v>435</v>
      </c>
    </row>
    <row r="16" spans="1:9">
      <c r="B16" s="7" t="s">
        <v>541</v>
      </c>
      <c r="E16" s="8">
        <f>TODAY()-14</f>
        <v>0</v>
      </c>
      <c r="H16" s="7" t="s">
        <v>256</v>
      </c>
      <c r="I16" s="7" t="s">
        <v>950</v>
      </c>
    </row>
    <row r="17" spans="2:9">
      <c r="B17" s="7" t="s">
        <v>171</v>
      </c>
      <c r="E17" s="8">
        <f>TODAY()-15</f>
        <v>0</v>
      </c>
      <c r="I17" s="7" t="s">
        <v>541</v>
      </c>
    </row>
    <row r="18" spans="2:9">
      <c r="B18" s="7" t="s">
        <v>759</v>
      </c>
      <c r="E18" s="8">
        <f>TODAY()-16</f>
        <v>0</v>
      </c>
      <c r="I18" s="7" t="s">
        <v>171</v>
      </c>
    </row>
    <row r="19" spans="2:9">
      <c r="B19" s="7" t="s">
        <v>562</v>
      </c>
      <c r="E19" s="8">
        <f>TODAY()-17</f>
        <v>0</v>
      </c>
      <c r="I19" s="7" t="s">
        <v>759</v>
      </c>
    </row>
    <row r="20" spans="2:9">
      <c r="B20" s="7" t="s">
        <v>508</v>
      </c>
      <c r="E20" s="8">
        <f>TODAY()-18</f>
        <v>0</v>
      </c>
      <c r="I20" s="7" t="s">
        <v>562</v>
      </c>
    </row>
    <row r="21" spans="2:9">
      <c r="B21" s="7" t="s">
        <v>534</v>
      </c>
      <c r="E21" s="8">
        <f>TODAY()-19</f>
        <v>0</v>
      </c>
      <c r="I21" s="7" t="s">
        <v>508</v>
      </c>
    </row>
    <row r="22" spans="2:9">
      <c r="B22" s="7" t="s">
        <v>24</v>
      </c>
      <c r="E22" s="8">
        <f>TODAY()-20</f>
        <v>0</v>
      </c>
      <c r="I22" s="7" t="s">
        <v>534</v>
      </c>
    </row>
    <row r="23" spans="2:9">
      <c r="B23" s="7" t="s">
        <v>1049</v>
      </c>
      <c r="E23" s="8">
        <f>TODAY()-21</f>
        <v>0</v>
      </c>
      <c r="I23" s="7" t="s">
        <v>24</v>
      </c>
    </row>
    <row r="24" spans="2:9">
      <c r="B24" s="7" t="s">
        <v>480</v>
      </c>
      <c r="E24" s="8">
        <f>TODAY()-22</f>
        <v>0</v>
      </c>
      <c r="I24" s="7" t="s">
        <v>1049</v>
      </c>
    </row>
    <row r="25" spans="2:9">
      <c r="B25" s="7" t="s">
        <v>792</v>
      </c>
      <c r="E25" s="8">
        <f>TODAY()-23</f>
        <v>0</v>
      </c>
      <c r="I25" s="7" t="s">
        <v>480</v>
      </c>
    </row>
    <row r="26" spans="2:9">
      <c r="B26" s="7" t="s">
        <v>351</v>
      </c>
      <c r="E26" s="8">
        <f>TODAY()-24</f>
        <v>0</v>
      </c>
      <c r="I26" s="7" t="s">
        <v>792</v>
      </c>
    </row>
    <row r="27" spans="2:9">
      <c r="B27" s="7" t="s">
        <v>851</v>
      </c>
      <c r="E27" s="8">
        <f>TODAY()-25</f>
        <v>0</v>
      </c>
      <c r="I27" s="7" t="s">
        <v>351</v>
      </c>
    </row>
    <row r="28" spans="2:9">
      <c r="B28" s="7" t="s">
        <v>416</v>
      </c>
      <c r="E28" s="8">
        <f>TODAY()-26</f>
        <v>0</v>
      </c>
      <c r="I28" s="7" t="s">
        <v>851</v>
      </c>
    </row>
    <row r="29" spans="2:9">
      <c r="B29" s="7" t="s">
        <v>477</v>
      </c>
      <c r="E29" s="8">
        <f>TODAY()-27</f>
        <v>0</v>
      </c>
      <c r="I29" s="7" t="s">
        <v>416</v>
      </c>
    </row>
    <row r="30" spans="2:9">
      <c r="B30" s="7" t="s">
        <v>159</v>
      </c>
      <c r="E30" s="8">
        <f>TODAY()-28</f>
        <v>0</v>
      </c>
      <c r="I30" s="7" t="s">
        <v>477</v>
      </c>
    </row>
    <row r="31" spans="2:9">
      <c r="B31" s="7" t="s">
        <v>256</v>
      </c>
      <c r="E31" s="8">
        <f>TODAY()-29</f>
        <v>0</v>
      </c>
      <c r="I31" s="7" t="s">
        <v>159</v>
      </c>
    </row>
    <row r="32" spans="2:9">
      <c r="B32" s="7" t="s">
        <v>84</v>
      </c>
      <c r="E32" s="8">
        <f>TODAY()-30</f>
        <v>0</v>
      </c>
      <c r="I32" s="7" t="s">
        <v>256</v>
      </c>
    </row>
    <row r="33" spans="2:9">
      <c r="B33" s="7" t="s">
        <v>274</v>
      </c>
      <c r="I33" s="7" t="s">
        <v>84</v>
      </c>
    </row>
    <row r="34" spans="2:9">
      <c r="I34" s="7" t="s">
        <v>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2026-08-04T09:08:18Z</dcterms:created>
  <dcterms:modified xsi:type="dcterms:W3CDTF">2026-08-04T09:08:18Z</dcterms:modified>
</cp:coreProperties>
</file>