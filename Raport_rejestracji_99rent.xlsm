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<sst xmlns="http://schemas.openxmlformats.org/spreadsheetml/2006/main" count="5113" uniqueCount="1143">
  <si>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</si>
  <si>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</si>
  <si>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</si>
  <si>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</si>
  <si>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</si>
  <si>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</si>
  <si>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</si>
  <si>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osobnego pliku archiwum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</si>
  <si>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</si>
  <si>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</si>
  <si>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</si>
  <si>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</si>
  <si>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</si>
  <si>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</si>
  <si>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</si>
  <si>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</si>
  <si>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</si>
  <si>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</si>
  <si>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</si>
  <si>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</si>
  <si>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</si>
  <si>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</si>
  <si>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</si>
  <si>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</si>
  <si>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</si>
  <si>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</si>
  <si>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</si>
  <si>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</si>
  <si>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</si>
  <si>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</si>
  <si>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</si>
  <si>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</si>
  <si>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</si>
  <si>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</si>
  <si>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</si>
  <si>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</si>
  <si>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</si>
  <si>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</si>
  <si>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</si>
  <si>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</si>
  <si>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</si>
  <si>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</si>
  <si>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</si>
  <si>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</si>
  <si>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</si>
  <si>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</si>
  <si>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</si>
  <si>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</si>
  <si>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</si>
  <si>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</si>
  <si>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</si>
  <si>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</si>
  <si>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</si>
  <si>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</si>
  <si>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</si>
  <si>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</si>
  <si>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</si>
  <si>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</si>
  <si>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</si>
  <si>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</si>
  <si>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</si>
  <si>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</si>
  <si>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</si>
  <si>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</si>
  <si>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</si>
  <si>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</si>
  <si>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</si>
  <si>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</si>
  <si>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</si>
  <si>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</si>
  <si>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</si>
  <si>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</si>
  <si>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</si>
  <si>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</si>
  <si>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</si>
  <si>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</si>
  <si>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</si>
  <si>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</si>
  <si>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</si>
  <si>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</si>
  <si>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</si>
  <si>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</si>
  <si>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</si>
  <si>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</si>
  <si>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</si>
  <si>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</si>
  <si>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</si>
  <si>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</si>
  <si>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</si>
  <si>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</si>
  <si>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</si>
  <si>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</si>
  <si>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</si>
  <si>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</si>
  <si>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</si>
  <si>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</si>
  <si>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</si>
  <si>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</si>
  <si>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</si>
  <si>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</si>
  <si>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</si>
  <si>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</si>
  <si>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</si>
  <si>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</si>
  <si>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</si>
  <si>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</si>
  <si>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</si>
  <si>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</si>
  <si>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</si>
  <si>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</si>
  <si>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</si>
  <si>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</si>
  <si>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</si>
  <si>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</si>
  <si>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</si>
  <si>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</si>
  <si>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</si>
  <si>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</si>
  <si>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</si>
  <si>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</si>
  <si>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</si>
  <si>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</si>
  <si>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</si>
  <si>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</si>
  <si>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</si>
  <si>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</si>
  <si>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</si>
  <si>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</si>
  <si>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</si>
  <si>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</si>
  <si>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</si>
  <si>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</si>
  <si>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</si>
  <si>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</si>
  <si>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</si>
  <si>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</si>
  <si>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</si>
  <si>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</si>
  <si>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nowego pliku Archiwum_zarejestrowane_RRRR-MM.xlsx (w folderze tego pliku).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</si>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</sst>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3">
    <numFmt numFmtId="164" formatCode="yyyy-mm-dd  hh:mm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581</v>
      </c>
      <c r="B420" s="30" t="s">
        <v>582</v>
      </c>
      <c r="C420" s="30" t="s">
        <v>583</v>
      </c>
      <c r="D420" s="30" t="s">
        <v>584</v>
      </c>
      <c r="E420" s="30" t="s">
        <v>118</v>
      </c>
      <c r="F420" s="30" t="s">
        <v>30</v>
      </c>
      <c r="G420" s="31">
        <v>46212</v>
      </c>
      <c r="H420" s="31">
        <v>46212</v>
      </c>
      <c r="I420" s="32">
        <f>IF(OR($G420="",$H420=""),"",$H420-$G420)</f>
        <v>0</v>
      </c>
      <c r="J420" s="30"/>
    </row>
    <row r="421" spans="1:10">
      <c r="A421" s="30" t="s">
        <v>581</v>
      </c>
      <c r="B421" s="30" t="s">
        <v>582</v>
      </c>
      <c r="C421" s="30" t="s">
        <v>585</v>
      </c>
      <c r="D421" s="30" t="s">
        <v>586</v>
      </c>
      <c r="E421" s="30" t="s">
        <v>118</v>
      </c>
      <c r="F421" s="30" t="s">
        <v>30</v>
      </c>
      <c r="G421" s="31">
        <v>46212</v>
      </c>
      <c r="H421" s="31">
        <v>46213</v>
      </c>
      <c r="I421" s="32">
        <f>IF(OR($G421="",$H421=""),"",$H421-$G421)</f>
        <v>0</v>
      </c>
      <c r="J421" s="30"/>
    </row>
    <row r="422" spans="1:10">
      <c r="A422" s="30" t="s">
        <v>581</v>
      </c>
      <c r="B422" s="30" t="s">
        <v>582</v>
      </c>
      <c r="C422" s="30" t="s">
        <v>587</v>
      </c>
      <c r="D422" s="30" t="s">
        <v>588</v>
      </c>
      <c r="E422" s="30" t="s">
        <v>118</v>
      </c>
      <c r="F422" s="30" t="s">
        <v>30</v>
      </c>
      <c r="G422" s="31">
        <v>46212</v>
      </c>
      <c r="H422" s="31">
        <v>46212</v>
      </c>
      <c r="I422" s="32">
        <f>IF(OR($G422="",$H422=""),"",$H422-$G422)</f>
        <v>0</v>
      </c>
      <c r="J422" s="30"/>
    </row>
    <row r="423" spans="1:10">
      <c r="A423" s="30" t="s">
        <v>581</v>
      </c>
      <c r="B423" s="30" t="s">
        <v>582</v>
      </c>
      <c r="C423" s="30" t="s">
        <v>589</v>
      </c>
      <c r="D423" s="30" t="s">
        <v>590</v>
      </c>
      <c r="E423" s="30" t="s">
        <v>118</v>
      </c>
      <c r="F423" s="30" t="s">
        <v>30</v>
      </c>
      <c r="G423" s="31">
        <v>46212</v>
      </c>
      <c r="H423" s="31">
        <v>46212</v>
      </c>
      <c r="I423" s="32">
        <f>IF(OR($G423="",$H423=""),"",$H423-$G423)</f>
        <v>0</v>
      </c>
      <c r="J423" s="30"/>
    </row>
    <row r="424" spans="1:10">
      <c r="A424" s="30" t="s">
        <v>581</v>
      </c>
      <c r="B424" s="30" t="s">
        <v>582</v>
      </c>
      <c r="C424" s="30" t="s">
        <v>591</v>
      </c>
      <c r="D424" s="30" t="s">
        <v>592</v>
      </c>
      <c r="E424" s="30" t="s">
        <v>118</v>
      </c>
      <c r="F424" s="30" t="s">
        <v>30</v>
      </c>
      <c r="G424" s="31">
        <v>46212</v>
      </c>
      <c r="H424" s="31">
        <v>46212</v>
      </c>
      <c r="I424" s="32">
        <f>IF(OR($G424="",$H424=""),"",$H424-$G424)</f>
        <v>0</v>
      </c>
      <c r="J424" s="30"/>
    </row>
    <row r="425" spans="1:10">
      <c r="A425" s="30" t="s">
        <v>581</v>
      </c>
      <c r="B425" s="30" t="s">
        <v>582</v>
      </c>
      <c r="C425" s="30" t="s">
        <v>593</v>
      </c>
      <c r="D425" s="30" t="s">
        <v>594</v>
      </c>
      <c r="E425" s="30" t="s">
        <v>118</v>
      </c>
      <c r="F425" s="30" t="s">
        <v>30</v>
      </c>
      <c r="G425" s="31">
        <v>46212</v>
      </c>
      <c r="H425" s="31">
        <v>46212</v>
      </c>
      <c r="I425" s="32">
        <f>IF(OR($G425="",$H425=""),"",$H425-$G425)</f>
        <v>0</v>
      </c>
      <c r="J425" s="30"/>
    </row>
    <row r="426" spans="1:10">
      <c r="A426" s="30" t="s">
        <v>581</v>
      </c>
      <c r="B426" s="30" t="s">
        <v>582</v>
      </c>
      <c r="C426" s="30" t="s">
        <v>595</v>
      </c>
      <c r="D426" s="30" t="s">
        <v>596</v>
      </c>
      <c r="E426" s="30" t="s">
        <v>118</v>
      </c>
      <c r="F426" s="30" t="s">
        <v>30</v>
      </c>
      <c r="G426" s="31">
        <v>46212</v>
      </c>
      <c r="H426" s="31">
        <v>46212</v>
      </c>
      <c r="I426" s="32">
        <f>IF(OR($G426="",$H426=""),"",$H426-$G426)</f>
        <v>0</v>
      </c>
      <c r="J426" s="30"/>
    </row>
    <row r="427" spans="1:10">
      <c r="A427" s="30" t="s">
        <v>581</v>
      </c>
      <c r="B427" s="30" t="s">
        <v>582</v>
      </c>
      <c r="C427" s="30" t="s">
        <v>597</v>
      </c>
      <c r="D427" s="30" t="s">
        <v>598</v>
      </c>
      <c r="E427" s="30" t="s">
        <v>118</v>
      </c>
      <c r="F427" s="30" t="s">
        <v>30</v>
      </c>
      <c r="G427" s="31">
        <v>46212</v>
      </c>
      <c r="H427" s="31">
        <v>46212</v>
      </c>
      <c r="I427" s="32">
        <f>IF(OR($G427="",$H427=""),"",$H427-$G427)</f>
        <v>0</v>
      </c>
      <c r="J427" s="30"/>
    </row>
    <row r="428" spans="1:10">
      <c r="A428" s="30" t="s">
        <v>581</v>
      </c>
      <c r="B428" s="30" t="s">
        <v>582</v>
      </c>
      <c r="C428" s="30" t="s">
        <v>599</v>
      </c>
      <c r="D428" s="30" t="s">
        <v>600</v>
      </c>
      <c r="E428" s="30" t="s">
        <v>118</v>
      </c>
      <c r="F428" s="30" t="s">
        <v>30</v>
      </c>
      <c r="G428" s="31">
        <v>46212</v>
      </c>
      <c r="H428" s="31">
        <v>46212</v>
      </c>
      <c r="I428" s="32">
        <f>IF(OR($G428="",$H428=""),"",$H428-$G428)</f>
        <v>0</v>
      </c>
      <c r="J428" s="30"/>
    </row>
    <row r="429" spans="1:10">
      <c r="A429" s="30" t="s">
        <v>581</v>
      </c>
      <c r="B429" s="30" t="s">
        <v>582</v>
      </c>
      <c r="C429" s="30" t="s">
        <v>601</v>
      </c>
      <c r="D429" s="30" t="s">
        <v>602</v>
      </c>
      <c r="E429" s="30" t="s">
        <v>118</v>
      </c>
      <c r="F429" s="30" t="s">
        <v>30</v>
      </c>
      <c r="G429" s="31">
        <v>46212</v>
      </c>
      <c r="H429" s="31">
        <v>46212</v>
      </c>
      <c r="I429" s="32">
        <f>IF(OR($G429="",$H429=""),"",$H429-$G429)</f>
        <v>0</v>
      </c>
      <c r="J429" s="30"/>
    </row>
    <row r="430" spans="1:10">
      <c r="A430" s="30" t="s">
        <v>581</v>
      </c>
      <c r="B430" s="30" t="s">
        <v>582</v>
      </c>
      <c r="C430" s="30" t="s">
        <v>603</v>
      </c>
      <c r="D430" s="30" t="s">
        <v>604</v>
      </c>
      <c r="E430" s="30" t="s">
        <v>118</v>
      </c>
      <c r="F430" s="30" t="s">
        <v>30</v>
      </c>
      <c r="G430" s="31">
        <v>46212</v>
      </c>
      <c r="H430" s="31">
        <v>46212</v>
      </c>
      <c r="I430" s="32">
        <f>IF(OR($G430="",$H430=""),"",$H430-$G430)</f>
        <v>0</v>
      </c>
      <c r="J430" s="30"/>
    </row>
    <row r="431" spans="1:10">
      <c r="A431" s="30" t="s">
        <v>581</v>
      </c>
      <c r="B431" s="30" t="s">
        <v>582</v>
      </c>
      <c r="C431" s="30" t="s">
        <v>605</v>
      </c>
      <c r="D431" s="30" t="s">
        <v>606</v>
      </c>
      <c r="E431" s="30" t="s">
        <v>118</v>
      </c>
      <c r="F431" s="30" t="s">
        <v>30</v>
      </c>
      <c r="G431" s="31">
        <v>46212</v>
      </c>
      <c r="H431" s="31">
        <v>46213</v>
      </c>
      <c r="I431" s="32">
        <f>IF(OR($G431="",$H431=""),"",$H431-$G431)</f>
        <v>0</v>
      </c>
      <c r="J431" s="30"/>
    </row>
    <row r="432" spans="1:10">
      <c r="A432" s="30" t="s">
        <v>581</v>
      </c>
      <c r="B432" s="30" t="s">
        <v>582</v>
      </c>
      <c r="C432" s="30" t="s">
        <v>607</v>
      </c>
      <c r="D432" s="30" t="s">
        <v>608</v>
      </c>
      <c r="E432" s="30" t="s">
        <v>118</v>
      </c>
      <c r="F432" s="30" t="s">
        <v>30</v>
      </c>
      <c r="G432" s="31">
        <v>46212</v>
      </c>
      <c r="H432" s="31">
        <v>46213</v>
      </c>
      <c r="I432" s="32">
        <f>IF(OR($G432="",$H432=""),"",$H432-$G432)</f>
        <v>0</v>
      </c>
      <c r="J432" s="30"/>
    </row>
    <row r="433" spans="1:10">
      <c r="A433" s="30" t="s">
        <v>581</v>
      </c>
      <c r="B433" s="30" t="s">
        <v>582</v>
      </c>
      <c r="C433" s="30" t="s">
        <v>609</v>
      </c>
      <c r="D433" s="30" t="s">
        <v>610</v>
      </c>
      <c r="E433" s="30" t="s">
        <v>118</v>
      </c>
      <c r="F433" s="30" t="s">
        <v>30</v>
      </c>
      <c r="G433" s="31">
        <v>46212</v>
      </c>
      <c r="H433" s="31">
        <v>46213</v>
      </c>
      <c r="I433" s="32">
        <f>IF(OR($G433="",$H433=""),"",$H433-$G433)</f>
        <v>0</v>
      </c>
      <c r="J433" s="30"/>
    </row>
    <row r="434" spans="1:10">
      <c r="A434" s="30" t="s">
        <v>581</v>
      </c>
      <c r="B434" s="30" t="s">
        <v>582</v>
      </c>
      <c r="C434" s="30" t="s">
        <v>611</v>
      </c>
      <c r="D434" s="30" t="s">
        <v>612</v>
      </c>
      <c r="E434" s="30" t="s">
        <v>118</v>
      </c>
      <c r="F434" s="30" t="s">
        <v>30</v>
      </c>
      <c r="G434" s="31">
        <v>46212</v>
      </c>
      <c r="H434" s="31">
        <v>46213</v>
      </c>
      <c r="I434" s="32">
        <f>IF(OR($G434="",$H434=""),"",$H434-$G434)</f>
        <v>0</v>
      </c>
      <c r="J434" s="30"/>
    </row>
    <row r="435" spans="1:10">
      <c r="A435" s="30" t="s">
        <v>581</v>
      </c>
      <c r="B435" s="30" t="s">
        <v>582</v>
      </c>
      <c r="C435" s="30" t="s">
        <v>613</v>
      </c>
      <c r="D435" s="30" t="s">
        <v>614</v>
      </c>
      <c r="E435" s="30" t="s">
        <v>118</v>
      </c>
      <c r="F435" s="30" t="s">
        <v>30</v>
      </c>
      <c r="G435" s="31">
        <v>46212</v>
      </c>
      <c r="H435" s="31">
        <v>46213</v>
      </c>
      <c r="I435" s="32">
        <f>IF(OR($G435="",$H435=""),"",$H435-$G435)</f>
        <v>0</v>
      </c>
      <c r="J435" s="30"/>
    </row>
    <row r="436" spans="1:10">
      <c r="A436" s="30" t="s">
        <v>581</v>
      </c>
      <c r="B436" s="30" t="s">
        <v>582</v>
      </c>
      <c r="C436" s="30" t="s">
        <v>615</v>
      </c>
      <c r="D436" s="30" t="s">
        <v>616</v>
      </c>
      <c r="E436" s="30" t="s">
        <v>118</v>
      </c>
      <c r="F436" s="30" t="s">
        <v>30</v>
      </c>
      <c r="G436" s="31">
        <v>46212</v>
      </c>
      <c r="H436" s="31">
        <v>46213</v>
      </c>
      <c r="I436" s="32">
        <f>IF(OR($G436="",$H436=""),"",$H436-$G436)</f>
        <v>0</v>
      </c>
      <c r="J436" s="30"/>
    </row>
    <row r="437" spans="1:10">
      <c r="A437" s="30" t="s">
        <v>51</v>
      </c>
      <c r="B437" s="30" t="s">
        <v>617</v>
      </c>
      <c r="C437" s="30" t="s">
        <v>618</v>
      </c>
      <c r="D437" s="30"/>
      <c r="E437" s="30" t="s">
        <v>619</v>
      </c>
      <c r="F437" s="30" t="s">
        <v>66</v>
      </c>
      <c r="G437" s="31">
        <v>46205</v>
      </c>
      <c r="H437" s="31"/>
      <c r="I437" s="32">
        <f>IF(OR($G437="",$H437=""),"",$H437-$G437)</f>
        <v>0</v>
      </c>
      <c r="J437" s="30"/>
    </row>
    <row r="438" spans="1:10">
      <c r="A438" s="30" t="s">
        <v>51</v>
      </c>
      <c r="B438" s="30" t="s">
        <v>617</v>
      </c>
      <c r="C438" s="30" t="s">
        <v>620</v>
      </c>
      <c r="D438" s="30"/>
      <c r="E438" s="30" t="s">
        <v>619</v>
      </c>
      <c r="F438" s="30" t="s">
        <v>66</v>
      </c>
      <c r="G438" s="31">
        <v>46205</v>
      </c>
      <c r="H438" s="31"/>
      <c r="I438" s="32">
        <f>IF(OR($G438="",$H438=""),"",$H438-$G438)</f>
        <v>0</v>
      </c>
      <c r="J438" s="30"/>
    </row>
    <row r="439" spans="1:10">
      <c r="A439" s="30" t="s">
        <v>139</v>
      </c>
      <c r="B439" s="30" t="s">
        <v>475</v>
      </c>
      <c r="C439" s="30" t="s">
        <v>621</v>
      </c>
      <c r="D439" s="30"/>
      <c r="E439" s="30" t="s">
        <v>262</v>
      </c>
      <c r="F439" s="30" t="s">
        <v>30</v>
      </c>
      <c r="G439" s="31">
        <v>46206</v>
      </c>
      <c r="H439" s="31"/>
      <c r="I439" s="32">
        <f>IF(OR($G439="",$H439=""),"",$H439-$G439)</f>
        <v>0</v>
      </c>
      <c r="J439" s="30"/>
    </row>
    <row r="440" spans="1:10">
      <c r="A440" s="30" t="s">
        <v>139</v>
      </c>
      <c r="B440" s="30" t="s">
        <v>475</v>
      </c>
      <c r="C440" s="30" t="s">
        <v>622</v>
      </c>
      <c r="D440" s="30"/>
      <c r="E440" s="30" t="s">
        <v>262</v>
      </c>
      <c r="F440" s="30" t="s">
        <v>30</v>
      </c>
      <c r="G440" s="31">
        <v>46206</v>
      </c>
      <c r="H440" s="31"/>
      <c r="I440" s="32">
        <f>IF(OR($G440="",$H440=""),"",$H440-$G440)</f>
        <v>0</v>
      </c>
      <c r="J440" s="30"/>
    </row>
    <row r="441" spans="1:10">
      <c r="A441" s="30" t="s">
        <v>139</v>
      </c>
      <c r="B441" s="30" t="s">
        <v>475</v>
      </c>
      <c r="C441" s="30" t="s">
        <v>623</v>
      </c>
      <c r="D441" s="30"/>
      <c r="E441" s="30" t="s">
        <v>262</v>
      </c>
      <c r="F441" s="30" t="s">
        <v>30</v>
      </c>
      <c r="G441" s="31">
        <v>46206</v>
      </c>
      <c r="H441" s="31"/>
      <c r="I441" s="32">
        <f>IF(OR($G441="",$H441=""),"",$H441-$G441)</f>
        <v>0</v>
      </c>
      <c r="J441" s="30"/>
    </row>
    <row r="442" spans="1:10">
      <c r="A442" s="30" t="s">
        <v>139</v>
      </c>
      <c r="B442" s="30" t="s">
        <v>475</v>
      </c>
      <c r="C442" s="30" t="s">
        <v>624</v>
      </c>
      <c r="D442" s="30"/>
      <c r="E442" s="30" t="s">
        <v>262</v>
      </c>
      <c r="F442" s="30" t="s">
        <v>30</v>
      </c>
      <c r="G442" s="31">
        <v>46206</v>
      </c>
      <c r="H442" s="31"/>
      <c r="I442" s="32">
        <f>IF(OR($G442="",$H442=""),"",$H442-$G442)</f>
        <v>0</v>
      </c>
      <c r="J442" s="30"/>
    </row>
    <row r="443" spans="1:10">
      <c r="A443" s="30" t="s">
        <v>139</v>
      </c>
      <c r="B443" s="30" t="s">
        <v>475</v>
      </c>
      <c r="C443" s="30" t="s">
        <v>625</v>
      </c>
      <c r="D443" s="30"/>
      <c r="E443" s="30" t="s">
        <v>262</v>
      </c>
      <c r="F443" s="30" t="s">
        <v>30</v>
      </c>
      <c r="G443" s="31">
        <v>46206</v>
      </c>
      <c r="H443" s="31"/>
      <c r="I443" s="32">
        <f>IF(OR($G443="",$H443=""),"",$H443-$G443)</f>
        <v>0</v>
      </c>
      <c r="J443" s="30"/>
    </row>
    <row r="444" spans="1:10">
      <c r="A444" s="30" t="s">
        <v>139</v>
      </c>
      <c r="B444" s="30" t="s">
        <v>475</v>
      </c>
      <c r="C444" s="30" t="s">
        <v>626</v>
      </c>
      <c r="D444" s="30"/>
      <c r="E444" s="30" t="s">
        <v>262</v>
      </c>
      <c r="F444" s="30" t="s">
        <v>30</v>
      </c>
      <c r="G444" s="31">
        <v>46206</v>
      </c>
      <c r="H444" s="31"/>
      <c r="I444" s="32">
        <f>IF(OR($G444="",$H444=""),"",$H444-$G444)</f>
        <v>0</v>
      </c>
      <c r="J444" s="30"/>
    </row>
    <row r="445" spans="1:10">
      <c r="A445" s="30" t="s">
        <v>139</v>
      </c>
      <c r="B445" s="30" t="s">
        <v>475</v>
      </c>
      <c r="C445" s="30" t="s">
        <v>627</v>
      </c>
      <c r="D445" s="30"/>
      <c r="E445" s="30" t="s">
        <v>262</v>
      </c>
      <c r="F445" s="30" t="s">
        <v>30</v>
      </c>
      <c r="G445" s="31">
        <v>46206</v>
      </c>
      <c r="H445" s="31"/>
      <c r="I445" s="32">
        <f>IF(OR($G445="",$H445=""),"",$H445-$G445)</f>
        <v>0</v>
      </c>
      <c r="J445" s="30"/>
    </row>
    <row r="446" spans="1:10">
      <c r="A446" s="30" t="s">
        <v>139</v>
      </c>
      <c r="B446" s="30" t="s">
        <v>475</v>
      </c>
      <c r="C446" s="30" t="s">
        <v>628</v>
      </c>
      <c r="D446" s="30"/>
      <c r="E446" s="30" t="s">
        <v>262</v>
      </c>
      <c r="F446" s="30" t="s">
        <v>30</v>
      </c>
      <c r="G446" s="31">
        <v>46206</v>
      </c>
      <c r="H446" s="31"/>
      <c r="I446" s="32">
        <f>IF(OR($G446="",$H446=""),"",$H446-$G446)</f>
        <v>0</v>
      </c>
      <c r="J446" s="30"/>
    </row>
    <row r="447" spans="1:10">
      <c r="A447" s="30" t="s">
        <v>139</v>
      </c>
      <c r="B447" s="30" t="s">
        <v>475</v>
      </c>
      <c r="C447" s="30" t="s">
        <v>629</v>
      </c>
      <c r="D447" s="30"/>
      <c r="E447" s="30" t="s">
        <v>262</v>
      </c>
      <c r="F447" s="30" t="s">
        <v>30</v>
      </c>
      <c r="G447" s="31">
        <v>46206</v>
      </c>
      <c r="H447" s="31"/>
      <c r="I447" s="32">
        <f>IF(OR($G447="",$H447=""),"",$H447-$G447)</f>
        <v>0</v>
      </c>
      <c r="J447" s="30"/>
    </row>
    <row r="448" spans="1:10">
      <c r="A448" s="30" t="s">
        <v>139</v>
      </c>
      <c r="B448" s="30" t="s">
        <v>475</v>
      </c>
      <c r="C448" s="30" t="s">
        <v>630</v>
      </c>
      <c r="D448" s="30"/>
      <c r="E448" s="30" t="s">
        <v>262</v>
      </c>
      <c r="F448" s="30" t="s">
        <v>30</v>
      </c>
      <c r="G448" s="31">
        <v>46206</v>
      </c>
      <c r="H448" s="31"/>
      <c r="I448" s="32">
        <f>IF(OR($G448="",$H448=""),"",$H448-$G448)</f>
        <v>0</v>
      </c>
      <c r="J448" s="30"/>
    </row>
    <row r="449" spans="1:10">
      <c r="A449" s="30" t="s">
        <v>139</v>
      </c>
      <c r="B449" s="30" t="s">
        <v>475</v>
      </c>
      <c r="C449" s="30" t="s">
        <v>631</v>
      </c>
      <c r="D449" s="30"/>
      <c r="E449" s="30" t="s">
        <v>262</v>
      </c>
      <c r="F449" s="30" t="s">
        <v>30</v>
      </c>
      <c r="G449" s="31">
        <v>46206</v>
      </c>
      <c r="H449" s="31"/>
      <c r="I449" s="32">
        <f>IF(OR($G449="",$H449=""),"",$H449-$G449)</f>
        <v>0</v>
      </c>
      <c r="J449" s="30"/>
    </row>
    <row r="450" spans="1:10">
      <c r="A450" s="30" t="s">
        <v>139</v>
      </c>
      <c r="B450" s="30" t="s">
        <v>475</v>
      </c>
      <c r="C450" s="30" t="s">
        <v>632</v>
      </c>
      <c r="D450" s="30"/>
      <c r="E450" s="30" t="s">
        <v>262</v>
      </c>
      <c r="F450" s="30" t="s">
        <v>30</v>
      </c>
      <c r="G450" s="31">
        <v>46206</v>
      </c>
      <c r="H450" s="31"/>
      <c r="I450" s="32">
        <f>IF(OR($G450="",$H450=""),"",$H450-$G450)</f>
        <v>0</v>
      </c>
      <c r="J450" s="30"/>
    </row>
    <row r="451" spans="1:10">
      <c r="A451" s="30" t="s">
        <v>139</v>
      </c>
      <c r="B451" s="30" t="s">
        <v>475</v>
      </c>
      <c r="C451" s="30" t="s">
        <v>633</v>
      </c>
      <c r="D451" s="30"/>
      <c r="E451" s="30" t="s">
        <v>262</v>
      </c>
      <c r="F451" s="30" t="s">
        <v>30</v>
      </c>
      <c r="G451" s="31">
        <v>46206</v>
      </c>
      <c r="H451" s="31"/>
      <c r="I451" s="32">
        <f>IF(OR($G451="",$H451=""),"",$H451-$G451)</f>
        <v>0</v>
      </c>
      <c r="J451" s="30"/>
    </row>
    <row r="452" spans="1:10">
      <c r="A452" s="30" t="s">
        <v>26</v>
      </c>
      <c r="B452" s="30" t="s">
        <v>634</v>
      </c>
      <c r="C452" s="30" t="s">
        <v>635</v>
      </c>
      <c r="D452" s="30"/>
      <c r="E452" s="30" t="s">
        <v>636</v>
      </c>
      <c r="F452" s="30" t="s">
        <v>66</v>
      </c>
      <c r="G452" s="31">
        <v>46210</v>
      </c>
      <c r="H452" s="31"/>
      <c r="I452" s="32">
        <f>IF(OR($G452="",$H452=""),"",$H452-$G452)</f>
        <v>0</v>
      </c>
      <c r="J452" s="30"/>
    </row>
    <row r="453" spans="1:10">
      <c r="A453" s="30" t="s">
        <v>26</v>
      </c>
      <c r="B453" s="30" t="s">
        <v>634</v>
      </c>
      <c r="C453" s="30" t="s">
        <v>637</v>
      </c>
      <c r="D453" s="30"/>
      <c r="E453" s="30" t="s">
        <v>636</v>
      </c>
      <c r="F453" s="30" t="s">
        <v>66</v>
      </c>
      <c r="G453" s="31">
        <v>46210</v>
      </c>
      <c r="H453" s="31"/>
      <c r="I453" s="32">
        <f>IF(OR($G453="",$H453=""),"",$H453-$G453)</f>
        <v>0</v>
      </c>
      <c r="J453" s="30"/>
    </row>
    <row r="454" spans="1:10">
      <c r="A454" s="30" t="s">
        <v>26</v>
      </c>
      <c r="B454" s="30" t="s">
        <v>634</v>
      </c>
      <c r="C454" s="30" t="s">
        <v>638</v>
      </c>
      <c r="D454" s="30"/>
      <c r="E454" s="30" t="s">
        <v>636</v>
      </c>
      <c r="F454" s="30" t="s">
        <v>66</v>
      </c>
      <c r="G454" s="31">
        <v>46210</v>
      </c>
      <c r="H454" s="31"/>
      <c r="I454" s="32">
        <f>IF(OR($G454="",$H454=""),"",$H454-$G454)</f>
        <v>0</v>
      </c>
      <c r="J454" s="30"/>
    </row>
    <row r="455" spans="1:10">
      <c r="A455" s="30" t="s">
        <v>26</v>
      </c>
      <c r="B455" s="30" t="s">
        <v>634</v>
      </c>
      <c r="C455" s="30" t="s">
        <v>639</v>
      </c>
      <c r="D455" s="30"/>
      <c r="E455" s="30" t="s">
        <v>636</v>
      </c>
      <c r="F455" s="30" t="s">
        <v>66</v>
      </c>
      <c r="G455" s="31">
        <v>46210</v>
      </c>
      <c r="H455" s="31"/>
      <c r="I455" s="32">
        <f>IF(OR($G455="",$H455=""),"",$H455-$G455)</f>
        <v>0</v>
      </c>
      <c r="J455" s="30"/>
    </row>
    <row r="456" spans="1:10">
      <c r="A456" s="30" t="s">
        <v>26</v>
      </c>
      <c r="B456" s="30" t="s">
        <v>634</v>
      </c>
      <c r="C456" s="30" t="s">
        <v>640</v>
      </c>
      <c r="D456" s="30"/>
      <c r="E456" s="30" t="s">
        <v>636</v>
      </c>
      <c r="F456" s="30" t="s">
        <v>66</v>
      </c>
      <c r="G456" s="31">
        <v>46210</v>
      </c>
      <c r="H456" s="31"/>
      <c r="I456" s="32">
        <f>IF(OR($G456="",$H456=""),"",$H456-$G456)</f>
        <v>0</v>
      </c>
      <c r="J456" s="30"/>
    </row>
    <row r="457" spans="1:10">
      <c r="A457" s="30" t="s">
        <v>26</v>
      </c>
      <c r="B457" s="30" t="s">
        <v>641</v>
      </c>
      <c r="C457" s="30" t="s">
        <v>642</v>
      </c>
      <c r="D457" s="30"/>
      <c r="E457" s="30" t="s">
        <v>636</v>
      </c>
      <c r="F457" s="30" t="s">
        <v>66</v>
      </c>
      <c r="G457" s="31">
        <v>46210</v>
      </c>
      <c r="H457" s="31"/>
      <c r="I457" s="32">
        <f>IF(OR($G457="",$H457=""),"",$H457-$G457)</f>
        <v>0</v>
      </c>
      <c r="J457" s="30"/>
    </row>
    <row r="458" spans="1:10">
      <c r="A458" s="30" t="s">
        <v>26</v>
      </c>
      <c r="B458" s="30" t="s">
        <v>641</v>
      </c>
      <c r="C458" s="30" t="s">
        <v>643</v>
      </c>
      <c r="D458" s="30"/>
      <c r="E458" s="30" t="s">
        <v>636</v>
      </c>
      <c r="F458" s="30" t="s">
        <v>66</v>
      </c>
      <c r="G458" s="31">
        <v>46210</v>
      </c>
      <c r="H458" s="31"/>
      <c r="I458" s="32">
        <f>IF(OR($G458="",$H458=""),"",$H458-$G458)</f>
        <v>0</v>
      </c>
      <c r="J458" s="30"/>
    </row>
    <row r="459" spans="1:10">
      <c r="A459" s="30" t="s">
        <v>26</v>
      </c>
      <c r="B459" s="30" t="s">
        <v>641</v>
      </c>
      <c r="C459" s="30" t="s">
        <v>644</v>
      </c>
      <c r="D459" s="30"/>
      <c r="E459" s="30" t="s">
        <v>636</v>
      </c>
      <c r="F459" s="30" t="s">
        <v>66</v>
      </c>
      <c r="G459" s="31">
        <v>46210</v>
      </c>
      <c r="H459" s="31"/>
      <c r="I459" s="32">
        <f>IF(OR($G459="",$H459=""),"",$H459-$G459)</f>
        <v>0</v>
      </c>
      <c r="J459" s="30"/>
    </row>
    <row r="460" spans="1:10">
      <c r="A460" s="30" t="s">
        <v>26</v>
      </c>
      <c r="B460" s="30" t="s">
        <v>641</v>
      </c>
      <c r="C460" s="30" t="s">
        <v>645</v>
      </c>
      <c r="D460" s="30"/>
      <c r="E460" s="30" t="s">
        <v>636</v>
      </c>
      <c r="F460" s="30" t="s">
        <v>66</v>
      </c>
      <c r="G460" s="31">
        <v>46210</v>
      </c>
      <c r="H460" s="31"/>
      <c r="I460" s="32">
        <f>IF(OR($G460="",$H460=""),"",$H460-$G460)</f>
        <v>0</v>
      </c>
      <c r="J460" s="30"/>
    </row>
    <row r="461" spans="1:10">
      <c r="A461" s="30" t="s">
        <v>26</v>
      </c>
      <c r="B461" s="30" t="s">
        <v>641</v>
      </c>
      <c r="C461" s="30" t="s">
        <v>646</v>
      </c>
      <c r="D461" s="30"/>
      <c r="E461" s="30" t="s">
        <v>636</v>
      </c>
      <c r="F461" s="30" t="s">
        <v>66</v>
      </c>
      <c r="G461" s="31">
        <v>46210</v>
      </c>
      <c r="H461" s="31"/>
      <c r="I461" s="32">
        <f>IF(OR($G461="",$H461=""),"",$H461-$G461)</f>
        <v>0</v>
      </c>
      <c r="J461" s="30"/>
    </row>
    <row r="462" spans="1:10">
      <c r="A462" s="30" t="s">
        <v>26</v>
      </c>
      <c r="B462" s="30" t="s">
        <v>647</v>
      </c>
      <c r="C462" s="30" t="s">
        <v>648</v>
      </c>
      <c r="D462" s="30"/>
      <c r="E462" s="30" t="s">
        <v>636</v>
      </c>
      <c r="F462" s="30" t="s">
        <v>66</v>
      </c>
      <c r="G462" s="31">
        <v>46210</v>
      </c>
      <c r="H462" s="31"/>
      <c r="I462" s="32">
        <f>IF(OR($G462="",$H462=""),"",$H462-$G462)</f>
        <v>0</v>
      </c>
      <c r="J462" s="30"/>
    </row>
    <row r="463" spans="1:10">
      <c r="A463" s="30" t="s">
        <v>26</v>
      </c>
      <c r="B463" s="30" t="s">
        <v>647</v>
      </c>
      <c r="C463" s="30" t="s">
        <v>649</v>
      </c>
      <c r="D463" s="30"/>
      <c r="E463" s="30" t="s">
        <v>636</v>
      </c>
      <c r="F463" s="30" t="s">
        <v>66</v>
      </c>
      <c r="G463" s="31">
        <v>46210</v>
      </c>
      <c r="H463" s="31"/>
      <c r="I463" s="32">
        <f>IF(OR($G463="",$H463=""),"",$H463-$G463)</f>
        <v>0</v>
      </c>
      <c r="J463" s="30"/>
    </row>
    <row r="464" spans="1:10">
      <c r="A464" s="30" t="s">
        <v>26</v>
      </c>
      <c r="B464" s="30" t="s">
        <v>647</v>
      </c>
      <c r="C464" s="30" t="s">
        <v>650</v>
      </c>
      <c r="D464" s="30"/>
      <c r="E464" s="30" t="s">
        <v>636</v>
      </c>
      <c r="F464" s="30" t="s">
        <v>66</v>
      </c>
      <c r="G464" s="31">
        <v>46210</v>
      </c>
      <c r="H464" s="31"/>
      <c r="I464" s="32">
        <f>IF(OR($G464="",$H464=""),"",$H464-$G464)</f>
        <v>0</v>
      </c>
      <c r="J464" s="30"/>
    </row>
    <row r="465" spans="1:10">
      <c r="A465" s="30" t="s">
        <v>26</v>
      </c>
      <c r="B465" s="30" t="s">
        <v>647</v>
      </c>
      <c r="C465" s="30" t="s">
        <v>651</v>
      </c>
      <c r="D465" s="30"/>
      <c r="E465" s="30" t="s">
        <v>636</v>
      </c>
      <c r="F465" s="30" t="s">
        <v>66</v>
      </c>
      <c r="G465" s="31">
        <v>46210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652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653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654</v>
      </c>
      <c r="D468" s="30"/>
      <c r="E468" s="30" t="s">
        <v>568</v>
      </c>
      <c r="F468" s="30" t="s">
        <v>570</v>
      </c>
      <c r="G468" s="31">
        <v>46209</v>
      </c>
      <c r="H468" s="31"/>
      <c r="I468" s="32">
        <f>IF(OR($G468="",$H468=""),"",$H468-$G468)</f>
        <v>0</v>
      </c>
      <c r="J468" s="30"/>
    </row>
    <row r="469" spans="1:10">
      <c r="A469" s="30" t="s">
        <v>566</v>
      </c>
      <c r="B469" s="30" t="s">
        <v>567</v>
      </c>
      <c r="C469" s="30" t="s">
        <v>655</v>
      </c>
      <c r="D469" s="30"/>
      <c r="E469" s="30" t="s">
        <v>568</v>
      </c>
      <c r="F469" s="30" t="s">
        <v>570</v>
      </c>
      <c r="G469" s="31">
        <v>46209</v>
      </c>
      <c r="H469" s="31"/>
      <c r="I469" s="32">
        <f>IF(OR($G469="",$H469=""),"",$H469-$G469)</f>
        <v>0</v>
      </c>
      <c r="J469" s="30"/>
    </row>
    <row r="470" spans="1:10">
      <c r="A470" s="30" t="s">
        <v>566</v>
      </c>
      <c r="B470" s="30" t="s">
        <v>567</v>
      </c>
      <c r="C470" s="30" t="s">
        <v>656</v>
      </c>
      <c r="D470" s="30"/>
      <c r="E470" s="30" t="s">
        <v>568</v>
      </c>
      <c r="F470" s="30" t="s">
        <v>570</v>
      </c>
      <c r="G470" s="31">
        <v>46209</v>
      </c>
      <c r="H470" s="31"/>
      <c r="I470" s="32">
        <f>IF(OR($G470="",$H470=""),"",$H470-$G470)</f>
        <v>0</v>
      </c>
      <c r="J470" s="30"/>
    </row>
    <row r="471" spans="1:10">
      <c r="A471" s="30" t="s">
        <v>566</v>
      </c>
      <c r="B471" s="30" t="s">
        <v>567</v>
      </c>
      <c r="C471" s="30" t="s">
        <v>657</v>
      </c>
      <c r="D471" s="30"/>
      <c r="E471" s="30" t="s">
        <v>568</v>
      </c>
      <c r="F471" s="30" t="s">
        <v>570</v>
      </c>
      <c r="G471" s="31">
        <v>46209</v>
      </c>
      <c r="H471" s="31"/>
      <c r="I471" s="32">
        <f>IF(OR($G471="",$H471=""),"",$H471-$G471)</f>
        <v>0</v>
      </c>
      <c r="J471" s="30"/>
    </row>
    <row r="472" spans="1:10">
      <c r="A472" s="30" t="s">
        <v>566</v>
      </c>
      <c r="B472" s="30" t="s">
        <v>567</v>
      </c>
      <c r="C472" s="30" t="s">
        <v>658</v>
      </c>
      <c r="D472" s="30"/>
      <c r="E472" s="30" t="s">
        <v>568</v>
      </c>
      <c r="F472" s="30" t="s">
        <v>570</v>
      </c>
      <c r="G472" s="31">
        <v>46209</v>
      </c>
      <c r="H472" s="31"/>
      <c r="I472" s="32">
        <f>IF(OR($G472="",$H472=""),"",$H472-$G472)</f>
        <v>0</v>
      </c>
      <c r="J472" s="30"/>
    </row>
    <row r="473" spans="1:10">
      <c r="A473" s="30" t="s">
        <v>566</v>
      </c>
      <c r="B473" s="30" t="s">
        <v>567</v>
      </c>
      <c r="C473" s="30" t="s">
        <v>659</v>
      </c>
      <c r="D473" s="30"/>
      <c r="E473" s="30" t="s">
        <v>568</v>
      </c>
      <c r="F473" s="30" t="s">
        <v>570</v>
      </c>
      <c r="G473" s="31">
        <v>46209</v>
      </c>
      <c r="H473" s="31"/>
      <c r="I473" s="32">
        <f>IF(OR($G473="",$H473=""),"",$H473-$G473)</f>
        <v>0</v>
      </c>
      <c r="J473" s="30"/>
    </row>
    <row r="474" spans="1:10">
      <c r="A474" s="30" t="s">
        <v>566</v>
      </c>
      <c r="B474" s="30" t="s">
        <v>567</v>
      </c>
      <c r="C474" s="30" t="s">
        <v>660</v>
      </c>
      <c r="D474" s="30"/>
      <c r="E474" s="30" t="s">
        <v>568</v>
      </c>
      <c r="F474" s="30" t="s">
        <v>570</v>
      </c>
      <c r="G474" s="31">
        <v>46209</v>
      </c>
      <c r="H474" s="31"/>
      <c r="I474" s="32">
        <f>IF(OR($G474="",$H474=""),"",$H474-$G474)</f>
        <v>0</v>
      </c>
      <c r="J474" s="30"/>
    </row>
    <row r="475" spans="1:10">
      <c r="A475" s="30" t="s">
        <v>566</v>
      </c>
      <c r="B475" s="30" t="s">
        <v>567</v>
      </c>
      <c r="C475" s="30" t="s">
        <v>661</v>
      </c>
      <c r="D475" s="30"/>
      <c r="E475" s="30" t="s">
        <v>568</v>
      </c>
      <c r="F475" s="30" t="s">
        <v>570</v>
      </c>
      <c r="G475" s="31">
        <v>46209</v>
      </c>
      <c r="H475" s="31"/>
      <c r="I475" s="32">
        <f>IF(OR($G475="",$H475=""),"",$H475-$G475)</f>
        <v>0</v>
      </c>
      <c r="J475" s="30"/>
    </row>
    <row r="476" spans="1:10">
      <c r="A476" s="30" t="s">
        <v>566</v>
      </c>
      <c r="B476" s="30" t="s">
        <v>567</v>
      </c>
      <c r="C476" s="30" t="s">
        <v>662</v>
      </c>
      <c r="D476" s="30"/>
      <c r="E476" s="30" t="s">
        <v>568</v>
      </c>
      <c r="F476" s="30" t="s">
        <v>570</v>
      </c>
      <c r="G476" s="31">
        <v>46209</v>
      </c>
      <c r="H476" s="31"/>
      <c r="I476" s="32">
        <f>IF(OR($G476="",$H476=""),"",$H476-$G476)</f>
        <v>0</v>
      </c>
      <c r="J476" s="30"/>
    </row>
    <row r="477" spans="1:10">
      <c r="A477" s="30" t="s">
        <v>566</v>
      </c>
      <c r="B477" s="30" t="s">
        <v>567</v>
      </c>
      <c r="C477" s="30" t="s">
        <v>663</v>
      </c>
      <c r="D477" s="30"/>
      <c r="E477" s="30" t="s">
        <v>568</v>
      </c>
      <c r="F477" s="30" t="s">
        <v>570</v>
      </c>
      <c r="G477" s="31">
        <v>46209</v>
      </c>
      <c r="H477" s="31"/>
      <c r="I477" s="32">
        <f>IF(OR($G477="",$H477=""),"",$H477-$G477)</f>
        <v>0</v>
      </c>
      <c r="J477" s="30"/>
    </row>
    <row r="478" spans="1:10">
      <c r="A478" s="30" t="s">
        <v>566</v>
      </c>
      <c r="B478" s="30" t="s">
        <v>567</v>
      </c>
      <c r="C478" s="30" t="s">
        <v>664</v>
      </c>
      <c r="D478" s="30"/>
      <c r="E478" s="30" t="s">
        <v>568</v>
      </c>
      <c r="F478" s="30" t="s">
        <v>570</v>
      </c>
      <c r="G478" s="31">
        <v>46209</v>
      </c>
      <c r="H478" s="31"/>
      <c r="I478" s="32">
        <f>IF(OR($G478="",$H478=""),"",$H478-$G478)</f>
        <v>0</v>
      </c>
      <c r="J478" s="30"/>
    </row>
    <row r="479" spans="1:10">
      <c r="A479" s="30" t="s">
        <v>566</v>
      </c>
      <c r="B479" s="30" t="s">
        <v>567</v>
      </c>
      <c r="C479" s="30" t="s">
        <v>665</v>
      </c>
      <c r="D479" s="30"/>
      <c r="E479" s="30" t="s">
        <v>568</v>
      </c>
      <c r="F479" s="30" t="s">
        <v>570</v>
      </c>
      <c r="G479" s="31">
        <v>46209</v>
      </c>
      <c r="H479" s="31"/>
      <c r="I479" s="32">
        <f>IF(OR($G479="",$H479=""),"",$H479-$G479)</f>
        <v>0</v>
      </c>
      <c r="J479" s="30"/>
    </row>
    <row r="480" spans="1:10">
      <c r="A480" s="30" t="s">
        <v>566</v>
      </c>
      <c r="B480" s="30" t="s">
        <v>567</v>
      </c>
      <c r="C480" s="30" t="s">
        <v>666</v>
      </c>
      <c r="D480" s="30"/>
      <c r="E480" s="30" t="s">
        <v>568</v>
      </c>
      <c r="F480" s="30" t="s">
        <v>570</v>
      </c>
      <c r="G480" s="31">
        <v>46209</v>
      </c>
      <c r="H480" s="31"/>
      <c r="I480" s="32">
        <f>IF(OR($G480="",$H480=""),"",$H480-$G480)</f>
        <v>0</v>
      </c>
      <c r="J480" s="30"/>
    </row>
    <row r="481" spans="1:10">
      <c r="A481" s="30" t="s">
        <v>566</v>
      </c>
      <c r="B481" s="30" t="s">
        <v>567</v>
      </c>
      <c r="C481" s="30" t="s">
        <v>667</v>
      </c>
      <c r="D481" s="30"/>
      <c r="E481" s="30" t="s">
        <v>568</v>
      </c>
      <c r="F481" s="30" t="s">
        <v>570</v>
      </c>
      <c r="G481" s="31">
        <v>46209</v>
      </c>
      <c r="H481" s="31"/>
      <c r="I481" s="32">
        <f>IF(OR($G481="",$H481=""),"",$H481-$G481)</f>
        <v>0</v>
      </c>
      <c r="J481" s="30"/>
    </row>
    <row r="482" spans="1:10">
      <c r="A482" s="30" t="s">
        <v>566</v>
      </c>
      <c r="B482" s="30" t="s">
        <v>567</v>
      </c>
      <c r="C482" s="30" t="s">
        <v>668</v>
      </c>
      <c r="D482" s="30"/>
      <c r="E482" s="30" t="s">
        <v>568</v>
      </c>
      <c r="F482" s="30" t="s">
        <v>570</v>
      </c>
      <c r="G482" s="31">
        <v>46209</v>
      </c>
      <c r="H482" s="31"/>
      <c r="I482" s="32">
        <f>IF(OR($G482="",$H482=""),"",$H482-$G482)</f>
        <v>0</v>
      </c>
      <c r="J482" s="30"/>
    </row>
    <row r="483" spans="1:10">
      <c r="A483" s="30" t="s">
        <v>566</v>
      </c>
      <c r="B483" s="30" t="s">
        <v>567</v>
      </c>
      <c r="C483" s="30" t="s">
        <v>669</v>
      </c>
      <c r="D483" s="30"/>
      <c r="E483" s="30" t="s">
        <v>568</v>
      </c>
      <c r="F483" s="30" t="s">
        <v>570</v>
      </c>
      <c r="G483" s="31">
        <v>46209</v>
      </c>
      <c r="H483" s="31"/>
      <c r="I483" s="32">
        <f>IF(OR($G483="",$H483=""),"",$H483-$G483)</f>
        <v>0</v>
      </c>
      <c r="J483" s="30"/>
    </row>
    <row r="484" spans="1:10">
      <c r="A484" s="30" t="s">
        <v>566</v>
      </c>
      <c r="B484" s="30" t="s">
        <v>567</v>
      </c>
      <c r="C484" s="30" t="s">
        <v>670</v>
      </c>
      <c r="D484" s="30"/>
      <c r="E484" s="30" t="s">
        <v>568</v>
      </c>
      <c r="F484" s="30" t="s">
        <v>570</v>
      </c>
      <c r="G484" s="31">
        <v>46209</v>
      </c>
      <c r="H484" s="31"/>
      <c r="I484" s="32">
        <f>IF(OR($G484="",$H484=""),"",$H484-$G484)</f>
        <v>0</v>
      </c>
      <c r="J484" s="30"/>
    </row>
    <row r="485" spans="1:10">
      <c r="A485" s="30" t="s">
        <v>566</v>
      </c>
      <c r="B485" s="30" t="s">
        <v>567</v>
      </c>
      <c r="C485" s="30" t="s">
        <v>671</v>
      </c>
      <c r="D485" s="30"/>
      <c r="E485" s="30" t="s">
        <v>568</v>
      </c>
      <c r="F485" s="30" t="s">
        <v>570</v>
      </c>
      <c r="G485" s="31">
        <v>46180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672</v>
      </c>
      <c r="C486" s="30" t="s">
        <v>673</v>
      </c>
      <c r="D486" s="30"/>
      <c r="E486" s="30" t="s">
        <v>619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 t="s">
        <v>674</v>
      </c>
    </row>
    <row r="487" spans="1:10">
      <c r="A487" s="30" t="s">
        <v>51</v>
      </c>
      <c r="B487" s="30" t="s">
        <v>672</v>
      </c>
      <c r="C487" s="30" t="s">
        <v>675</v>
      </c>
      <c r="D487" s="30"/>
      <c r="E487" s="30" t="s">
        <v>619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672</v>
      </c>
      <c r="C488" s="30" t="s">
        <v>676</v>
      </c>
      <c r="D488" s="30"/>
      <c r="E488" s="30" t="s">
        <v>619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672</v>
      </c>
      <c r="C489" s="30" t="s">
        <v>677</v>
      </c>
      <c r="D489" s="30"/>
      <c r="E489" s="30" t="s">
        <v>619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672</v>
      </c>
      <c r="C490" s="30" t="s">
        <v>678</v>
      </c>
      <c r="D490" s="30"/>
      <c r="E490" s="30" t="s">
        <v>619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672</v>
      </c>
      <c r="C491" s="30" t="s">
        <v>679</v>
      </c>
      <c r="D491" s="30"/>
      <c r="E491" s="30" t="s">
        <v>619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680</v>
      </c>
      <c r="C492" s="30" t="s">
        <v>681</v>
      </c>
      <c r="D492" s="30"/>
      <c r="E492" s="30" t="s">
        <v>619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51</v>
      </c>
      <c r="B493" s="30" t="s">
        <v>672</v>
      </c>
      <c r="C493" s="30" t="s">
        <v>682</v>
      </c>
      <c r="D493" s="30"/>
      <c r="E493" s="30" t="s">
        <v>619</v>
      </c>
      <c r="F493" s="30" t="s">
        <v>56</v>
      </c>
      <c r="G493" s="31">
        <v>46216</v>
      </c>
      <c r="H493" s="31"/>
      <c r="I493" s="32">
        <f>IF(OR($G493="",$H493=""),"",$H493-$G493)</f>
        <v>0</v>
      </c>
      <c r="J493" s="30"/>
    </row>
    <row r="494" spans="1:10">
      <c r="A494" s="30" t="s">
        <v>51</v>
      </c>
      <c r="B494" s="30" t="s">
        <v>672</v>
      </c>
      <c r="C494" s="30" t="s">
        <v>683</v>
      </c>
      <c r="D494" s="30"/>
      <c r="E494" s="30" t="s">
        <v>619</v>
      </c>
      <c r="F494" s="30" t="s">
        <v>56</v>
      </c>
      <c r="G494" s="31">
        <v>46216</v>
      </c>
      <c r="H494" s="31"/>
      <c r="I494" s="32">
        <f>IF(OR($G494="",$H494=""),"",$H494-$G494)</f>
        <v>0</v>
      </c>
      <c r="J494" s="30"/>
    </row>
    <row r="495" spans="1:10">
      <c r="A495" s="30" t="s">
        <v>51</v>
      </c>
      <c r="B495" s="30" t="s">
        <v>680</v>
      </c>
      <c r="C495" s="30" t="s">
        <v>684</v>
      </c>
      <c r="D495" s="30"/>
      <c r="E495" s="30" t="s">
        <v>619</v>
      </c>
      <c r="F495" s="30" t="s">
        <v>56</v>
      </c>
      <c r="G495" s="31">
        <v>46216</v>
      </c>
      <c r="H495" s="31"/>
      <c r="I495" s="32">
        <f>IF(OR($G495="",$H495=""),"",$H495-$G495)</f>
        <v>0</v>
      </c>
      <c r="J495" s="30"/>
    </row>
    <row r="496" spans="1:10">
      <c r="A496" s="30" t="s">
        <v>51</v>
      </c>
      <c r="B496" s="30" t="s">
        <v>680</v>
      </c>
      <c r="C496" s="30" t="s">
        <v>685</v>
      </c>
      <c r="D496" s="30"/>
      <c r="E496" s="30" t="s">
        <v>619</v>
      </c>
      <c r="F496" s="30" t="s">
        <v>56</v>
      </c>
      <c r="G496" s="31">
        <v>46216</v>
      </c>
      <c r="H496" s="31"/>
      <c r="I496" s="32">
        <f>IF(OR($G496="",$H496=""),"",$H496-$G496)</f>
        <v>0</v>
      </c>
      <c r="J496" s="30"/>
    </row>
    <row r="497" spans="1:10">
      <c r="A497" s="30" t="s">
        <v>51</v>
      </c>
      <c r="B497" s="30" t="s">
        <v>680</v>
      </c>
      <c r="C497" s="30" t="s">
        <v>686</v>
      </c>
      <c r="D497" s="30"/>
      <c r="E497" s="30" t="s">
        <v>619</v>
      </c>
      <c r="F497" s="30" t="s">
        <v>56</v>
      </c>
      <c r="G497" s="31">
        <v>46216</v>
      </c>
      <c r="H497" s="31"/>
      <c r="I497" s="32">
        <f>IF(OR($G497="",$H497=""),"",$H497-$G497)</f>
        <v>0</v>
      </c>
      <c r="J497" s="30"/>
    </row>
    <row r="498" spans="1:10">
      <c r="A498" s="30" t="s">
        <v>51</v>
      </c>
      <c r="B498" s="30" t="s">
        <v>680</v>
      </c>
      <c r="C498" s="30" t="s">
        <v>687</v>
      </c>
      <c r="D498" s="30"/>
      <c r="E498" s="30" t="s">
        <v>619</v>
      </c>
      <c r="F498" s="30" t="s">
        <v>56</v>
      </c>
      <c r="G498" s="31">
        <v>46216</v>
      </c>
      <c r="H498" s="31"/>
      <c r="I498" s="32">
        <f>IF(OR($G498="",$H498=""),"",$H498-$G498)</f>
        <v>0</v>
      </c>
      <c r="J498" s="30"/>
    </row>
    <row r="499" spans="1:10">
      <c r="A499" s="30" t="s">
        <v>51</v>
      </c>
      <c r="B499" s="30" t="s">
        <v>680</v>
      </c>
      <c r="C499" s="30" t="s">
        <v>688</v>
      </c>
      <c r="D499" s="30"/>
      <c r="E499" s="30" t="s">
        <v>619</v>
      </c>
      <c r="F499" s="30" t="s">
        <v>56</v>
      </c>
      <c r="G499" s="31">
        <v>46216</v>
      </c>
      <c r="H499" s="31"/>
      <c r="I499" s="32">
        <f>IF(OR($G499="",$H499=""),"",$H499-$G499)</f>
        <v>0</v>
      </c>
      <c r="J499" s="30"/>
    </row>
    <row r="500" spans="1:10">
      <c r="A500" s="30" t="s">
        <v>51</v>
      </c>
      <c r="B500" s="30" t="s">
        <v>680</v>
      </c>
      <c r="C500" s="30" t="s">
        <v>689</v>
      </c>
      <c r="D500" s="30"/>
      <c r="E500" s="30" t="s">
        <v>619</v>
      </c>
      <c r="F500" s="30" t="s">
        <v>56</v>
      </c>
      <c r="G500" s="31">
        <v>46216</v>
      </c>
      <c r="H500" s="31"/>
      <c r="I500" s="32">
        <f>IF(OR($G500="",$H500=""),"",$H500-$G500)</f>
        <v>0</v>
      </c>
      <c r="J500" s="30"/>
    </row>
    <row r="501" spans="1:10">
      <c r="A501" s="30" t="s">
        <v>51</v>
      </c>
      <c r="B501" s="30" t="s">
        <v>680</v>
      </c>
      <c r="C501" s="30" t="s">
        <v>690</v>
      </c>
      <c r="D501" s="30"/>
      <c r="E501" s="30" t="s">
        <v>619</v>
      </c>
      <c r="F501" s="30" t="s">
        <v>56</v>
      </c>
      <c r="G501" s="31">
        <v>46216</v>
      </c>
      <c r="H501" s="31"/>
      <c r="I501" s="32">
        <f>IF(OR($G501="",$H501=""),"",$H501-$G501)</f>
        <v>0</v>
      </c>
      <c r="J501" s="30"/>
    </row>
    <row r="502" spans="1:10">
      <c r="A502" s="30" t="s">
        <v>51</v>
      </c>
      <c r="B502" s="30" t="s">
        <v>680</v>
      </c>
      <c r="C502" s="30" t="s">
        <v>691</v>
      </c>
      <c r="D502" s="30"/>
      <c r="E502" s="30" t="s">
        <v>619</v>
      </c>
      <c r="F502" s="30" t="s">
        <v>56</v>
      </c>
      <c r="G502" s="31">
        <v>46216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680</v>
      </c>
      <c r="C503" s="30" t="s">
        <v>692</v>
      </c>
      <c r="D503" s="30"/>
      <c r="E503" s="30" t="s">
        <v>619</v>
      </c>
      <c r="F503" s="30" t="s">
        <v>56</v>
      </c>
      <c r="G503" s="31">
        <v>46216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680</v>
      </c>
      <c r="C504" s="30" t="s">
        <v>693</v>
      </c>
      <c r="D504" s="30"/>
      <c r="E504" s="30" t="s">
        <v>619</v>
      </c>
      <c r="F504" s="30" t="s">
        <v>56</v>
      </c>
      <c r="G504" s="31">
        <v>46216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672</v>
      </c>
      <c r="C505" s="30" t="s">
        <v>694</v>
      </c>
      <c r="D505" s="30"/>
      <c r="E505" s="30" t="s">
        <v>619</v>
      </c>
      <c r="F505" s="30" t="s">
        <v>56</v>
      </c>
      <c r="G505" s="31">
        <v>46216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672</v>
      </c>
      <c r="C506" s="30" t="s">
        <v>695</v>
      </c>
      <c r="D506" s="30"/>
      <c r="E506" s="30" t="s">
        <v>619</v>
      </c>
      <c r="F506" s="30" t="s">
        <v>56</v>
      </c>
      <c r="G506" s="31">
        <v>46216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672</v>
      </c>
      <c r="C507" s="30" t="s">
        <v>696</v>
      </c>
      <c r="D507" s="30"/>
      <c r="E507" s="30" t="s">
        <v>619</v>
      </c>
      <c r="F507" s="30" t="s">
        <v>56</v>
      </c>
      <c r="G507" s="31">
        <v>46216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672</v>
      </c>
      <c r="C508" s="30" t="s">
        <v>697</v>
      </c>
      <c r="D508" s="30"/>
      <c r="E508" s="30" t="s">
        <v>619</v>
      </c>
      <c r="F508" s="30" t="s">
        <v>56</v>
      </c>
      <c r="G508" s="31">
        <v>46216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698</v>
      </c>
      <c r="C509" s="30" t="s">
        <v>699</v>
      </c>
      <c r="D509" s="30"/>
      <c r="E509" s="30" t="s">
        <v>619</v>
      </c>
      <c r="F509" s="30" t="s">
        <v>56</v>
      </c>
      <c r="G509" s="31">
        <v>46216</v>
      </c>
      <c r="H509" s="31"/>
      <c r="I509" s="32">
        <f>IF(OR($G509="",$H509=""),"",$H509-$G509)</f>
        <v>0</v>
      </c>
      <c r="J509" s="30"/>
    </row>
    <row r="510" spans="1:10">
      <c r="A510" s="30" t="s">
        <v>700</v>
      </c>
      <c r="B510" s="30" t="s">
        <v>701</v>
      </c>
      <c r="C510" s="30" t="s">
        <v>702</v>
      </c>
      <c r="D510" s="30"/>
      <c r="E510" s="30" t="s">
        <v>703</v>
      </c>
      <c r="F510" s="30" t="s">
        <v>119</v>
      </c>
      <c r="G510" s="31">
        <v>46211</v>
      </c>
      <c r="H510" s="31"/>
      <c r="I510" s="32">
        <f>IF(OR($G510="",$H510=""),"",$H510-$G510)</f>
        <v>0</v>
      </c>
      <c r="J510" s="30"/>
    </row>
    <row r="511" spans="1:10">
      <c r="A511" s="30" t="s">
        <v>700</v>
      </c>
      <c r="B511" s="30" t="s">
        <v>701</v>
      </c>
      <c r="C511" s="30" t="s">
        <v>704</v>
      </c>
      <c r="D511" s="30"/>
      <c r="E511" s="30" t="s">
        <v>703</v>
      </c>
      <c r="F511" s="30" t="s">
        <v>119</v>
      </c>
      <c r="G511" s="31">
        <v>46211</v>
      </c>
      <c r="H511" s="31"/>
      <c r="I511" s="32">
        <f>IF(OR($G511="",$H511=""),"",$H511-$G511)</f>
        <v>0</v>
      </c>
      <c r="J511" s="30"/>
    </row>
    <row r="512" spans="1:10">
      <c r="A512" s="30" t="s">
        <v>700</v>
      </c>
      <c r="B512" s="30" t="s">
        <v>701</v>
      </c>
      <c r="C512" s="30" t="s">
        <v>705</v>
      </c>
      <c r="D512" s="30"/>
      <c r="E512" s="30" t="s">
        <v>703</v>
      </c>
      <c r="F512" s="30" t="s">
        <v>119</v>
      </c>
      <c r="G512" s="31">
        <v>46211</v>
      </c>
      <c r="H512" s="31"/>
      <c r="I512" s="32">
        <f>IF(OR($G512="",$H512=""),"",$H512-$G512)</f>
        <v>0</v>
      </c>
      <c r="J512" s="30"/>
    </row>
    <row r="513" spans="1:10">
      <c r="A513" s="30" t="s">
        <v>700</v>
      </c>
      <c r="B513" s="30" t="s">
        <v>701</v>
      </c>
      <c r="C513" s="30" t="s">
        <v>706</v>
      </c>
      <c r="D513" s="30"/>
      <c r="E513" s="30" t="s">
        <v>703</v>
      </c>
      <c r="F513" s="30" t="s">
        <v>119</v>
      </c>
      <c r="G513" s="31">
        <v>46211</v>
      </c>
      <c r="H513" s="31"/>
      <c r="I513" s="32">
        <f>IF(OR($G513="",$H513=""),"",$H513-$G513)</f>
        <v>0</v>
      </c>
      <c r="J513" s="30"/>
    </row>
    <row r="514" spans="1:10">
      <c r="A514" s="30" t="s">
        <v>700</v>
      </c>
      <c r="B514" s="30" t="s">
        <v>701</v>
      </c>
      <c r="C514" s="30" t="s">
        <v>707</v>
      </c>
      <c r="D514" s="30"/>
      <c r="E514" s="30" t="s">
        <v>703</v>
      </c>
      <c r="F514" s="30" t="s">
        <v>119</v>
      </c>
      <c r="G514" s="31">
        <v>46211</v>
      </c>
      <c r="H514" s="31"/>
      <c r="I514" s="32">
        <f>IF(OR($G514="",$H514=""),"",$H514-$G514)</f>
        <v>0</v>
      </c>
      <c r="J514" s="30"/>
    </row>
    <row r="515" spans="1:10">
      <c r="A515" s="30" t="s">
        <v>700</v>
      </c>
      <c r="B515" s="30" t="s">
        <v>701</v>
      </c>
      <c r="C515" s="30" t="s">
        <v>708</v>
      </c>
      <c r="D515" s="30"/>
      <c r="E515" s="30" t="s">
        <v>703</v>
      </c>
      <c r="F515" s="30" t="s">
        <v>119</v>
      </c>
      <c r="G515" s="31">
        <v>46211</v>
      </c>
      <c r="H515" s="31"/>
      <c r="I515" s="32">
        <f>IF(OR($G515="",$H515=""),"",$H515-$G515)</f>
        <v>0</v>
      </c>
      <c r="J515" s="30"/>
    </row>
    <row r="516" spans="1:10">
      <c r="A516" s="30" t="s">
        <v>700</v>
      </c>
      <c r="B516" s="30" t="s">
        <v>701</v>
      </c>
      <c r="C516" s="30" t="s">
        <v>709</v>
      </c>
      <c r="D516" s="30"/>
      <c r="E516" s="30" t="s">
        <v>703</v>
      </c>
      <c r="F516" s="30" t="s">
        <v>119</v>
      </c>
      <c r="G516" s="31">
        <v>46211</v>
      </c>
      <c r="H516" s="31"/>
      <c r="I516" s="32">
        <f>IF(OR($G516="",$H516=""),"",$H516-$G516)</f>
        <v>0</v>
      </c>
      <c r="J516" s="30"/>
    </row>
    <row r="517" spans="1:10">
      <c r="A517" s="30" t="s">
        <v>700</v>
      </c>
      <c r="B517" s="30" t="s">
        <v>701</v>
      </c>
      <c r="C517" s="30" t="s">
        <v>710</v>
      </c>
      <c r="D517" s="30"/>
      <c r="E517" s="30" t="s">
        <v>703</v>
      </c>
      <c r="F517" s="30" t="s">
        <v>119</v>
      </c>
      <c r="G517" s="31">
        <v>46211</v>
      </c>
      <c r="H517" s="31"/>
      <c r="I517" s="32">
        <f>IF(OR($G517="",$H517=""),"",$H517-$G517)</f>
        <v>0</v>
      </c>
      <c r="J517" s="30"/>
    </row>
    <row r="518" spans="1:10">
      <c r="A518" s="30" t="s">
        <v>700</v>
      </c>
      <c r="B518" s="30" t="s">
        <v>701</v>
      </c>
      <c r="C518" s="30" t="s">
        <v>711</v>
      </c>
      <c r="D518" s="30"/>
      <c r="E518" s="30" t="s">
        <v>703</v>
      </c>
      <c r="F518" s="30" t="s">
        <v>119</v>
      </c>
      <c r="G518" s="31">
        <v>46211</v>
      </c>
      <c r="H518" s="31"/>
      <c r="I518" s="32">
        <f>IF(OR($G518="",$H518=""),"",$H518-$G518)</f>
        <v>0</v>
      </c>
      <c r="J518" s="30"/>
    </row>
    <row r="519" spans="1:10">
      <c r="A519" s="30" t="s">
        <v>700</v>
      </c>
      <c r="B519" s="30" t="s">
        <v>701</v>
      </c>
      <c r="C519" s="30" t="s">
        <v>712</v>
      </c>
      <c r="D519" s="30"/>
      <c r="E519" s="30" t="s">
        <v>703</v>
      </c>
      <c r="F519" s="30" t="s">
        <v>119</v>
      </c>
      <c r="G519" s="31">
        <v>46211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257</v>
      </c>
      <c r="C520" s="30" t="s">
        <v>713</v>
      </c>
      <c r="D520" s="30"/>
      <c r="E520" s="30" t="s">
        <v>619</v>
      </c>
      <c r="F520" s="30" t="s">
        <v>119</v>
      </c>
      <c r="G520" s="31">
        <v>46211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257</v>
      </c>
      <c r="C521" s="30" t="s">
        <v>714</v>
      </c>
      <c r="D521" s="30"/>
      <c r="E521" s="30" t="s">
        <v>619</v>
      </c>
      <c r="F521" s="30" t="s">
        <v>119</v>
      </c>
      <c r="G521" s="31">
        <v>46211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257</v>
      </c>
      <c r="C522" s="30" t="s">
        <v>715</v>
      </c>
      <c r="D522" s="30"/>
      <c r="E522" s="30" t="s">
        <v>619</v>
      </c>
      <c r="F522" s="30" t="s">
        <v>119</v>
      </c>
      <c r="G522" s="31">
        <v>46211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257</v>
      </c>
      <c r="C523" s="30" t="s">
        <v>716</v>
      </c>
      <c r="D523" s="30"/>
      <c r="E523" s="30" t="s">
        <v>619</v>
      </c>
      <c r="F523" s="30" t="s">
        <v>119</v>
      </c>
      <c r="G523" s="31">
        <v>46211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257</v>
      </c>
      <c r="C524" s="30" t="s">
        <v>717</v>
      </c>
      <c r="D524" s="30"/>
      <c r="E524" s="30" t="s">
        <v>619</v>
      </c>
      <c r="F524" s="30" t="s">
        <v>119</v>
      </c>
      <c r="G524" s="31">
        <v>46211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257</v>
      </c>
      <c r="C525" s="30" t="s">
        <v>718</v>
      </c>
      <c r="D525" s="30"/>
      <c r="E525" s="30" t="s">
        <v>619</v>
      </c>
      <c r="F525" s="30" t="s">
        <v>119</v>
      </c>
      <c r="G525" s="31">
        <v>46211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257</v>
      </c>
      <c r="C526" s="30" t="s">
        <v>719</v>
      </c>
      <c r="D526" s="30"/>
      <c r="E526" s="30" t="s">
        <v>619</v>
      </c>
      <c r="F526" s="30" t="s">
        <v>119</v>
      </c>
      <c r="G526" s="31">
        <v>46211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720</v>
      </c>
      <c r="C527" s="30" t="s">
        <v>721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720</v>
      </c>
      <c r="C528" s="30" t="s">
        <v>722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723</v>
      </c>
      <c r="C529" s="30" t="s">
        <v>724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720</v>
      </c>
      <c r="C530" s="30" t="s">
        <v>725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720</v>
      </c>
      <c r="C531" s="30" t="s">
        <v>726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720</v>
      </c>
      <c r="C532" s="30" t="s">
        <v>727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720</v>
      </c>
      <c r="C533" s="30" t="s">
        <v>728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720</v>
      </c>
      <c r="C534" s="30" t="s">
        <v>729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723</v>
      </c>
      <c r="C535" s="30" t="s">
        <v>730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723</v>
      </c>
      <c r="C536" s="30" t="s">
        <v>731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720</v>
      </c>
      <c r="C537" s="30" t="s">
        <v>732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720</v>
      </c>
      <c r="C538" s="30" t="s">
        <v>733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720</v>
      </c>
      <c r="C539" s="30" t="s">
        <v>734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720</v>
      </c>
      <c r="C540" s="30" t="s">
        <v>735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723</v>
      </c>
      <c r="C541" s="30" t="s">
        <v>736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720</v>
      </c>
      <c r="C542" s="30" t="s">
        <v>737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720</v>
      </c>
      <c r="C543" s="30" t="s">
        <v>738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720</v>
      </c>
      <c r="C544" s="30" t="s">
        <v>739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720</v>
      </c>
      <c r="C545" s="30" t="s">
        <v>740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720</v>
      </c>
      <c r="C546" s="30" t="s">
        <v>741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720</v>
      </c>
      <c r="C547" s="30" t="s">
        <v>742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720</v>
      </c>
      <c r="C548" s="30" t="s">
        <v>743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720</v>
      </c>
      <c r="C549" s="30" t="s">
        <v>744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51</v>
      </c>
      <c r="B550" s="30" t="s">
        <v>720</v>
      </c>
      <c r="C550" s="30" t="s">
        <v>745</v>
      </c>
      <c r="D550" s="30"/>
      <c r="E550" s="30" t="s">
        <v>547</v>
      </c>
      <c r="F550" s="30" t="s">
        <v>30</v>
      </c>
      <c r="G550" s="31">
        <v>46212</v>
      </c>
      <c r="H550" s="31"/>
      <c r="I550" s="32">
        <f>IF(OR($G550="",$H550=""),"",$H550-$G550)</f>
        <v>0</v>
      </c>
      <c r="J550" s="30"/>
    </row>
    <row r="551" spans="1:10">
      <c r="A551" s="30" t="s">
        <v>51</v>
      </c>
      <c r="B551" s="30" t="s">
        <v>720</v>
      </c>
      <c r="C551" s="30" t="s">
        <v>746</v>
      </c>
      <c r="D551" s="30"/>
      <c r="E551" s="30" t="s">
        <v>547</v>
      </c>
      <c r="F551" s="30" t="s">
        <v>30</v>
      </c>
      <c r="G551" s="31">
        <v>46212</v>
      </c>
      <c r="H551" s="31"/>
      <c r="I551" s="32">
        <f>IF(OR($G551="",$H551=""),"",$H551-$G551)</f>
        <v>0</v>
      </c>
      <c r="J551" s="30"/>
    </row>
    <row r="552" spans="1:10">
      <c r="A552" s="30" t="s">
        <v>51</v>
      </c>
      <c r="B552" s="30" t="s">
        <v>723</v>
      </c>
      <c r="C552" s="30" t="s">
        <v>747</v>
      </c>
      <c r="D552" s="30"/>
      <c r="E552" s="30" t="s">
        <v>547</v>
      </c>
      <c r="F552" s="30" t="s">
        <v>30</v>
      </c>
      <c r="G552" s="31">
        <v>46212</v>
      </c>
      <c r="H552" s="31"/>
      <c r="I552" s="32">
        <f>IF(OR($G552="",$H552=""),"",$H552-$G552)</f>
        <v>0</v>
      </c>
      <c r="J552" s="30"/>
    </row>
    <row r="553" spans="1:10">
      <c r="A553" s="30" t="s">
        <v>51</v>
      </c>
      <c r="B553" s="30" t="s">
        <v>720</v>
      </c>
      <c r="C553" s="30" t="s">
        <v>748</v>
      </c>
      <c r="D553" s="30"/>
      <c r="E553" s="30" t="s">
        <v>547</v>
      </c>
      <c r="F553" s="30" t="s">
        <v>30</v>
      </c>
      <c r="G553" s="31">
        <v>46212</v>
      </c>
      <c r="H553" s="31"/>
      <c r="I553" s="32">
        <f>IF(OR($G553="",$H553=""),"",$H553-$G553)</f>
        <v>0</v>
      </c>
      <c r="J553" s="30"/>
    </row>
    <row r="554" spans="1:10">
      <c r="A554" s="30" t="s">
        <v>51</v>
      </c>
      <c r="B554" s="30" t="s">
        <v>720</v>
      </c>
      <c r="C554" s="30" t="s">
        <v>749</v>
      </c>
      <c r="D554" s="30"/>
      <c r="E554" s="30" t="s">
        <v>547</v>
      </c>
      <c r="F554" s="30" t="s">
        <v>30</v>
      </c>
      <c r="G554" s="31">
        <v>46212</v>
      </c>
      <c r="H554" s="31"/>
      <c r="I554" s="32">
        <f>IF(OR($G554="",$H554=""),"",$H554-$G554)</f>
        <v>0</v>
      </c>
      <c r="J554" s="30"/>
    </row>
    <row r="555" spans="1:10">
      <c r="A555" s="30" t="s">
        <v>51</v>
      </c>
      <c r="B555" s="30" t="s">
        <v>720</v>
      </c>
      <c r="C555" s="30" t="s">
        <v>750</v>
      </c>
      <c r="D555" s="30"/>
      <c r="E555" s="30" t="s">
        <v>547</v>
      </c>
      <c r="F555" s="30" t="s">
        <v>30</v>
      </c>
      <c r="G555" s="31">
        <v>46212</v>
      </c>
      <c r="H555" s="31"/>
      <c r="I555" s="32">
        <f>IF(OR($G555="",$H555=""),"",$H555-$G555)</f>
        <v>0</v>
      </c>
      <c r="J555" s="30"/>
    </row>
    <row r="556" spans="1:10">
      <c r="A556" s="30" t="s">
        <v>51</v>
      </c>
      <c r="B556" s="30" t="s">
        <v>720</v>
      </c>
      <c r="C556" s="30" t="s">
        <v>751</v>
      </c>
      <c r="D556" s="30"/>
      <c r="E556" s="30" t="s">
        <v>547</v>
      </c>
      <c r="F556" s="30" t="s">
        <v>30</v>
      </c>
      <c r="G556" s="31">
        <v>46212</v>
      </c>
      <c r="H556" s="31"/>
      <c r="I556" s="32">
        <f>IF(OR($G556="",$H556=""),"",$H556-$G556)</f>
        <v>0</v>
      </c>
      <c r="J556" s="30"/>
    </row>
    <row r="557" spans="1:10">
      <c r="A557" s="30" t="s">
        <v>51</v>
      </c>
      <c r="B557" s="30" t="s">
        <v>720</v>
      </c>
      <c r="C557" s="30" t="s">
        <v>752</v>
      </c>
      <c r="D557" s="30"/>
      <c r="E557" s="30" t="s">
        <v>547</v>
      </c>
      <c r="F557" s="30" t="s">
        <v>30</v>
      </c>
      <c r="G557" s="31">
        <v>46212</v>
      </c>
      <c r="H557" s="31"/>
      <c r="I557" s="32">
        <f>IF(OR($G557="",$H557=""),"",$H557-$G557)</f>
        <v>0</v>
      </c>
      <c r="J557" s="30"/>
    </row>
    <row r="558" spans="1:10">
      <c r="A558" s="30" t="s">
        <v>51</v>
      </c>
      <c r="B558" s="30" t="s">
        <v>720</v>
      </c>
      <c r="C558" s="30" t="s">
        <v>753</v>
      </c>
      <c r="D558" s="30"/>
      <c r="E558" s="30" t="s">
        <v>547</v>
      </c>
      <c r="F558" s="30" t="s">
        <v>30</v>
      </c>
      <c r="G558" s="31">
        <v>46212</v>
      </c>
      <c r="H558" s="31"/>
      <c r="I558" s="32">
        <f>IF(OR($G558="",$H558=""),"",$H558-$G558)</f>
        <v>0</v>
      </c>
      <c r="J558" s="30"/>
    </row>
    <row r="559" spans="1:10">
      <c r="A559" s="30" t="s">
        <v>51</v>
      </c>
      <c r="B559" s="30" t="s">
        <v>754</v>
      </c>
      <c r="C559" s="30" t="s">
        <v>755</v>
      </c>
      <c r="D559" s="30"/>
      <c r="E559" s="30" t="s">
        <v>547</v>
      </c>
      <c r="F559" s="30" t="s">
        <v>30</v>
      </c>
      <c r="G559" s="31">
        <v>46212</v>
      </c>
      <c r="H559" s="31"/>
      <c r="I559" s="32">
        <f>IF(OR($G559="",$H559=""),"",$H559-$G559)</f>
        <v>0</v>
      </c>
      <c r="J559" s="30"/>
    </row>
    <row r="560" spans="1:10">
      <c r="A560" s="30" t="s">
        <v>51</v>
      </c>
      <c r="B560" s="30" t="s">
        <v>720</v>
      </c>
      <c r="C560" s="30" t="s">
        <v>756</v>
      </c>
      <c r="D560" s="30"/>
      <c r="E560" s="30" t="s">
        <v>547</v>
      </c>
      <c r="F560" s="30" t="s">
        <v>30</v>
      </c>
      <c r="G560" s="31">
        <v>46212</v>
      </c>
      <c r="H560" s="31"/>
      <c r="I560" s="32">
        <f>IF(OR($G560="",$H560=""),"",$H560-$G560)</f>
        <v>0</v>
      </c>
      <c r="J560" s="30"/>
    </row>
    <row r="561" spans="1:10">
      <c r="A561" s="30" t="s">
        <v>51</v>
      </c>
      <c r="B561" s="30" t="s">
        <v>720</v>
      </c>
      <c r="C561" s="30" t="s">
        <v>757</v>
      </c>
      <c r="D561" s="30"/>
      <c r="E561" s="30" t="s">
        <v>547</v>
      </c>
      <c r="F561" s="30" t="s">
        <v>30</v>
      </c>
      <c r="G561" s="31">
        <v>46212</v>
      </c>
      <c r="H561" s="31"/>
      <c r="I561" s="32">
        <f>IF(OR($G561="",$H561=""),"",$H561-$G561)</f>
        <v>0</v>
      </c>
      <c r="J561" s="30"/>
    </row>
    <row r="562" spans="1:10">
      <c r="A562" s="30" t="s">
        <v>51</v>
      </c>
      <c r="B562" s="30" t="s">
        <v>720</v>
      </c>
      <c r="C562" s="30" t="s">
        <v>758</v>
      </c>
      <c r="D562" s="30"/>
      <c r="E562" s="30" t="s">
        <v>547</v>
      </c>
      <c r="F562" s="30" t="s">
        <v>30</v>
      </c>
      <c r="G562" s="31">
        <v>46212</v>
      </c>
      <c r="H562" s="31"/>
      <c r="I562" s="32">
        <f>IF(OR($G562="",$H562=""),"",$H562-$G562)</f>
        <v>0</v>
      </c>
      <c r="J562" s="30"/>
    </row>
    <row r="563" spans="1:10">
      <c r="A563" s="30" t="s">
        <v>51</v>
      </c>
      <c r="B563" s="30" t="s">
        <v>720</v>
      </c>
      <c r="C563" s="30" t="s">
        <v>759</v>
      </c>
      <c r="D563" s="30"/>
      <c r="E563" s="30" t="s">
        <v>547</v>
      </c>
      <c r="F563" s="30" t="s">
        <v>30</v>
      </c>
      <c r="G563" s="31">
        <v>46212</v>
      </c>
      <c r="H563" s="31"/>
      <c r="I563" s="32">
        <f>IF(OR($G563="",$H563=""),"",$H563-$G563)</f>
        <v>0</v>
      </c>
      <c r="J563" s="30"/>
    </row>
    <row r="564" spans="1:10">
      <c r="A564" s="30" t="s">
        <v>51</v>
      </c>
      <c r="B564" s="30" t="s">
        <v>754</v>
      </c>
      <c r="C564" s="30" t="s">
        <v>760</v>
      </c>
      <c r="D564" s="30"/>
      <c r="E564" s="30" t="s">
        <v>547</v>
      </c>
      <c r="F564" s="30" t="s">
        <v>30</v>
      </c>
      <c r="G564" s="31">
        <v>46212</v>
      </c>
      <c r="H564" s="31"/>
      <c r="I564" s="32">
        <f>IF(OR($G564="",$H564=""),"",$H564-$G564)</f>
        <v>0</v>
      </c>
      <c r="J564" s="30"/>
    </row>
    <row r="565" spans="1:10">
      <c r="A565" s="30" t="s">
        <v>51</v>
      </c>
      <c r="B565" s="30" t="s">
        <v>723</v>
      </c>
      <c r="C565" s="30" t="s">
        <v>761</v>
      </c>
      <c r="D565" s="30"/>
      <c r="E565" s="30" t="s">
        <v>547</v>
      </c>
      <c r="F565" s="30" t="s">
        <v>30</v>
      </c>
      <c r="G565" s="31">
        <v>46212</v>
      </c>
      <c r="H565" s="31"/>
      <c r="I565" s="32">
        <f>IF(OR($G565="",$H565=""),"",$H565-$G565)</f>
        <v>0</v>
      </c>
      <c r="J565" s="30"/>
    </row>
    <row r="566" spans="1:10">
      <c r="A566" s="30" t="s">
        <v>51</v>
      </c>
      <c r="B566" s="30" t="s">
        <v>723</v>
      </c>
      <c r="C566" s="30" t="s">
        <v>762</v>
      </c>
      <c r="D566" s="30"/>
      <c r="E566" s="30" t="s">
        <v>547</v>
      </c>
      <c r="F566" s="30" t="s">
        <v>30</v>
      </c>
      <c r="G566" s="31">
        <v>46212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763</v>
      </c>
      <c r="C567" s="30" t="s">
        <v>764</v>
      </c>
      <c r="D567" s="30"/>
      <c r="E567" s="30" t="s">
        <v>765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763</v>
      </c>
      <c r="C568" s="30" t="s">
        <v>766</v>
      </c>
      <c r="D568" s="30"/>
      <c r="E568" s="30" t="s">
        <v>765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763</v>
      </c>
      <c r="C569" s="30" t="s">
        <v>767</v>
      </c>
      <c r="D569" s="30"/>
      <c r="E569" s="30" t="s">
        <v>765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763</v>
      </c>
      <c r="C570" s="30" t="s">
        <v>768</v>
      </c>
      <c r="D570" s="30"/>
      <c r="E570" s="30" t="s">
        <v>765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763</v>
      </c>
      <c r="C571" s="30" t="s">
        <v>769</v>
      </c>
      <c r="D571" s="30"/>
      <c r="E571" s="30" t="s">
        <v>765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770</v>
      </c>
      <c r="C572" s="30" t="s">
        <v>771</v>
      </c>
      <c r="D572" s="30"/>
      <c r="E572" s="30" t="s">
        <v>765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770</v>
      </c>
      <c r="C573" s="30" t="s">
        <v>772</v>
      </c>
      <c r="D573" s="30"/>
      <c r="E573" s="30" t="s">
        <v>765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770</v>
      </c>
      <c r="C574" s="30" t="s">
        <v>773</v>
      </c>
      <c r="D574" s="30"/>
      <c r="E574" s="30" t="s">
        <v>765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770</v>
      </c>
      <c r="C575" s="30" t="s">
        <v>774</v>
      </c>
      <c r="D575" s="30"/>
      <c r="E575" s="30" t="s">
        <v>765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770</v>
      </c>
      <c r="C576" s="30" t="s">
        <v>775</v>
      </c>
      <c r="D576" s="30"/>
      <c r="E576" s="30" t="s">
        <v>765</v>
      </c>
      <c r="F576" s="30" t="s">
        <v>30</v>
      </c>
      <c r="G576" s="31">
        <v>46217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770</v>
      </c>
      <c r="C577" s="30" t="s">
        <v>776</v>
      </c>
      <c r="D577" s="30"/>
      <c r="E577" s="30" t="s">
        <v>765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770</v>
      </c>
      <c r="C578" s="30" t="s">
        <v>777</v>
      </c>
      <c r="D578" s="30"/>
      <c r="E578" s="30" t="s">
        <v>765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770</v>
      </c>
      <c r="C579" s="30" t="s">
        <v>778</v>
      </c>
      <c r="D579" s="30"/>
      <c r="E579" s="30" t="s">
        <v>765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770</v>
      </c>
      <c r="C580" s="30" t="s">
        <v>779</v>
      </c>
      <c r="D580" s="30"/>
      <c r="E580" s="30" t="s">
        <v>765</v>
      </c>
      <c r="F580" s="30" t="s">
        <v>30</v>
      </c>
      <c r="G580" s="31">
        <v>46213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770</v>
      </c>
      <c r="C581" s="30" t="s">
        <v>780</v>
      </c>
      <c r="D581" s="30"/>
      <c r="E581" s="30" t="s">
        <v>765</v>
      </c>
      <c r="F581" s="30" t="s">
        <v>30</v>
      </c>
      <c r="G581" s="31">
        <v>46213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770</v>
      </c>
      <c r="C582" s="30" t="s">
        <v>781</v>
      </c>
      <c r="D582" s="30"/>
      <c r="E582" s="30" t="s">
        <v>765</v>
      </c>
      <c r="F582" s="30" t="s">
        <v>30</v>
      </c>
      <c r="G582" s="31">
        <v>46213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770</v>
      </c>
      <c r="C583" s="30" t="s">
        <v>782</v>
      </c>
      <c r="D583" s="30"/>
      <c r="E583" s="30" t="s">
        <v>765</v>
      </c>
      <c r="F583" s="30" t="s">
        <v>30</v>
      </c>
      <c r="G583" s="31">
        <v>46213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770</v>
      </c>
      <c r="C584" s="30" t="s">
        <v>783</v>
      </c>
      <c r="D584" s="30"/>
      <c r="E584" s="30" t="s">
        <v>765</v>
      </c>
      <c r="F584" s="30" t="s">
        <v>30</v>
      </c>
      <c r="G584" s="31">
        <v>46213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770</v>
      </c>
      <c r="C585" s="30" t="s">
        <v>784</v>
      </c>
      <c r="D585" s="30"/>
      <c r="E585" s="30" t="s">
        <v>765</v>
      </c>
      <c r="F585" s="30" t="s">
        <v>30</v>
      </c>
      <c r="G585" s="31">
        <v>46213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770</v>
      </c>
      <c r="C586" s="30" t="s">
        <v>785</v>
      </c>
      <c r="D586" s="30"/>
      <c r="E586" s="30" t="s">
        <v>765</v>
      </c>
      <c r="F586" s="30" t="s">
        <v>30</v>
      </c>
      <c r="G586" s="31">
        <v>46213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770</v>
      </c>
      <c r="C587" s="30" t="s">
        <v>786</v>
      </c>
      <c r="D587" s="30"/>
      <c r="E587" s="30" t="s">
        <v>765</v>
      </c>
      <c r="F587" s="30" t="s">
        <v>30</v>
      </c>
      <c r="G587" s="31">
        <v>46213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770</v>
      </c>
      <c r="C588" s="30" t="s">
        <v>787</v>
      </c>
      <c r="D588" s="30"/>
      <c r="E588" s="30" t="s">
        <v>765</v>
      </c>
      <c r="F588" s="30" t="s">
        <v>30</v>
      </c>
      <c r="G588" s="31">
        <v>46213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770</v>
      </c>
      <c r="C589" s="30" t="s">
        <v>788</v>
      </c>
      <c r="D589" s="30"/>
      <c r="E589" s="30" t="s">
        <v>765</v>
      </c>
      <c r="F589" s="30" t="s">
        <v>30</v>
      </c>
      <c r="G589" s="31">
        <v>46213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770</v>
      </c>
      <c r="C590" s="30" t="s">
        <v>789</v>
      </c>
      <c r="D590" s="30"/>
      <c r="E590" s="30" t="s">
        <v>765</v>
      </c>
      <c r="F590" s="30" t="s">
        <v>30</v>
      </c>
      <c r="G590" s="31">
        <v>46213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770</v>
      </c>
      <c r="C591" s="30" t="s">
        <v>790</v>
      </c>
      <c r="D591" s="30"/>
      <c r="E591" s="30" t="s">
        <v>765</v>
      </c>
      <c r="F591" s="30" t="s">
        <v>30</v>
      </c>
      <c r="G591" s="31">
        <v>46213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791</v>
      </c>
      <c r="C592" s="30" t="s">
        <v>792</v>
      </c>
      <c r="D592" s="30"/>
      <c r="E592" s="30" t="s">
        <v>765</v>
      </c>
      <c r="F592" s="30" t="s">
        <v>30</v>
      </c>
      <c r="G592" s="31">
        <v>46213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791</v>
      </c>
      <c r="C593" s="30" t="s">
        <v>793</v>
      </c>
      <c r="D593" s="30"/>
      <c r="E593" s="30" t="s">
        <v>765</v>
      </c>
      <c r="F593" s="30" t="s">
        <v>30</v>
      </c>
      <c r="G593" s="31">
        <v>46213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791</v>
      </c>
      <c r="C594" s="30" t="s">
        <v>794</v>
      </c>
      <c r="D594" s="30"/>
      <c r="E594" s="30" t="s">
        <v>765</v>
      </c>
      <c r="F594" s="30" t="s">
        <v>30</v>
      </c>
      <c r="G594" s="31">
        <v>46213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791</v>
      </c>
      <c r="C595" s="30" t="s">
        <v>795</v>
      </c>
      <c r="D595" s="30"/>
      <c r="E595" s="30" t="s">
        <v>765</v>
      </c>
      <c r="F595" s="30" t="s">
        <v>30</v>
      </c>
      <c r="G595" s="31">
        <v>46213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791</v>
      </c>
      <c r="C596" s="30" t="s">
        <v>796</v>
      </c>
      <c r="D596" s="30"/>
      <c r="E596" s="30" t="s">
        <v>765</v>
      </c>
      <c r="F596" s="30" t="s">
        <v>30</v>
      </c>
      <c r="G596" s="31">
        <v>46213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763</v>
      </c>
      <c r="C597" s="30" t="s">
        <v>797</v>
      </c>
      <c r="D597" s="30"/>
      <c r="E597" s="30" t="s">
        <v>798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763</v>
      </c>
      <c r="C598" s="30" t="s">
        <v>799</v>
      </c>
      <c r="D598" s="30"/>
      <c r="E598" s="30" t="s">
        <v>798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763</v>
      </c>
      <c r="C599" s="30" t="s">
        <v>800</v>
      </c>
      <c r="D599" s="30"/>
      <c r="E599" s="30" t="s">
        <v>798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763</v>
      </c>
      <c r="C600" s="30" t="s">
        <v>801</v>
      </c>
      <c r="D600" s="30"/>
      <c r="E600" s="30" t="s">
        <v>798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763</v>
      </c>
      <c r="C601" s="30" t="s">
        <v>802</v>
      </c>
      <c r="D601" s="30"/>
      <c r="E601" s="30" t="s">
        <v>798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763</v>
      </c>
      <c r="C602" s="30" t="s">
        <v>803</v>
      </c>
      <c r="D602" s="30"/>
      <c r="E602" s="30" t="s">
        <v>798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763</v>
      </c>
      <c r="C603" s="30" t="s">
        <v>804</v>
      </c>
      <c r="D603" s="30"/>
      <c r="E603" s="30" t="s">
        <v>798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763</v>
      </c>
      <c r="C604" s="30" t="s">
        <v>805</v>
      </c>
      <c r="D604" s="30"/>
      <c r="E604" s="30" t="s">
        <v>798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763</v>
      </c>
      <c r="C605" s="30" t="s">
        <v>806</v>
      </c>
      <c r="D605" s="30"/>
      <c r="E605" s="30" t="s">
        <v>798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763</v>
      </c>
      <c r="C606" s="30" t="s">
        <v>807</v>
      </c>
      <c r="D606" s="30"/>
      <c r="E606" s="30" t="s">
        <v>798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763</v>
      </c>
      <c r="C607" s="30" t="s">
        <v>808</v>
      </c>
      <c r="D607" s="30"/>
      <c r="E607" s="30" t="s">
        <v>798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763</v>
      </c>
      <c r="C608" s="30" t="s">
        <v>809</v>
      </c>
      <c r="D608" s="30"/>
      <c r="E608" s="30" t="s">
        <v>798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763</v>
      </c>
      <c r="C609" s="30" t="s">
        <v>810</v>
      </c>
      <c r="D609" s="30"/>
      <c r="E609" s="30" t="s">
        <v>798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61</v>
      </c>
      <c r="B610" s="30" t="s">
        <v>763</v>
      </c>
      <c r="C610" s="30" t="s">
        <v>811</v>
      </c>
      <c r="D610" s="30"/>
      <c r="E610" s="30" t="s">
        <v>798</v>
      </c>
      <c r="F610" s="30" t="s">
        <v>30</v>
      </c>
      <c r="G610" s="31">
        <v>46217</v>
      </c>
      <c r="H610" s="31"/>
      <c r="I610" s="32">
        <f>IF(OR($G610="",$H610=""),"",$H610-$G610)</f>
        <v>0</v>
      </c>
      <c r="J610" s="30"/>
    </row>
    <row r="611" spans="1:10">
      <c r="A611" s="30" t="s">
        <v>61</v>
      </c>
      <c r="B611" s="30" t="s">
        <v>763</v>
      </c>
      <c r="C611" s="30" t="s">
        <v>812</v>
      </c>
      <c r="D611" s="30"/>
      <c r="E611" s="30" t="s">
        <v>798</v>
      </c>
      <c r="F611" s="30" t="s">
        <v>30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770</v>
      </c>
      <c r="C612" s="30" t="s">
        <v>813</v>
      </c>
      <c r="D612" s="30"/>
      <c r="E612" s="30" t="s">
        <v>798</v>
      </c>
      <c r="F612" s="30" t="s">
        <v>30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770</v>
      </c>
      <c r="C613" s="30" t="s">
        <v>814</v>
      </c>
      <c r="D613" s="30"/>
      <c r="E613" s="30" t="s">
        <v>798</v>
      </c>
      <c r="F613" s="30" t="s">
        <v>30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770</v>
      </c>
      <c r="C614" s="30" t="s">
        <v>815</v>
      </c>
      <c r="D614" s="30"/>
      <c r="E614" s="30" t="s">
        <v>798</v>
      </c>
      <c r="F614" s="30" t="s">
        <v>30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770</v>
      </c>
      <c r="C615" s="30" t="s">
        <v>816</v>
      </c>
      <c r="D615" s="30"/>
      <c r="E615" s="30" t="s">
        <v>798</v>
      </c>
      <c r="F615" s="30" t="s">
        <v>30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770</v>
      </c>
      <c r="C616" s="30" t="s">
        <v>817</v>
      </c>
      <c r="D616" s="30"/>
      <c r="E616" s="30" t="s">
        <v>798</v>
      </c>
      <c r="F616" s="30" t="s">
        <v>30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770</v>
      </c>
      <c r="C617" s="30" t="s">
        <v>818</v>
      </c>
      <c r="D617" s="30"/>
      <c r="E617" s="30" t="s">
        <v>798</v>
      </c>
      <c r="F617" s="30" t="s">
        <v>30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770</v>
      </c>
      <c r="C618" s="30" t="s">
        <v>819</v>
      </c>
      <c r="D618" s="30"/>
      <c r="E618" s="30" t="s">
        <v>798</v>
      </c>
      <c r="F618" s="30" t="s">
        <v>30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770</v>
      </c>
      <c r="C619" s="30" t="s">
        <v>820</v>
      </c>
      <c r="D619" s="30"/>
      <c r="E619" s="30" t="s">
        <v>798</v>
      </c>
      <c r="F619" s="30" t="s">
        <v>30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770</v>
      </c>
      <c r="C620" s="30" t="s">
        <v>821</v>
      </c>
      <c r="D620" s="30"/>
      <c r="E620" s="30" t="s">
        <v>798</v>
      </c>
      <c r="F620" s="30" t="s">
        <v>30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770</v>
      </c>
      <c r="C621" s="30" t="s">
        <v>822</v>
      </c>
      <c r="D621" s="30"/>
      <c r="E621" s="30" t="s">
        <v>798</v>
      </c>
      <c r="F621" s="30" t="s">
        <v>30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770</v>
      </c>
      <c r="C622" s="30" t="s">
        <v>823</v>
      </c>
      <c r="D622" s="30"/>
      <c r="E622" s="30" t="s">
        <v>798</v>
      </c>
      <c r="F622" s="30" t="s">
        <v>30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770</v>
      </c>
      <c r="C623" s="30" t="s">
        <v>824</v>
      </c>
      <c r="D623" s="30"/>
      <c r="E623" s="30" t="s">
        <v>798</v>
      </c>
      <c r="F623" s="30" t="s">
        <v>30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770</v>
      </c>
      <c r="C624" s="30" t="s">
        <v>825</v>
      </c>
      <c r="D624" s="30"/>
      <c r="E624" s="30" t="s">
        <v>798</v>
      </c>
      <c r="F624" s="30" t="s">
        <v>30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770</v>
      </c>
      <c r="C625" s="30" t="s">
        <v>826</v>
      </c>
      <c r="D625" s="30"/>
      <c r="E625" s="30" t="s">
        <v>798</v>
      </c>
      <c r="F625" s="30" t="s">
        <v>30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770</v>
      </c>
      <c r="C626" s="30" t="s">
        <v>827</v>
      </c>
      <c r="D626" s="30"/>
      <c r="E626" s="30" t="s">
        <v>798</v>
      </c>
      <c r="F626" s="30" t="s">
        <v>30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51</v>
      </c>
      <c r="B627" s="30" t="s">
        <v>58</v>
      </c>
      <c r="C627" s="30" t="s">
        <v>828</v>
      </c>
      <c r="D627" s="30"/>
      <c r="E627" s="30" t="s">
        <v>54</v>
      </c>
      <c r="F627" s="30" t="s">
        <v>56</v>
      </c>
      <c r="G627" s="31">
        <v>46216</v>
      </c>
      <c r="H627" s="31"/>
      <c r="I627" s="32">
        <f>IF(OR($G627="",$H627=""),"",$H627-$G627)</f>
        <v>0</v>
      </c>
      <c r="J627" s="30"/>
    </row>
    <row r="628" spans="1:10">
      <c r="A628" s="30" t="s">
        <v>162</v>
      </c>
      <c r="B628" s="30" t="s">
        <v>163</v>
      </c>
      <c r="C628" s="30" t="s">
        <v>829</v>
      </c>
      <c r="D628" s="30"/>
      <c r="E628" s="30"/>
      <c r="F628" s="30" t="s">
        <v>119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830</v>
      </c>
      <c r="C629" s="30" t="s">
        <v>831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830</v>
      </c>
      <c r="C630" s="30" t="s">
        <v>832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830</v>
      </c>
      <c r="C631" s="30" t="s">
        <v>833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830</v>
      </c>
      <c r="C632" s="30" t="s">
        <v>834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830</v>
      </c>
      <c r="C633" s="30" t="s">
        <v>835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830</v>
      </c>
      <c r="C634" s="30" t="s">
        <v>836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830</v>
      </c>
      <c r="C635" s="30" t="s">
        <v>837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830</v>
      </c>
      <c r="C636" s="30" t="s">
        <v>838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830</v>
      </c>
      <c r="C637" s="30" t="s">
        <v>839</v>
      </c>
      <c r="D637" s="30"/>
      <c r="E637" s="30" t="s">
        <v>64</v>
      </c>
      <c r="F637" s="30" t="s">
        <v>66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62</v>
      </c>
      <c r="C638" s="30" t="s">
        <v>840</v>
      </c>
      <c r="D638" s="30"/>
      <c r="E638" s="30" t="s">
        <v>64</v>
      </c>
      <c r="F638" s="30" t="s">
        <v>66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62</v>
      </c>
      <c r="C639" s="30" t="s">
        <v>841</v>
      </c>
      <c r="D639" s="30"/>
      <c r="E639" s="30" t="s">
        <v>64</v>
      </c>
      <c r="F639" s="30" t="s">
        <v>66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62</v>
      </c>
      <c r="C640" s="30" t="s">
        <v>842</v>
      </c>
      <c r="D640" s="30"/>
      <c r="E640" s="30" t="s">
        <v>64</v>
      </c>
      <c r="F640" s="30" t="s">
        <v>66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69</v>
      </c>
      <c r="C641" s="30" t="s">
        <v>843</v>
      </c>
      <c r="D641" s="30"/>
      <c r="E641" s="30" t="s">
        <v>64</v>
      </c>
      <c r="F641" s="30" t="s">
        <v>66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69</v>
      </c>
      <c r="C642" s="30" t="s">
        <v>844</v>
      </c>
      <c r="D642" s="30"/>
      <c r="E642" s="30" t="s">
        <v>64</v>
      </c>
      <c r="F642" s="30" t="s">
        <v>66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71</v>
      </c>
      <c r="C643" s="30" t="s">
        <v>845</v>
      </c>
      <c r="D643" s="30"/>
      <c r="E643" s="30" t="s">
        <v>64</v>
      </c>
      <c r="F643" s="30" t="s">
        <v>66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71</v>
      </c>
      <c r="C644" s="30" t="s">
        <v>846</v>
      </c>
      <c r="D644" s="30"/>
      <c r="E644" s="30" t="s">
        <v>64</v>
      </c>
      <c r="F644" s="30" t="s">
        <v>66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71</v>
      </c>
      <c r="C645" s="30" t="s">
        <v>847</v>
      </c>
      <c r="D645" s="30"/>
      <c r="E645" s="30" t="s">
        <v>64</v>
      </c>
      <c r="F645" s="30" t="s">
        <v>66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71</v>
      </c>
      <c r="C646" s="30" t="s">
        <v>848</v>
      </c>
      <c r="D646" s="30"/>
      <c r="E646" s="30" t="s">
        <v>64</v>
      </c>
      <c r="F646" s="30" t="s">
        <v>66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71</v>
      </c>
      <c r="C647" s="30" t="s">
        <v>849</v>
      </c>
      <c r="D647" s="30"/>
      <c r="E647" s="30" t="s">
        <v>64</v>
      </c>
      <c r="F647" s="30" t="s">
        <v>66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</v>
      </c>
      <c r="C648" s="30" t="s">
        <v>850</v>
      </c>
      <c r="D648" s="30"/>
      <c r="E648" s="30" t="s">
        <v>64</v>
      </c>
      <c r="F648" s="30" t="s">
        <v>66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</v>
      </c>
      <c r="C649" s="30" t="s">
        <v>851</v>
      </c>
      <c r="D649" s="30"/>
      <c r="E649" s="30" t="s">
        <v>64</v>
      </c>
      <c r="F649" s="30" t="s">
        <v>66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</v>
      </c>
      <c r="C650" s="30" t="s">
        <v>852</v>
      </c>
      <c r="D650" s="30"/>
      <c r="E650" s="30" t="s">
        <v>64</v>
      </c>
      <c r="F650" s="30" t="s">
        <v>66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80</v>
      </c>
      <c r="C651" s="30" t="s">
        <v>853</v>
      </c>
      <c r="D651" s="30"/>
      <c r="E651" s="30" t="s">
        <v>64</v>
      </c>
      <c r="F651" s="30" t="s">
        <v>66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80</v>
      </c>
      <c r="C652" s="30" t="s">
        <v>854</v>
      </c>
      <c r="D652" s="30"/>
      <c r="E652" s="30" t="s">
        <v>64</v>
      </c>
      <c r="F652" s="30" t="s">
        <v>66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82</v>
      </c>
      <c r="C653" s="30" t="s">
        <v>855</v>
      </c>
      <c r="D653" s="30"/>
      <c r="E653" s="30" t="s">
        <v>64</v>
      </c>
      <c r="F653" s="30" t="s">
        <v>66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763</v>
      </c>
      <c r="C654" s="30" t="s">
        <v>856</v>
      </c>
      <c r="D654" s="30"/>
      <c r="E654" s="30" t="s">
        <v>857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763</v>
      </c>
      <c r="C655" s="30" t="s">
        <v>858</v>
      </c>
      <c r="D655" s="30"/>
      <c r="E655" s="30" t="s">
        <v>857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763</v>
      </c>
      <c r="C656" s="30" t="s">
        <v>859</v>
      </c>
      <c r="D656" s="30"/>
      <c r="E656" s="30" t="s">
        <v>857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61</v>
      </c>
      <c r="B657" s="30" t="s">
        <v>763</v>
      </c>
      <c r="C657" s="30" t="s">
        <v>860</v>
      </c>
      <c r="D657" s="30"/>
      <c r="E657" s="30" t="s">
        <v>857</v>
      </c>
      <c r="F657" s="30" t="s">
        <v>119</v>
      </c>
      <c r="G657" s="31">
        <v>46217</v>
      </c>
      <c r="H657" s="31"/>
      <c r="I657" s="32">
        <f>IF(OR($G657="",$H657=""),"",$H657-$G657)</f>
        <v>0</v>
      </c>
      <c r="J657" s="30"/>
    </row>
    <row r="658" spans="1:10">
      <c r="A658" s="30" t="s">
        <v>61</v>
      </c>
      <c r="B658" s="30" t="s">
        <v>763</v>
      </c>
      <c r="C658" s="30" t="s">
        <v>861</v>
      </c>
      <c r="D658" s="30"/>
      <c r="E658" s="30" t="s">
        <v>857</v>
      </c>
      <c r="F658" s="30" t="s">
        <v>119</v>
      </c>
      <c r="G658" s="31">
        <v>46217</v>
      </c>
      <c r="H658" s="31"/>
      <c r="I658" s="32">
        <f>IF(OR($G658="",$H658=""),"",$H658-$G658)</f>
        <v>0</v>
      </c>
      <c r="J658" s="30"/>
    </row>
    <row r="659" spans="1:10">
      <c r="A659" s="30" t="s">
        <v>61</v>
      </c>
      <c r="B659" s="30" t="s">
        <v>763</v>
      </c>
      <c r="C659" s="30" t="s">
        <v>862</v>
      </c>
      <c r="D659" s="30"/>
      <c r="E659" s="30" t="s">
        <v>857</v>
      </c>
      <c r="F659" s="30" t="s">
        <v>119</v>
      </c>
      <c r="G659" s="31">
        <v>46217</v>
      </c>
      <c r="H659" s="31"/>
      <c r="I659" s="32">
        <f>IF(OR($G659="",$H659=""),"",$H659-$G659)</f>
        <v>0</v>
      </c>
      <c r="J659" s="30"/>
    </row>
    <row r="660" spans="1:10">
      <c r="A660" s="30" t="s">
        <v>61</v>
      </c>
      <c r="B660" s="30" t="s">
        <v>763</v>
      </c>
      <c r="C660" s="30" t="s">
        <v>863</v>
      </c>
      <c r="D660" s="30"/>
      <c r="E660" s="30" t="s">
        <v>857</v>
      </c>
      <c r="F660" s="30" t="s">
        <v>119</v>
      </c>
      <c r="G660" s="31">
        <v>46217</v>
      </c>
      <c r="H660" s="31"/>
      <c r="I660" s="32">
        <f>IF(OR($G660="",$H660=""),"",$H660-$G660)</f>
        <v>0</v>
      </c>
      <c r="J660" s="30"/>
    </row>
    <row r="661" spans="1:10">
      <c r="A661" s="30" t="s">
        <v>61</v>
      </c>
      <c r="B661" s="30" t="s">
        <v>763</v>
      </c>
      <c r="C661" s="30" t="s">
        <v>864</v>
      </c>
      <c r="D661" s="30"/>
      <c r="E661" s="30" t="s">
        <v>857</v>
      </c>
      <c r="F661" s="30" t="s">
        <v>119</v>
      </c>
      <c r="G661" s="31">
        <v>46217</v>
      </c>
      <c r="H661" s="31"/>
      <c r="I661" s="32">
        <f>IF(OR($G661="",$H661=""),"",$H661-$G661)</f>
        <v>0</v>
      </c>
      <c r="J661" s="30"/>
    </row>
    <row r="662" spans="1:10">
      <c r="A662" s="30" t="s">
        <v>61</v>
      </c>
      <c r="B662" s="30" t="s">
        <v>763</v>
      </c>
      <c r="C662" s="30" t="s">
        <v>865</v>
      </c>
      <c r="D662" s="30"/>
      <c r="E662" s="30" t="s">
        <v>857</v>
      </c>
      <c r="F662" s="30" t="s">
        <v>119</v>
      </c>
      <c r="G662" s="31">
        <v>46217</v>
      </c>
      <c r="H662" s="31"/>
      <c r="I662" s="32">
        <f>IF(OR($G662="",$H662=""),"",$H662-$G662)</f>
        <v>0</v>
      </c>
      <c r="J662" s="30"/>
    </row>
    <row r="663" spans="1:10">
      <c r="A663" s="30" t="s">
        <v>61</v>
      </c>
      <c r="B663" s="30" t="s">
        <v>770</v>
      </c>
      <c r="C663" s="30" t="s">
        <v>866</v>
      </c>
      <c r="D663" s="30"/>
      <c r="E663" s="30" t="s">
        <v>857</v>
      </c>
      <c r="F663" s="30" t="s">
        <v>119</v>
      </c>
      <c r="G663" s="31">
        <v>46217</v>
      </c>
      <c r="H663" s="31"/>
      <c r="I663" s="32">
        <f>IF(OR($G663="",$H663=""),"",$H663-$G663)</f>
        <v>0</v>
      </c>
      <c r="J663" s="30"/>
    </row>
    <row r="664" spans="1:10">
      <c r="A664" s="30" t="s">
        <v>61</v>
      </c>
      <c r="B664" s="30" t="s">
        <v>770</v>
      </c>
      <c r="C664" s="30" t="s">
        <v>867</v>
      </c>
      <c r="D664" s="30"/>
      <c r="E664" s="30" t="s">
        <v>857</v>
      </c>
      <c r="F664" s="30" t="s">
        <v>119</v>
      </c>
      <c r="G664" s="31">
        <v>46217</v>
      </c>
      <c r="H664" s="31"/>
      <c r="I664" s="32">
        <f>IF(OR($G664="",$H664=""),"",$H664-$G664)</f>
        <v>0</v>
      </c>
      <c r="J664" s="30"/>
    </row>
    <row r="665" spans="1:10">
      <c r="A665" s="30" t="s">
        <v>61</v>
      </c>
      <c r="B665" s="30" t="s">
        <v>770</v>
      </c>
      <c r="C665" s="30" t="s">
        <v>868</v>
      </c>
      <c r="D665" s="30"/>
      <c r="E665" s="30" t="s">
        <v>857</v>
      </c>
      <c r="F665" s="30" t="s">
        <v>119</v>
      </c>
      <c r="G665" s="31">
        <v>46217</v>
      </c>
      <c r="H665" s="31"/>
      <c r="I665" s="32">
        <f>IF(OR($G665="",$H665=""),"",$H665-$G665)</f>
        <v>0</v>
      </c>
      <c r="J665" s="30"/>
    </row>
    <row r="666" spans="1:10">
      <c r="A666" s="30" t="s">
        <v>61</v>
      </c>
      <c r="B666" s="30" t="s">
        <v>770</v>
      </c>
      <c r="C666" s="30" t="s">
        <v>869</v>
      </c>
      <c r="D666" s="30"/>
      <c r="E666" s="30" t="s">
        <v>857</v>
      </c>
      <c r="F666" s="30" t="s">
        <v>119</v>
      </c>
      <c r="G666" s="31">
        <v>46217</v>
      </c>
      <c r="H666" s="31"/>
      <c r="I666" s="32">
        <f>IF(OR($G666="",$H666=""),"",$H666-$G666)</f>
        <v>0</v>
      </c>
      <c r="J666" s="30"/>
    </row>
    <row r="667" spans="1:10">
      <c r="A667" s="30" t="s">
        <v>61</v>
      </c>
      <c r="B667" s="30" t="s">
        <v>770</v>
      </c>
      <c r="C667" s="30" t="s">
        <v>870</v>
      </c>
      <c r="D667" s="30"/>
      <c r="E667" s="30" t="s">
        <v>857</v>
      </c>
      <c r="F667" s="30" t="s">
        <v>119</v>
      </c>
      <c r="G667" s="31">
        <v>46217</v>
      </c>
      <c r="H667" s="31"/>
      <c r="I667" s="32">
        <f>IF(OR($G667="",$H667=""),"",$H667-$G667)</f>
        <v>0</v>
      </c>
      <c r="J667" s="30"/>
    </row>
    <row r="668" spans="1:10">
      <c r="A668" s="30" t="s">
        <v>61</v>
      </c>
      <c r="B668" s="30" t="s">
        <v>770</v>
      </c>
      <c r="C668" s="30" t="s">
        <v>871</v>
      </c>
      <c r="D668" s="30"/>
      <c r="E668" s="30" t="s">
        <v>857</v>
      </c>
      <c r="F668" s="30" t="s">
        <v>119</v>
      </c>
      <c r="G668" s="31">
        <v>46217</v>
      </c>
      <c r="H668" s="31"/>
      <c r="I668" s="32">
        <f>IF(OR($G668="",$H668=""),"",$H668-$G668)</f>
        <v>0</v>
      </c>
      <c r="J668" s="30"/>
    </row>
    <row r="669" spans="1:10">
      <c r="A669" s="30" t="s">
        <v>61</v>
      </c>
      <c r="B669" s="30" t="s">
        <v>770</v>
      </c>
      <c r="C669" s="30" t="s">
        <v>872</v>
      </c>
      <c r="D669" s="30"/>
      <c r="E669" s="30" t="s">
        <v>857</v>
      </c>
      <c r="F669" s="30" t="s">
        <v>119</v>
      </c>
      <c r="G669" s="31">
        <v>46217</v>
      </c>
      <c r="H669" s="31"/>
      <c r="I669" s="32">
        <f>IF(OR($G669="",$H669=""),"",$H669-$G669)</f>
        <v>0</v>
      </c>
      <c r="J669" s="30"/>
    </row>
    <row r="670" spans="1:10">
      <c r="A670" s="30" t="s">
        <v>61</v>
      </c>
      <c r="B670" s="30" t="s">
        <v>791</v>
      </c>
      <c r="C670" s="30" t="s">
        <v>873</v>
      </c>
      <c r="D670" s="30"/>
      <c r="E670" s="30" t="s">
        <v>857</v>
      </c>
      <c r="F670" s="30" t="s">
        <v>119</v>
      </c>
      <c r="G670" s="31">
        <v>46217</v>
      </c>
      <c r="H670" s="31"/>
      <c r="I670" s="32">
        <f>IF(OR($G670="",$H670=""),"",$H670-$G670)</f>
        <v>0</v>
      </c>
      <c r="J670" s="30"/>
    </row>
    <row r="671" spans="1:10">
      <c r="A671" s="30" t="s">
        <v>61</v>
      </c>
      <c r="B671" s="30" t="s">
        <v>791</v>
      </c>
      <c r="C671" s="30" t="s">
        <v>874</v>
      </c>
      <c r="D671" s="30"/>
      <c r="E671" s="30" t="s">
        <v>857</v>
      </c>
      <c r="F671" s="30" t="s">
        <v>119</v>
      </c>
      <c r="G671" s="31">
        <v>46217</v>
      </c>
      <c r="H671" s="31"/>
      <c r="I671" s="32">
        <f>IF(OR($G671="",$H671=""),"",$H671-$G671)</f>
        <v>0</v>
      </c>
      <c r="J671" s="30"/>
    </row>
    <row r="672" spans="1:10">
      <c r="A672" s="30" t="s">
        <v>61</v>
      </c>
      <c r="B672" s="30" t="s">
        <v>791</v>
      </c>
      <c r="C672" s="30" t="s">
        <v>875</v>
      </c>
      <c r="D672" s="30"/>
      <c r="E672" s="30" t="s">
        <v>857</v>
      </c>
      <c r="F672" s="30" t="s">
        <v>119</v>
      </c>
      <c r="G672" s="31">
        <v>46217</v>
      </c>
      <c r="H672" s="31"/>
      <c r="I672" s="32">
        <f>IF(OR($G672="",$H672=""),"",$H672-$G672)</f>
        <v>0</v>
      </c>
      <c r="J672" s="30"/>
    </row>
    <row r="673" spans="1:10">
      <c r="A673" s="30" t="s">
        <v>61</v>
      </c>
      <c r="B673" s="30" t="s">
        <v>791</v>
      </c>
      <c r="C673" s="30" t="s">
        <v>876</v>
      </c>
      <c r="D673" s="30"/>
      <c r="E673" s="30" t="s">
        <v>857</v>
      </c>
      <c r="F673" s="30" t="s">
        <v>119</v>
      </c>
      <c r="G673" s="31">
        <v>46217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257</v>
      </c>
      <c r="C674" s="30" t="s">
        <v>877</v>
      </c>
      <c r="D674" s="30"/>
      <c r="E674" s="30" t="s">
        <v>619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257</v>
      </c>
      <c r="C675" s="30" t="s">
        <v>878</v>
      </c>
      <c r="D675" s="30"/>
      <c r="E675" s="30" t="s">
        <v>619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257</v>
      </c>
      <c r="C676" s="30" t="s">
        <v>879</v>
      </c>
      <c r="D676" s="30"/>
      <c r="E676" s="30" t="s">
        <v>619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257</v>
      </c>
      <c r="C677" s="30" t="s">
        <v>880</v>
      </c>
      <c r="D677" s="30"/>
      <c r="E677" s="30" t="s">
        <v>619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881</v>
      </c>
      <c r="D678" s="30"/>
      <c r="E678" s="30" t="s">
        <v>619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882</v>
      </c>
      <c r="D679" s="30"/>
      <c r="E679" s="30" t="s">
        <v>619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883</v>
      </c>
      <c r="C680" s="30" t="s">
        <v>884</v>
      </c>
      <c r="D680" s="30"/>
      <c r="E680" s="30" t="s">
        <v>619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883</v>
      </c>
      <c r="C681" s="30" t="s">
        <v>885</v>
      </c>
      <c r="D681" s="30"/>
      <c r="E681" s="30" t="s">
        <v>619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883</v>
      </c>
      <c r="C682" s="30" t="s">
        <v>886</v>
      </c>
      <c r="D682" s="30"/>
      <c r="E682" s="30" t="s">
        <v>619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883</v>
      </c>
      <c r="C683" s="30" t="s">
        <v>887</v>
      </c>
      <c r="D683" s="30"/>
      <c r="E683" s="30" t="s">
        <v>619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883</v>
      </c>
      <c r="C684" s="30" t="s">
        <v>888</v>
      </c>
      <c r="D684" s="30"/>
      <c r="E684" s="30" t="s">
        <v>619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883</v>
      </c>
      <c r="C685" s="30" t="s">
        <v>889</v>
      </c>
      <c r="D685" s="30"/>
      <c r="E685" s="30" t="s">
        <v>619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883</v>
      </c>
      <c r="C686" s="30" t="s">
        <v>890</v>
      </c>
      <c r="D686" s="30"/>
      <c r="E686" s="30" t="s">
        <v>619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883</v>
      </c>
      <c r="C687" s="30" t="s">
        <v>891</v>
      </c>
      <c r="D687" s="30"/>
      <c r="E687" s="30" t="s">
        <v>619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883</v>
      </c>
      <c r="C688" s="30" t="s">
        <v>892</v>
      </c>
      <c r="D688" s="30"/>
      <c r="E688" s="30" t="s">
        <v>619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883</v>
      </c>
      <c r="C689" s="30" t="s">
        <v>893</v>
      </c>
      <c r="D689" s="30"/>
      <c r="E689" s="30" t="s">
        <v>619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883</v>
      </c>
      <c r="C690" s="30" t="s">
        <v>894</v>
      </c>
      <c r="D690" s="30"/>
      <c r="E690" s="30" t="s">
        <v>619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883</v>
      </c>
      <c r="C691" s="30" t="s">
        <v>895</v>
      </c>
      <c r="D691" s="30"/>
      <c r="E691" s="30" t="s">
        <v>619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883</v>
      </c>
      <c r="C692" s="30" t="s">
        <v>896</v>
      </c>
      <c r="D692" s="30"/>
      <c r="E692" s="30" t="s">
        <v>619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883</v>
      </c>
      <c r="C693" s="30" t="s">
        <v>897</v>
      </c>
      <c r="D693" s="30"/>
      <c r="E693" s="30" t="s">
        <v>619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883</v>
      </c>
      <c r="C694" s="30" t="s">
        <v>898</v>
      </c>
      <c r="D694" s="30"/>
      <c r="E694" s="30" t="s">
        <v>619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899</v>
      </c>
      <c r="D695" s="30"/>
      <c r="E695" s="30" t="s">
        <v>619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900</v>
      </c>
      <c r="D696" s="30"/>
      <c r="E696" s="30" t="s">
        <v>619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901</v>
      </c>
      <c r="D697" s="30"/>
      <c r="E697" s="30" t="s">
        <v>619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902</v>
      </c>
      <c r="D698" s="30"/>
      <c r="E698" s="30" t="s">
        <v>619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903</v>
      </c>
      <c r="D699" s="30"/>
      <c r="E699" s="30" t="s">
        <v>619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904</v>
      </c>
      <c r="D700" s="30"/>
      <c r="E700" s="30" t="s">
        <v>619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905</v>
      </c>
      <c r="D701" s="30"/>
      <c r="E701" s="30" t="s">
        <v>619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906</v>
      </c>
      <c r="D702" s="30"/>
      <c r="E702" s="30" t="s">
        <v>619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907</v>
      </c>
      <c r="D703" s="30"/>
      <c r="E703" s="30" t="s">
        <v>619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908</v>
      </c>
      <c r="D704" s="30"/>
      <c r="E704" s="30" t="s">
        <v>619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909</v>
      </c>
      <c r="D705" s="30"/>
      <c r="E705" s="30" t="s">
        <v>619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910</v>
      </c>
      <c r="D706" s="30"/>
      <c r="E706" s="30" t="s">
        <v>619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911</v>
      </c>
      <c r="D707" s="30"/>
      <c r="E707" s="30" t="s">
        <v>619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912</v>
      </c>
      <c r="D708" s="30"/>
      <c r="E708" s="30" t="s">
        <v>619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913</v>
      </c>
      <c r="D709" s="30"/>
      <c r="E709" s="30" t="s">
        <v>619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914</v>
      </c>
      <c r="D710" s="30"/>
      <c r="E710" s="30" t="s">
        <v>619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915</v>
      </c>
      <c r="D711" s="30"/>
      <c r="E711" s="30" t="s">
        <v>619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916</v>
      </c>
      <c r="D712" s="30"/>
      <c r="E712" s="30" t="s">
        <v>619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257</v>
      </c>
      <c r="C713" s="30" t="s">
        <v>917</v>
      </c>
      <c r="D713" s="30"/>
      <c r="E713" s="30" t="s">
        <v>619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257</v>
      </c>
      <c r="C714" s="30" t="s">
        <v>918</v>
      </c>
      <c r="D714" s="30"/>
      <c r="E714" s="30" t="s">
        <v>619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257</v>
      </c>
      <c r="C715" s="30" t="s">
        <v>919</v>
      </c>
      <c r="D715" s="30"/>
      <c r="E715" s="30" t="s">
        <v>619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257</v>
      </c>
      <c r="C716" s="30" t="s">
        <v>920</v>
      </c>
      <c r="D716" s="30"/>
      <c r="E716" s="30" t="s">
        <v>619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257</v>
      </c>
      <c r="C717" s="30" t="s">
        <v>921</v>
      </c>
      <c r="D717" s="30"/>
      <c r="E717" s="30" t="s">
        <v>619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257</v>
      </c>
      <c r="C718" s="30" t="s">
        <v>922</v>
      </c>
      <c r="D718" s="30"/>
      <c r="E718" s="30" t="s">
        <v>619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257</v>
      </c>
      <c r="C719" s="30" t="s">
        <v>923</v>
      </c>
      <c r="D719" s="30"/>
      <c r="E719" s="30" t="s">
        <v>619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257</v>
      </c>
      <c r="C720" s="30" t="s">
        <v>924</v>
      </c>
      <c r="D720" s="30"/>
      <c r="E720" s="30" t="s">
        <v>619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257</v>
      </c>
      <c r="C721" s="30" t="s">
        <v>925</v>
      </c>
      <c r="D721" s="30"/>
      <c r="E721" s="30" t="s">
        <v>619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257</v>
      </c>
      <c r="C722" s="30" t="s">
        <v>926</v>
      </c>
      <c r="D722" s="30"/>
      <c r="E722" s="30" t="s">
        <v>619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257</v>
      </c>
      <c r="C723" s="30" t="s">
        <v>927</v>
      </c>
      <c r="D723" s="30"/>
      <c r="E723" s="30" t="s">
        <v>619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257</v>
      </c>
      <c r="C724" s="30" t="s">
        <v>928</v>
      </c>
      <c r="D724" s="30"/>
      <c r="E724" s="30" t="s">
        <v>619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257</v>
      </c>
      <c r="C725" s="30" t="s">
        <v>929</v>
      </c>
      <c r="D725" s="30"/>
      <c r="E725" s="30" t="s">
        <v>619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257</v>
      </c>
      <c r="C726" s="30" t="s">
        <v>930</v>
      </c>
      <c r="D726" s="30"/>
      <c r="E726" s="30" t="s">
        <v>619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257</v>
      </c>
      <c r="C727" s="30" t="s">
        <v>931</v>
      </c>
      <c r="D727" s="30"/>
      <c r="E727" s="30" t="s">
        <v>619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257</v>
      </c>
      <c r="C728" s="30" t="s">
        <v>932</v>
      </c>
      <c r="D728" s="30"/>
      <c r="E728" s="30" t="s">
        <v>619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257</v>
      </c>
      <c r="C729" s="30" t="s">
        <v>933</v>
      </c>
      <c r="D729" s="30"/>
      <c r="E729" s="30" t="s">
        <v>619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883</v>
      </c>
      <c r="C730" s="30" t="s">
        <v>934</v>
      </c>
      <c r="D730" s="30"/>
      <c r="E730" s="30" t="s">
        <v>619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883</v>
      </c>
      <c r="C731" s="30" t="s">
        <v>935</v>
      </c>
      <c r="D731" s="30"/>
      <c r="E731" s="30" t="s">
        <v>619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883</v>
      </c>
      <c r="C732" s="30" t="s">
        <v>936</v>
      </c>
      <c r="D732" s="30"/>
      <c r="E732" s="30" t="s">
        <v>619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883</v>
      </c>
      <c r="C733" s="30" t="s">
        <v>937</v>
      </c>
      <c r="D733" s="30"/>
      <c r="E733" s="30" t="s">
        <v>619</v>
      </c>
      <c r="F733" s="30" t="s">
        <v>30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883</v>
      </c>
      <c r="C734" s="30" t="s">
        <v>938</v>
      </c>
      <c r="D734" s="30"/>
      <c r="E734" s="30" t="s">
        <v>619</v>
      </c>
      <c r="F734" s="30" t="s">
        <v>30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883</v>
      </c>
      <c r="C735" s="30" t="s">
        <v>939</v>
      </c>
      <c r="D735" s="30"/>
      <c r="E735" s="30" t="s">
        <v>619</v>
      </c>
      <c r="F735" s="30" t="s">
        <v>30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883</v>
      </c>
      <c r="C736" s="30" t="s">
        <v>940</v>
      </c>
      <c r="D736" s="30"/>
      <c r="E736" s="30" t="s">
        <v>619</v>
      </c>
      <c r="F736" s="30" t="s">
        <v>30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883</v>
      </c>
      <c r="C737" s="30" t="s">
        <v>941</v>
      </c>
      <c r="D737" s="30"/>
      <c r="E737" s="30" t="s">
        <v>619</v>
      </c>
      <c r="F737" s="30" t="s">
        <v>30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883</v>
      </c>
      <c r="C738" s="30" t="s">
        <v>942</v>
      </c>
      <c r="D738" s="30"/>
      <c r="E738" s="30" t="s">
        <v>619</v>
      </c>
      <c r="F738" s="30" t="s">
        <v>30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883</v>
      </c>
      <c r="C739" s="30" t="s">
        <v>943</v>
      </c>
      <c r="D739" s="30"/>
      <c r="E739" s="30" t="s">
        <v>619</v>
      </c>
      <c r="F739" s="30" t="s">
        <v>30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883</v>
      </c>
      <c r="C740" s="30" t="s">
        <v>944</v>
      </c>
      <c r="D740" s="30"/>
      <c r="E740" s="30" t="s">
        <v>619</v>
      </c>
      <c r="F740" s="30" t="s">
        <v>30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883</v>
      </c>
      <c r="C741" s="30" t="s">
        <v>945</v>
      </c>
      <c r="D741" s="30"/>
      <c r="E741" s="30" t="s">
        <v>619</v>
      </c>
      <c r="F741" s="30" t="s">
        <v>30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883</v>
      </c>
      <c r="C742" s="30" t="s">
        <v>946</v>
      </c>
      <c r="D742" s="30"/>
      <c r="E742" s="30" t="s">
        <v>619</v>
      </c>
      <c r="F742" s="30" t="s">
        <v>30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883</v>
      </c>
      <c r="C743" s="30" t="s">
        <v>947</v>
      </c>
      <c r="D743" s="30"/>
      <c r="E743" s="30" t="s">
        <v>619</v>
      </c>
      <c r="F743" s="30" t="s">
        <v>30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883</v>
      </c>
      <c r="C744" s="30" t="s">
        <v>948</v>
      </c>
      <c r="D744" s="30"/>
      <c r="E744" s="30" t="s">
        <v>619</v>
      </c>
      <c r="F744" s="30" t="s">
        <v>30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883</v>
      </c>
      <c r="C745" s="30" t="s">
        <v>949</v>
      </c>
      <c r="D745" s="30"/>
      <c r="E745" s="30" t="s">
        <v>619</v>
      </c>
      <c r="F745" s="30" t="s">
        <v>30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883</v>
      </c>
      <c r="C746" s="30" t="s">
        <v>950</v>
      </c>
      <c r="D746" s="30"/>
      <c r="E746" s="30" t="s">
        <v>619</v>
      </c>
      <c r="F746" s="30" t="s">
        <v>30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883</v>
      </c>
      <c r="C747" s="30" t="s">
        <v>951</v>
      </c>
      <c r="D747" s="30"/>
      <c r="E747" s="30" t="s">
        <v>619</v>
      </c>
      <c r="F747" s="30" t="s">
        <v>30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883</v>
      </c>
      <c r="C748" s="30" t="s">
        <v>952</v>
      </c>
      <c r="D748" s="30"/>
      <c r="E748" s="30" t="s">
        <v>619</v>
      </c>
      <c r="F748" s="30" t="s">
        <v>30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883</v>
      </c>
      <c r="C749" s="30" t="s">
        <v>953</v>
      </c>
      <c r="D749" s="30"/>
      <c r="E749" s="30" t="s">
        <v>619</v>
      </c>
      <c r="F749" s="30" t="s">
        <v>30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954</v>
      </c>
      <c r="C750" s="30" t="s">
        <v>955</v>
      </c>
      <c r="D750" s="30"/>
      <c r="E750" s="30" t="s">
        <v>956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954</v>
      </c>
      <c r="C751" s="30" t="s">
        <v>957</v>
      </c>
      <c r="D751" s="30"/>
      <c r="E751" s="30" t="s">
        <v>956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954</v>
      </c>
      <c r="C752" s="30" t="s">
        <v>958</v>
      </c>
      <c r="D752" s="30"/>
      <c r="E752" s="30" t="s">
        <v>956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954</v>
      </c>
      <c r="C753" s="30" t="s">
        <v>959</v>
      </c>
      <c r="D753" s="30"/>
      <c r="E753" s="30" t="s">
        <v>956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954</v>
      </c>
      <c r="C754" s="30" t="s">
        <v>960</v>
      </c>
      <c r="D754" s="30"/>
      <c r="E754" s="30" t="s">
        <v>956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954</v>
      </c>
      <c r="C755" s="30" t="s">
        <v>961</v>
      </c>
      <c r="D755" s="30"/>
      <c r="E755" s="30" t="s">
        <v>956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954</v>
      </c>
      <c r="C756" s="30" t="s">
        <v>962</v>
      </c>
      <c r="D756" s="30"/>
      <c r="E756" s="30" t="s">
        <v>956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954</v>
      </c>
      <c r="C757" s="30" t="s">
        <v>963</v>
      </c>
      <c r="D757" s="30"/>
      <c r="E757" s="30" t="s">
        <v>956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954</v>
      </c>
      <c r="C758" s="30" t="s">
        <v>964</v>
      </c>
      <c r="D758" s="30"/>
      <c r="E758" s="30" t="s">
        <v>956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954</v>
      </c>
      <c r="C759" s="30" t="s">
        <v>965</v>
      </c>
      <c r="D759" s="30"/>
      <c r="E759" s="30" t="s">
        <v>956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954</v>
      </c>
      <c r="C760" s="30" t="s">
        <v>966</v>
      </c>
      <c r="D760" s="30"/>
      <c r="E760" s="30" t="s">
        <v>956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954</v>
      </c>
      <c r="C761" s="30" t="s">
        <v>967</v>
      </c>
      <c r="D761" s="30"/>
      <c r="E761" s="30" t="s">
        <v>956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954</v>
      </c>
      <c r="C762" s="30" t="s">
        <v>968</v>
      </c>
      <c r="D762" s="30"/>
      <c r="E762" s="30" t="s">
        <v>956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954</v>
      </c>
      <c r="C763" s="30" t="s">
        <v>969</v>
      </c>
      <c r="D763" s="30"/>
      <c r="E763" s="30" t="s">
        <v>956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954</v>
      </c>
      <c r="C764" s="30" t="s">
        <v>970</v>
      </c>
      <c r="D764" s="30"/>
      <c r="E764" s="30" t="s">
        <v>956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954</v>
      </c>
      <c r="C765" s="30" t="s">
        <v>971</v>
      </c>
      <c r="D765" s="30"/>
      <c r="E765" s="30" t="s">
        <v>956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954</v>
      </c>
      <c r="C766" s="30" t="s">
        <v>972</v>
      </c>
      <c r="D766" s="30"/>
      <c r="E766" s="30" t="s">
        <v>956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954</v>
      </c>
      <c r="C767" s="30" t="s">
        <v>973</v>
      </c>
      <c r="D767" s="30"/>
      <c r="E767" s="30" t="s">
        <v>956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954</v>
      </c>
      <c r="C768" s="30" t="s">
        <v>974</v>
      </c>
      <c r="D768" s="30"/>
      <c r="E768" s="30" t="s">
        <v>956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954</v>
      </c>
      <c r="C769" s="30" t="s">
        <v>975</v>
      </c>
      <c r="D769" s="30"/>
      <c r="E769" s="30" t="s">
        <v>956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954</v>
      </c>
      <c r="C770" s="30" t="s">
        <v>976</v>
      </c>
      <c r="D770" s="30"/>
      <c r="E770" s="30" t="s">
        <v>956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977</v>
      </c>
      <c r="C771" s="30" t="s">
        <v>978</v>
      </c>
      <c r="D771" s="30"/>
      <c r="E771" s="30" t="s">
        <v>956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977</v>
      </c>
      <c r="C772" s="30" t="s">
        <v>979</v>
      </c>
      <c r="D772" s="30"/>
      <c r="E772" s="30" t="s">
        <v>956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977</v>
      </c>
      <c r="C773" s="30" t="s">
        <v>980</v>
      </c>
      <c r="D773" s="30"/>
      <c r="E773" s="30" t="s">
        <v>956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977</v>
      </c>
      <c r="C774" s="30" t="s">
        <v>981</v>
      </c>
      <c r="D774" s="30"/>
      <c r="E774" s="30" t="s">
        <v>956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977</v>
      </c>
      <c r="C775" s="30" t="s">
        <v>982</v>
      </c>
      <c r="D775" s="30"/>
      <c r="E775" s="30" t="s">
        <v>956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977</v>
      </c>
      <c r="C776" s="30" t="s">
        <v>983</v>
      </c>
      <c r="D776" s="30"/>
      <c r="E776" s="30" t="s">
        <v>956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977</v>
      </c>
      <c r="C777" s="30" t="s">
        <v>984</v>
      </c>
      <c r="D777" s="30"/>
      <c r="E777" s="30" t="s">
        <v>956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977</v>
      </c>
      <c r="C778" s="30" t="s">
        <v>985</v>
      </c>
      <c r="D778" s="30"/>
      <c r="E778" s="30" t="s">
        <v>956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977</v>
      </c>
      <c r="C779" s="30" t="s">
        <v>986</v>
      </c>
      <c r="D779" s="30"/>
      <c r="E779" s="30" t="s">
        <v>956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977</v>
      </c>
      <c r="C780" s="30" t="s">
        <v>987</v>
      </c>
      <c r="D780" s="30"/>
      <c r="E780" s="30" t="s">
        <v>956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954</v>
      </c>
      <c r="C781" s="30" t="s">
        <v>988</v>
      </c>
      <c r="D781" s="30"/>
      <c r="E781" s="30" t="s">
        <v>956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989</v>
      </c>
      <c r="C782" s="30" t="s">
        <v>990</v>
      </c>
      <c r="D782" s="30"/>
      <c r="E782" s="30" t="s">
        <v>956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989</v>
      </c>
      <c r="C783" s="30" t="s">
        <v>991</v>
      </c>
      <c r="D783" s="30"/>
      <c r="E783" s="30" t="s">
        <v>956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989</v>
      </c>
      <c r="C784" s="30" t="s">
        <v>992</v>
      </c>
      <c r="D784" s="30"/>
      <c r="E784" s="30" t="s">
        <v>956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989</v>
      </c>
      <c r="C785" s="30" t="s">
        <v>993</v>
      </c>
      <c r="D785" s="30"/>
      <c r="E785" s="30" t="s">
        <v>956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51</v>
      </c>
      <c r="B786" s="30" t="s">
        <v>989</v>
      </c>
      <c r="C786" s="30" t="s">
        <v>994</v>
      </c>
      <c r="D786" s="30"/>
      <c r="E786" s="30" t="s">
        <v>956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51</v>
      </c>
      <c r="B787" s="30" t="s">
        <v>989</v>
      </c>
      <c r="C787" s="30" t="s">
        <v>995</v>
      </c>
      <c r="D787" s="30"/>
      <c r="E787" s="30" t="s">
        <v>956</v>
      </c>
      <c r="F787" s="30" t="s">
        <v>119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51</v>
      </c>
      <c r="B788" s="30" t="s">
        <v>977</v>
      </c>
      <c r="C788" s="30" t="s">
        <v>996</v>
      </c>
      <c r="D788" s="30"/>
      <c r="E788" s="30" t="s">
        <v>956</v>
      </c>
      <c r="F788" s="30" t="s">
        <v>119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51</v>
      </c>
      <c r="B789" s="30" t="s">
        <v>977</v>
      </c>
      <c r="C789" s="30" t="s">
        <v>997</v>
      </c>
      <c r="D789" s="30"/>
      <c r="E789" s="30" t="s">
        <v>956</v>
      </c>
      <c r="F789" s="30" t="s">
        <v>119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51</v>
      </c>
      <c r="B790" s="30" t="s">
        <v>977</v>
      </c>
      <c r="C790" s="30" t="s">
        <v>998</v>
      </c>
      <c r="D790" s="30"/>
      <c r="E790" s="30" t="s">
        <v>956</v>
      </c>
      <c r="F790" s="30" t="s">
        <v>119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51</v>
      </c>
      <c r="B791" s="30" t="s">
        <v>977</v>
      </c>
      <c r="C791" s="30" t="s">
        <v>999</v>
      </c>
      <c r="D791" s="30"/>
      <c r="E791" s="30" t="s">
        <v>956</v>
      </c>
      <c r="F791" s="30" t="s">
        <v>119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51</v>
      </c>
      <c r="B792" s="30" t="s">
        <v>977</v>
      </c>
      <c r="C792" s="30" t="s">
        <v>1000</v>
      </c>
      <c r="D792" s="30"/>
      <c r="E792" s="30" t="s">
        <v>956</v>
      </c>
      <c r="F792" s="30" t="s">
        <v>119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51</v>
      </c>
      <c r="B793" s="30" t="s">
        <v>977</v>
      </c>
      <c r="C793" s="30" t="s">
        <v>1001</v>
      </c>
      <c r="D793" s="30"/>
      <c r="E793" s="30" t="s">
        <v>956</v>
      </c>
      <c r="F793" s="30" t="s">
        <v>119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51</v>
      </c>
      <c r="B794" s="30" t="s">
        <v>977</v>
      </c>
      <c r="C794" s="30" t="s">
        <v>1002</v>
      </c>
      <c r="D794" s="30"/>
      <c r="E794" s="30" t="s">
        <v>956</v>
      </c>
      <c r="F794" s="30" t="s">
        <v>119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51</v>
      </c>
      <c r="B795" s="30" t="s">
        <v>1003</v>
      </c>
      <c r="C795" s="30" t="s">
        <v>1004</v>
      </c>
      <c r="D795" s="30"/>
      <c r="E795" s="30" t="s">
        <v>956</v>
      </c>
      <c r="F795" s="30" t="s">
        <v>119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51</v>
      </c>
      <c r="B796" s="30" t="s">
        <v>1003</v>
      </c>
      <c r="C796" s="30" t="s">
        <v>1005</v>
      </c>
      <c r="D796" s="30"/>
      <c r="E796" s="30" t="s">
        <v>956</v>
      </c>
      <c r="F796" s="30" t="s">
        <v>119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51</v>
      </c>
      <c r="B797" s="30" t="s">
        <v>1003</v>
      </c>
      <c r="C797" s="30" t="s">
        <v>1006</v>
      </c>
      <c r="D797" s="30"/>
      <c r="E797" s="30" t="s">
        <v>956</v>
      </c>
      <c r="F797" s="30" t="s">
        <v>119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51</v>
      </c>
      <c r="B798" s="30" t="s">
        <v>1003</v>
      </c>
      <c r="C798" s="30" t="s">
        <v>1007</v>
      </c>
      <c r="D798" s="30"/>
      <c r="E798" s="30" t="s">
        <v>956</v>
      </c>
      <c r="F798" s="30" t="s">
        <v>119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51</v>
      </c>
      <c r="B799" s="30" t="s">
        <v>1003</v>
      </c>
      <c r="C799" s="30" t="s">
        <v>1008</v>
      </c>
      <c r="D799" s="30"/>
      <c r="E799" s="30" t="s">
        <v>956</v>
      </c>
      <c r="F799" s="30" t="s">
        <v>119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51</v>
      </c>
      <c r="B800" s="30" t="s">
        <v>1003</v>
      </c>
      <c r="C800" s="30" t="s">
        <v>1009</v>
      </c>
      <c r="D800" s="30"/>
      <c r="E800" s="30" t="s">
        <v>956</v>
      </c>
      <c r="F800" s="30" t="s">
        <v>119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51</v>
      </c>
      <c r="B801" s="30" t="s">
        <v>1003</v>
      </c>
      <c r="C801" s="30" t="s">
        <v>1010</v>
      </c>
      <c r="D801" s="30"/>
      <c r="E801" s="30" t="s">
        <v>956</v>
      </c>
      <c r="F801" s="30" t="s">
        <v>119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51</v>
      </c>
      <c r="B802" s="30" t="s">
        <v>1003</v>
      </c>
      <c r="C802" s="30" t="s">
        <v>1011</v>
      </c>
      <c r="D802" s="30"/>
      <c r="E802" s="30" t="s">
        <v>956</v>
      </c>
      <c r="F802" s="30" t="s">
        <v>119</v>
      </c>
      <c r="G802" s="31">
        <v>46219</v>
      </c>
      <c r="H802" s="31"/>
      <c r="I802" s="32">
        <f>IF(OR($G802="",$H802=""),"",$H802-$G802)</f>
        <v>0</v>
      </c>
      <c r="J802" s="30"/>
    </row>
    <row r="803" spans="1:10">
      <c r="A803" s="30" t="s">
        <v>1012</v>
      </c>
      <c r="B803" s="30" t="s">
        <v>770</v>
      </c>
      <c r="C803" s="30" t="s">
        <v>1013</v>
      </c>
      <c r="D803" s="30"/>
      <c r="E803" s="30" t="s">
        <v>1014</v>
      </c>
      <c r="F803" s="30" t="s">
        <v>119</v>
      </c>
      <c r="G803" s="31">
        <v>46219</v>
      </c>
      <c r="H803" s="31"/>
      <c r="I803" s="32">
        <f>IF(OR($G803="",$H803=""),"",$H803-$G803)</f>
        <v>0</v>
      </c>
      <c r="J803" s="30"/>
    </row>
    <row r="804" spans="1:10">
      <c r="A804" s="30" t="s">
        <v>26</v>
      </c>
      <c r="B804" s="30" t="s">
        <v>223</v>
      </c>
      <c r="C804" s="30" t="s">
        <v>1015</v>
      </c>
      <c r="D804" s="30"/>
      <c r="E804" s="30" t="s">
        <v>1016</v>
      </c>
      <c r="F804" s="30" t="s">
        <v>30</v>
      </c>
      <c r="G804" s="31">
        <v>46219</v>
      </c>
      <c r="H804" s="31"/>
      <c r="I804" s="32">
        <f>IF(OR($G804="",$H804=""),"",$H804-$G804)</f>
        <v>0</v>
      </c>
      <c r="J804" s="30"/>
    </row>
    <row r="805" spans="1:10">
      <c r="A805" s="30" t="s">
        <v>26</v>
      </c>
      <c r="B805" s="30" t="s">
        <v>223</v>
      </c>
      <c r="C805" s="30" t="s">
        <v>1017</v>
      </c>
      <c r="D805" s="30"/>
      <c r="E805" s="30" t="s">
        <v>1016</v>
      </c>
      <c r="F805" s="30" t="s">
        <v>30</v>
      </c>
      <c r="G805" s="31">
        <v>46219</v>
      </c>
      <c r="H805" s="31"/>
      <c r="I805" s="32">
        <f>IF(OR($G805="",$H805=""),"",$H805-$G805)</f>
        <v>0</v>
      </c>
      <c r="J805" s="30"/>
    </row>
    <row r="806" spans="1:10">
      <c r="A806" s="30" t="s">
        <v>26</v>
      </c>
      <c r="B806" s="30" t="s">
        <v>223</v>
      </c>
      <c r="C806" s="30" t="s">
        <v>1018</v>
      </c>
      <c r="D806" s="30"/>
      <c r="E806" s="30" t="s">
        <v>1016</v>
      </c>
      <c r="F806" s="30" t="s">
        <v>30</v>
      </c>
      <c r="G806" s="31">
        <v>46219</v>
      </c>
      <c r="H806" s="31"/>
      <c r="I806" s="32">
        <f>IF(OR($G806="",$H806=""),"",$H806-$G806)</f>
        <v>0</v>
      </c>
      <c r="J806" s="30"/>
    </row>
    <row r="807" spans="1:10">
      <c r="A807" s="30" t="s">
        <v>26</v>
      </c>
      <c r="B807" s="30" t="s">
        <v>223</v>
      </c>
      <c r="C807" s="30" t="s">
        <v>1019</v>
      </c>
      <c r="D807" s="30"/>
      <c r="E807" s="30" t="s">
        <v>1016</v>
      </c>
      <c r="F807" s="30" t="s">
        <v>30</v>
      </c>
      <c r="G807" s="31">
        <v>46219</v>
      </c>
      <c r="H807" s="31"/>
      <c r="I807" s="32">
        <f>IF(OR($G807="",$H807=""),"",$H807-$G807)</f>
        <v>0</v>
      </c>
      <c r="J807" s="30"/>
    </row>
    <row r="808" spans="1:10">
      <c r="A808" s="30" t="s">
        <v>26</v>
      </c>
      <c r="B808" s="30" t="s">
        <v>223</v>
      </c>
      <c r="C808" s="30" t="s">
        <v>1020</v>
      </c>
      <c r="D808" s="30"/>
      <c r="E808" s="30" t="s">
        <v>1016</v>
      </c>
      <c r="F808" s="30" t="s">
        <v>30</v>
      </c>
      <c r="G808" s="31">
        <v>46219</v>
      </c>
      <c r="H808" s="31"/>
      <c r="I808" s="32">
        <f>IF(OR($G808="",$H808=""),"",$H808-$G808)</f>
        <v>0</v>
      </c>
      <c r="J808" s="30"/>
    </row>
    <row r="809" spans="1:10">
      <c r="A809" s="30" t="s">
        <v>26</v>
      </c>
      <c r="B809" s="30" t="s">
        <v>223</v>
      </c>
      <c r="C809" s="30" t="s">
        <v>1021</v>
      </c>
      <c r="D809" s="30"/>
      <c r="E809" s="30" t="s">
        <v>1016</v>
      </c>
      <c r="F809" s="30" t="s">
        <v>30</v>
      </c>
      <c r="G809" s="31">
        <v>46219</v>
      </c>
      <c r="H809" s="31"/>
      <c r="I809" s="32">
        <f>IF(OR($G809="",$H809=""),"",$H809-$G809)</f>
        <v>0</v>
      </c>
      <c r="J809" s="30"/>
    </row>
    <row r="810" spans="1:10">
      <c r="A810" s="30" t="s">
        <v>26</v>
      </c>
      <c r="B810" s="30" t="s">
        <v>223</v>
      </c>
      <c r="C810" s="30" t="s">
        <v>1022</v>
      </c>
      <c r="D810" s="30"/>
      <c r="E810" s="30" t="s">
        <v>1016</v>
      </c>
      <c r="F810" s="30" t="s">
        <v>30</v>
      </c>
      <c r="G810" s="31">
        <v>46219</v>
      </c>
      <c r="H810" s="31"/>
      <c r="I810" s="32">
        <f>IF(OR($G810="",$H810=""),"",$H810-$G810)</f>
        <v>0</v>
      </c>
      <c r="J810" s="30"/>
    </row>
    <row r="811" spans="1:10">
      <c r="A811" s="30" t="s">
        <v>26</v>
      </c>
      <c r="B811" s="30" t="s">
        <v>223</v>
      </c>
      <c r="C811" s="30" t="s">
        <v>1023</v>
      </c>
      <c r="D811" s="30"/>
      <c r="E811" s="30" t="s">
        <v>1016</v>
      </c>
      <c r="F811" s="30" t="s">
        <v>30</v>
      </c>
      <c r="G811" s="31">
        <v>46219</v>
      </c>
      <c r="H811" s="31"/>
      <c r="I811" s="32">
        <f>IF(OR($G811="",$H811=""),"",$H811-$G811)</f>
        <v>0</v>
      </c>
      <c r="J811" s="30"/>
    </row>
    <row r="812" spans="1:10">
      <c r="A812" s="30" t="s">
        <v>26</v>
      </c>
      <c r="B812" s="30" t="s">
        <v>223</v>
      </c>
      <c r="C812" s="30" t="s">
        <v>1024</v>
      </c>
      <c r="D812" s="30"/>
      <c r="E812" s="30" t="s">
        <v>1016</v>
      </c>
      <c r="F812" s="30" t="s">
        <v>30</v>
      </c>
      <c r="G812" s="31">
        <v>46219</v>
      </c>
      <c r="H812" s="31"/>
      <c r="I812" s="32">
        <f>IF(OR($G812="",$H812=""),"",$H812-$G812)</f>
        <v>0</v>
      </c>
      <c r="J812" s="30"/>
    </row>
    <row r="813" spans="1:10">
      <c r="A813" s="30" t="s">
        <v>26</v>
      </c>
      <c r="B813" s="30" t="s">
        <v>223</v>
      </c>
      <c r="C813" s="30" t="s">
        <v>1025</v>
      </c>
      <c r="D813" s="30"/>
      <c r="E813" s="30" t="s">
        <v>1016</v>
      </c>
      <c r="F813" s="30" t="s">
        <v>30</v>
      </c>
      <c r="G813" s="31">
        <v>46219</v>
      </c>
      <c r="H813" s="31"/>
      <c r="I813" s="32">
        <f>IF(OR($G813="",$H813=""),"",$H813-$G813)</f>
        <v>0</v>
      </c>
      <c r="J813" s="30"/>
    </row>
    <row r="814" spans="1:10">
      <c r="A814" s="30" t="s">
        <v>26</v>
      </c>
      <c r="B814" s="30" t="s">
        <v>223</v>
      </c>
      <c r="C814" s="30" t="s">
        <v>1026</v>
      </c>
      <c r="D814" s="30"/>
      <c r="E814" s="30" t="s">
        <v>1016</v>
      </c>
      <c r="F814" s="30" t="s">
        <v>30</v>
      </c>
      <c r="G814" s="31">
        <v>46219</v>
      </c>
      <c r="H814" s="31"/>
      <c r="I814" s="32">
        <f>IF(OR($G814="",$H814=""),"",$H814-$G814)</f>
        <v>0</v>
      </c>
      <c r="J814" s="30"/>
    </row>
    <row r="815" spans="1:10">
      <c r="A815" s="30" t="s">
        <v>26</v>
      </c>
      <c r="B815" s="30" t="s">
        <v>223</v>
      </c>
      <c r="C815" s="30" t="s">
        <v>1027</v>
      </c>
      <c r="D815" s="30"/>
      <c r="E815" s="30" t="s">
        <v>1016</v>
      </c>
      <c r="F815" s="30" t="s">
        <v>30</v>
      </c>
      <c r="G815" s="31">
        <v>46219</v>
      </c>
      <c r="H815" s="31"/>
      <c r="I815" s="32">
        <f>IF(OR($G815="",$H815=""),"",$H815-$G815)</f>
        <v>0</v>
      </c>
      <c r="J815" s="30"/>
    </row>
    <row r="816" spans="1:10">
      <c r="A816" s="30" t="s">
        <v>26</v>
      </c>
      <c r="B816" s="30" t="s">
        <v>223</v>
      </c>
      <c r="C816" s="30" t="s">
        <v>1028</v>
      </c>
      <c r="D816" s="30"/>
      <c r="E816" s="30" t="s">
        <v>1016</v>
      </c>
      <c r="F816" s="30" t="s">
        <v>30</v>
      </c>
      <c r="G816" s="31">
        <v>46219</v>
      </c>
      <c r="H816" s="31"/>
      <c r="I816" s="32">
        <f>IF(OR($G816="",$H816=""),"",$H816-$G816)</f>
        <v>0</v>
      </c>
      <c r="J816" s="30"/>
    </row>
    <row r="817" spans="1:10">
      <c r="A817" s="30" t="s">
        <v>26</v>
      </c>
      <c r="B817" s="30" t="s">
        <v>223</v>
      </c>
      <c r="C817" s="30" t="s">
        <v>1029</v>
      </c>
      <c r="D817" s="30"/>
      <c r="E817" s="30" t="s">
        <v>1016</v>
      </c>
      <c r="F817" s="30" t="s">
        <v>30</v>
      </c>
      <c r="G817" s="31">
        <v>46219</v>
      </c>
      <c r="H817" s="31"/>
      <c r="I817" s="32">
        <f>IF(OR($G817="",$H817=""),"",$H817-$G817)</f>
        <v>0</v>
      </c>
      <c r="J817" s="30"/>
    </row>
    <row r="818" spans="1:10">
      <c r="A818" s="30" t="s">
        <v>26</v>
      </c>
      <c r="B818" s="30" t="s">
        <v>223</v>
      </c>
      <c r="C818" s="30" t="s">
        <v>1030</v>
      </c>
      <c r="D818" s="30"/>
      <c r="E818" s="30" t="s">
        <v>1016</v>
      </c>
      <c r="F818" s="30" t="s">
        <v>30</v>
      </c>
      <c r="G818" s="31">
        <v>46219</v>
      </c>
      <c r="H818" s="31"/>
      <c r="I818" s="32">
        <f>IF(OR($G818="",$H818=""),"",$H818-$G818)</f>
        <v>0</v>
      </c>
      <c r="J818" s="30"/>
    </row>
    <row r="819" spans="1:10">
      <c r="A819" s="30" t="s">
        <v>1031</v>
      </c>
      <c r="B819" s="30" t="s">
        <v>1032</v>
      </c>
      <c r="C819" s="30" t="s">
        <v>1033</v>
      </c>
      <c r="D819" s="30"/>
      <c r="E819" s="30"/>
      <c r="F819" s="30" t="s">
        <v>30</v>
      </c>
      <c r="G819" s="31">
        <v>46220</v>
      </c>
      <c r="H819" s="31"/>
      <c r="I819" s="32">
        <f>IF(OR($G819="",$H819=""),"",$H819-$G819)</f>
        <v>0</v>
      </c>
      <c r="J819" s="30"/>
    </row>
    <row r="820" spans="1:10">
      <c r="A820" s="30" t="s">
        <v>1031</v>
      </c>
      <c r="B820" s="30" t="s">
        <v>1032</v>
      </c>
      <c r="C820" s="30" t="s">
        <v>1034</v>
      </c>
      <c r="D820" s="30"/>
      <c r="E820" s="30"/>
      <c r="F820" s="30" t="s">
        <v>30</v>
      </c>
      <c r="G820" s="31">
        <v>46220</v>
      </c>
      <c r="H820" s="31"/>
      <c r="I820" s="32">
        <f>IF(OR($G820="",$H820=""),"",$H820-$G820)</f>
        <v>0</v>
      </c>
      <c r="J820" s="30"/>
    </row>
    <row r="821" spans="1:10">
      <c r="A821" s="30" t="s">
        <v>1031</v>
      </c>
      <c r="B821" s="30" t="s">
        <v>1032</v>
      </c>
      <c r="C821" s="30" t="s">
        <v>1035</v>
      </c>
      <c r="D821" s="30"/>
      <c r="E821" s="30"/>
      <c r="F821" s="30" t="s">
        <v>30</v>
      </c>
      <c r="G821" s="31">
        <v>46220</v>
      </c>
      <c r="H821" s="31"/>
      <c r="I821" s="32">
        <f>IF(OR($G821="",$H821=""),"",$H821-$G821)</f>
        <v>0</v>
      </c>
      <c r="J821" s="30"/>
    </row>
    <row r="822" spans="1:10">
      <c r="A822" s="30" t="s">
        <v>1031</v>
      </c>
      <c r="B822" s="30" t="s">
        <v>1032</v>
      </c>
      <c r="C822" s="30" t="s">
        <v>1036</v>
      </c>
      <c r="D822" s="30"/>
      <c r="E822" s="30"/>
      <c r="F822" s="30" t="s">
        <v>30</v>
      </c>
      <c r="G822" s="31">
        <v>46220</v>
      </c>
      <c r="H822" s="31"/>
      <c r="I822" s="32">
        <f>IF(OR($G822="",$H822=""),"",$H822-$G822)</f>
        <v>0</v>
      </c>
      <c r="J822" s="30"/>
    </row>
    <row r="823" spans="1:10">
      <c r="A823" s="30" t="s">
        <v>1031</v>
      </c>
      <c r="B823" s="30" t="s">
        <v>1037</v>
      </c>
      <c r="C823" s="30" t="s">
        <v>1038</v>
      </c>
      <c r="D823" s="30"/>
      <c r="E823" s="30"/>
      <c r="F823" s="30" t="s">
        <v>30</v>
      </c>
      <c r="G823" s="31">
        <v>46220</v>
      </c>
      <c r="H823" s="31"/>
      <c r="I823" s="32">
        <f>IF(OR($G823="",$H823=""),"",$H823-$G823)</f>
        <v>0</v>
      </c>
      <c r="J823" s="30"/>
    </row>
    <row r="824" spans="1:10">
      <c r="A824" s="30" t="s">
        <v>1031</v>
      </c>
      <c r="B824" s="30" t="s">
        <v>1037</v>
      </c>
      <c r="C824" s="30" t="s">
        <v>1039</v>
      </c>
      <c r="D824" s="30"/>
      <c r="E824" s="30"/>
      <c r="F824" s="30" t="s">
        <v>30</v>
      </c>
      <c r="G824" s="31">
        <v>46220</v>
      </c>
      <c r="H824" s="31"/>
      <c r="I824" s="32">
        <f>IF(OR($G824="",$H824=""),"",$H824-$G824)</f>
        <v>0</v>
      </c>
      <c r="J824" s="30"/>
    </row>
    <row r="825" spans="1:10">
      <c r="A825" s="30" t="s">
        <v>1031</v>
      </c>
      <c r="B825" s="30" t="s">
        <v>1037</v>
      </c>
      <c r="C825" s="30" t="s">
        <v>1040</v>
      </c>
      <c r="D825" s="30"/>
      <c r="E825" s="30"/>
      <c r="F825" s="30" t="s">
        <v>30</v>
      </c>
      <c r="G825" s="31">
        <v>46220</v>
      </c>
      <c r="H825" s="31"/>
      <c r="I825" s="32">
        <f>IF(OR($G825="",$H825=""),"",$H825-$G825)</f>
        <v>0</v>
      </c>
      <c r="J825" s="30"/>
    </row>
    <row r="826" spans="1:10">
      <c r="A826" s="30" t="s">
        <v>51</v>
      </c>
      <c r="B826" s="30" t="s">
        <v>754</v>
      </c>
      <c r="C826" s="30" t="s">
        <v>1041</v>
      </c>
      <c r="D826" s="30"/>
      <c r="E826" s="30" t="s">
        <v>956</v>
      </c>
      <c r="F826" s="30" t="s">
        <v>91</v>
      </c>
      <c r="G826" s="31">
        <v>46227</v>
      </c>
      <c r="H826" s="31"/>
      <c r="I826" s="32">
        <f>IF(OR($G826="",$H826=""),"",$H826-$G826)</f>
        <v>0</v>
      </c>
      <c r="J826" s="30"/>
    </row>
    <row r="827" spans="1:10">
      <c r="A827" s="30" t="s">
        <v>51</v>
      </c>
      <c r="B827" s="30" t="s">
        <v>720</v>
      </c>
      <c r="C827" s="30" t="s">
        <v>1042</v>
      </c>
      <c r="D827" s="30"/>
      <c r="E827" s="30" t="s">
        <v>956</v>
      </c>
      <c r="F827" s="30" t="s">
        <v>91</v>
      </c>
      <c r="G827" s="31">
        <v>46227</v>
      </c>
      <c r="H827" s="31"/>
      <c r="I827" s="32">
        <f>IF(OR($G827="",$H827=""),"",$H827-$G827)</f>
        <v>0</v>
      </c>
      <c r="J827" s="30"/>
    </row>
    <row r="828" spans="1:10">
      <c r="A828" s="30" t="s">
        <v>51</v>
      </c>
      <c r="B828" s="30" t="s">
        <v>720</v>
      </c>
      <c r="C828" s="30" t="s">
        <v>1043</v>
      </c>
      <c r="D828" s="30"/>
      <c r="E828" s="30" t="s">
        <v>956</v>
      </c>
      <c r="F828" s="30" t="s">
        <v>91</v>
      </c>
      <c r="G828" s="31">
        <v>46227</v>
      </c>
      <c r="H828" s="31"/>
      <c r="I828" s="32">
        <f>IF(OR($G828="",$H828=""),"",$H828-$G828)</f>
        <v>0</v>
      </c>
      <c r="J828" s="30"/>
    </row>
    <row r="829" spans="1:10">
      <c r="A829" s="30" t="s">
        <v>51</v>
      </c>
      <c r="B829" s="30" t="s">
        <v>720</v>
      </c>
      <c r="C829" s="30" t="s">
        <v>1044</v>
      </c>
      <c r="D829" s="30"/>
      <c r="E829" s="30" t="s">
        <v>956</v>
      </c>
      <c r="F829" s="30" t="s">
        <v>91</v>
      </c>
      <c r="G829" s="31">
        <v>46227</v>
      </c>
      <c r="H829" s="31"/>
      <c r="I829" s="32">
        <f>IF(OR($G829="",$H829=""),"",$H829-$G829)</f>
        <v>0</v>
      </c>
      <c r="J829" s="30"/>
    </row>
    <row r="830" spans="1:10">
      <c r="A830" s="30" t="s">
        <v>1045</v>
      </c>
      <c r="B830" s="30" t="s">
        <v>791</v>
      </c>
      <c r="C830" s="30" t="s">
        <v>1046</v>
      </c>
      <c r="D830" s="30"/>
      <c r="E830" s="30" t="s">
        <v>1047</v>
      </c>
      <c r="F830" s="30" t="s">
        <v>91</v>
      </c>
      <c r="G830" s="31">
        <v>46227</v>
      </c>
      <c r="H830" s="31"/>
      <c r="I830" s="32">
        <f>IF(OR($G830="",$H830=""),"",$H830-$G830)</f>
        <v>0</v>
      </c>
      <c r="J830" s="30"/>
    </row>
    <row r="831" spans="1:10">
      <c r="A831" s="30" t="s">
        <v>1045</v>
      </c>
      <c r="B831" s="30" t="s">
        <v>770</v>
      </c>
      <c r="C831" s="30" t="s">
        <v>1048</v>
      </c>
      <c r="D831" s="30"/>
      <c r="E831" s="30" t="s">
        <v>1047</v>
      </c>
      <c r="F831" s="30" t="s">
        <v>91</v>
      </c>
      <c r="G831" s="31">
        <v>46227</v>
      </c>
      <c r="H831" s="31"/>
      <c r="I831" s="32">
        <f>IF(OR($G831="",$H831=""),"",$H831-$G831)</f>
        <v>0</v>
      </c>
      <c r="J831" s="30"/>
    </row>
    <row r="832" spans="1:10">
      <c r="A832" s="30" t="s">
        <v>1045</v>
      </c>
      <c r="B832" s="30" t="s">
        <v>770</v>
      </c>
      <c r="C832" s="30" t="s">
        <v>1049</v>
      </c>
      <c r="D832" s="30"/>
      <c r="E832" s="30" t="s">
        <v>1047</v>
      </c>
      <c r="F832" s="30" t="s">
        <v>91</v>
      </c>
      <c r="G832" s="31">
        <v>46227</v>
      </c>
      <c r="H832" s="31"/>
      <c r="I832" s="32">
        <f>IF(OR($G832="",$H832=""),"",$H832-$G832)</f>
        <v>0</v>
      </c>
      <c r="J832" s="30"/>
    </row>
    <row r="833" spans="1:10">
      <c r="A833" s="30" t="s">
        <v>1045</v>
      </c>
      <c r="B833" s="30" t="s">
        <v>770</v>
      </c>
      <c r="C833" s="30" t="s">
        <v>1050</v>
      </c>
      <c r="D833" s="30"/>
      <c r="E833" s="30" t="s">
        <v>1047</v>
      </c>
      <c r="F833" s="30" t="s">
        <v>91</v>
      </c>
      <c r="G833" s="31">
        <v>46227</v>
      </c>
      <c r="H833" s="31"/>
      <c r="I833" s="32">
        <f>IF(OR($G833="",$H833=""),"",$H833-$G833)</f>
        <v>0</v>
      </c>
      <c r="J833" s="30"/>
    </row>
    <row r="834" spans="1:10">
      <c r="A834" s="30" t="s">
        <v>1045</v>
      </c>
      <c r="B834" s="30" t="s">
        <v>770</v>
      </c>
      <c r="C834" s="30" t="s">
        <v>1051</v>
      </c>
      <c r="D834" s="30"/>
      <c r="E834" s="30" t="s">
        <v>1047</v>
      </c>
      <c r="F834" s="30" t="s">
        <v>91</v>
      </c>
      <c r="G834" s="31">
        <v>46227</v>
      </c>
      <c r="H834" s="31"/>
      <c r="I834" s="32">
        <f>IF(OR($G834="",$H834=""),"",$H834-$G834)</f>
        <v>0</v>
      </c>
      <c r="J834" s="30"/>
    </row>
    <row r="835" spans="1:10">
      <c r="A835" s="30" t="s">
        <v>1045</v>
      </c>
      <c r="B835" s="30" t="s">
        <v>791</v>
      </c>
      <c r="C835" s="30" t="s">
        <v>1052</v>
      </c>
      <c r="D835" s="30"/>
      <c r="E835" s="30" t="s">
        <v>1047</v>
      </c>
      <c r="F835" s="30" t="s">
        <v>91</v>
      </c>
      <c r="G835" s="31">
        <v>46227</v>
      </c>
      <c r="H835" s="31"/>
      <c r="I835" s="32">
        <f>IF(OR($G835="",$H835=""),"",$H835-$G835)</f>
        <v>0</v>
      </c>
      <c r="J835" s="30"/>
    </row>
    <row r="836" spans="1:10">
      <c r="A836" s="30" t="s">
        <v>1053</v>
      </c>
      <c r="B836" s="30" t="s">
        <v>647</v>
      </c>
      <c r="C836" s="30" t="s">
        <v>1054</v>
      </c>
      <c r="D836" s="30"/>
      <c r="E836" s="30" t="s">
        <v>1055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1053</v>
      </c>
      <c r="B837" s="30" t="s">
        <v>647</v>
      </c>
      <c r="C837" s="30" t="s">
        <v>1056</v>
      </c>
      <c r="D837" s="30"/>
      <c r="E837" s="30" t="s">
        <v>1055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1053</v>
      </c>
      <c r="B838" s="30" t="s">
        <v>647</v>
      </c>
      <c r="C838" s="30" t="s">
        <v>1057</v>
      </c>
      <c r="D838" s="30"/>
      <c r="E838" s="30" t="s">
        <v>1055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1053</v>
      </c>
      <c r="B839" s="30" t="s">
        <v>647</v>
      </c>
      <c r="C839" s="30" t="s">
        <v>1058</v>
      </c>
      <c r="D839" s="30"/>
      <c r="E839" s="30" t="s">
        <v>1055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1053</v>
      </c>
      <c r="B840" s="30" t="s">
        <v>647</v>
      </c>
      <c r="C840" s="30" t="s">
        <v>1059</v>
      </c>
      <c r="D840" s="30"/>
      <c r="E840" s="30" t="s">
        <v>1055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1053</v>
      </c>
      <c r="B841" s="30" t="s">
        <v>647</v>
      </c>
      <c r="C841" s="30" t="s">
        <v>1060</v>
      </c>
      <c r="D841" s="30"/>
      <c r="E841" s="30" t="s">
        <v>1055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1053</v>
      </c>
      <c r="B842" s="30" t="s">
        <v>647</v>
      </c>
      <c r="C842" s="30" t="s">
        <v>1061</v>
      </c>
      <c r="D842" s="30"/>
      <c r="E842" s="30" t="s">
        <v>1055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1053</v>
      </c>
      <c r="B843" s="30" t="s">
        <v>647</v>
      </c>
      <c r="C843" s="30" t="s">
        <v>1062</v>
      </c>
      <c r="D843" s="30"/>
      <c r="E843" s="30" t="s">
        <v>1055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1053</v>
      </c>
      <c r="B844" s="30" t="s">
        <v>647</v>
      </c>
      <c r="C844" s="30" t="s">
        <v>1063</v>
      </c>
      <c r="D844" s="30"/>
      <c r="E844" s="30" t="s">
        <v>1055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1053</v>
      </c>
      <c r="B845" s="30" t="s">
        <v>647</v>
      </c>
      <c r="C845" s="30" t="s">
        <v>1064</v>
      </c>
      <c r="D845" s="30"/>
      <c r="E845" s="30" t="s">
        <v>1055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1053</v>
      </c>
      <c r="B846" s="30" t="s">
        <v>647</v>
      </c>
      <c r="C846" s="30" t="s">
        <v>1065</v>
      </c>
      <c r="D846" s="30"/>
      <c r="E846" s="30" t="s">
        <v>1055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1066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1067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1068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86</v>
      </c>
      <c r="B850" s="30" t="s">
        <v>104</v>
      </c>
      <c r="C850" s="30" t="s">
        <v>1069</v>
      </c>
      <c r="D850" s="30"/>
      <c r="E850" s="30" t="s">
        <v>89</v>
      </c>
      <c r="F850" s="30" t="s">
        <v>30</v>
      </c>
      <c r="G850" s="31">
        <v>46231</v>
      </c>
      <c r="H850" s="31"/>
      <c r="I850" s="32">
        <f>IF(OR($G850="",$H850=""),"",$H850-$G850)</f>
        <v>0</v>
      </c>
      <c r="J850" s="30"/>
    </row>
    <row r="851" spans="1:10">
      <c r="A851" s="30" t="s">
        <v>86</v>
      </c>
      <c r="B851" s="30" t="s">
        <v>104</v>
      </c>
      <c r="C851" s="30" t="s">
        <v>1070</v>
      </c>
      <c r="D851" s="30"/>
      <c r="E851" s="30" t="s">
        <v>89</v>
      </c>
      <c r="F851" s="30" t="s">
        <v>30</v>
      </c>
      <c r="G851" s="31">
        <v>46231</v>
      </c>
      <c r="H851" s="31"/>
      <c r="I851" s="32">
        <f>IF(OR($G851="",$H851=""),"",$H851-$G851)</f>
        <v>0</v>
      </c>
      <c r="J851" s="30"/>
    </row>
    <row r="852" spans="1:10">
      <c r="A852" s="30" t="s">
        <v>86</v>
      </c>
      <c r="B852" s="30" t="s">
        <v>104</v>
      </c>
      <c r="C852" s="30" t="s">
        <v>1071</v>
      </c>
      <c r="D852" s="30"/>
      <c r="E852" s="30" t="s">
        <v>89</v>
      </c>
      <c r="F852" s="30" t="s">
        <v>30</v>
      </c>
      <c r="G852" s="31">
        <v>46231</v>
      </c>
      <c r="H852" s="31"/>
      <c r="I852" s="32">
        <f>IF(OR($G852="",$H852=""),"",$H852-$G852)</f>
        <v>0</v>
      </c>
      <c r="J852" s="30"/>
    </row>
    <row r="853" spans="1:10">
      <c r="A853" s="30" t="s">
        <v>86</v>
      </c>
      <c r="B853" s="30" t="s">
        <v>104</v>
      </c>
      <c r="C853" s="30" t="s">
        <v>1072</v>
      </c>
      <c r="D853" s="30"/>
      <c r="E853" s="30" t="s">
        <v>89</v>
      </c>
      <c r="F853" s="30" t="s">
        <v>30</v>
      </c>
      <c r="G853" s="31">
        <v>46231</v>
      </c>
      <c r="H853" s="31"/>
      <c r="I853" s="32">
        <f>IF(OR($G853="",$H853=""),"",$H853-$G853)</f>
        <v>0</v>
      </c>
      <c r="J853" s="30"/>
    </row>
    <row r="854" spans="1:10">
      <c r="A854" s="30" t="s">
        <v>86</v>
      </c>
      <c r="B854" s="30" t="s">
        <v>104</v>
      </c>
      <c r="C854" s="30" t="s">
        <v>1073</v>
      </c>
      <c r="D854" s="30"/>
      <c r="E854" s="30" t="s">
        <v>89</v>
      </c>
      <c r="F854" s="30" t="s">
        <v>30</v>
      </c>
      <c r="G854" s="31">
        <v>46231</v>
      </c>
      <c r="H854" s="31"/>
      <c r="I854" s="32">
        <f>IF(OR($G854="",$H854=""),"",$H854-$G854)</f>
        <v>0</v>
      </c>
      <c r="J854" s="30"/>
    </row>
    <row r="855" spans="1:10">
      <c r="A855" s="30" t="s">
        <v>86</v>
      </c>
      <c r="B855" s="30" t="s">
        <v>104</v>
      </c>
      <c r="C855" s="30" t="s">
        <v>1074</v>
      </c>
      <c r="D855" s="30"/>
      <c r="E855" s="30" t="s">
        <v>89</v>
      </c>
      <c r="F855" s="30" t="s">
        <v>30</v>
      </c>
      <c r="G855" s="31">
        <v>46231</v>
      </c>
      <c r="H855" s="31"/>
      <c r="I855" s="32">
        <f>IF(OR($G855="",$H855=""),"",$H855-$G855)</f>
        <v>0</v>
      </c>
      <c r="J855" s="30"/>
    </row>
    <row r="856" spans="1:10">
      <c r="A856" s="30" t="s">
        <v>86</v>
      </c>
      <c r="B856" s="30" t="s">
        <v>104</v>
      </c>
      <c r="C856" s="30" t="s">
        <v>1075</v>
      </c>
      <c r="D856" s="30"/>
      <c r="E856" s="30" t="s">
        <v>89</v>
      </c>
      <c r="F856" s="30" t="s">
        <v>30</v>
      </c>
      <c r="G856" s="31">
        <v>46231</v>
      </c>
      <c r="H856" s="31"/>
      <c r="I856" s="32">
        <f>IF(OR($G856="",$H856=""),"",$H856-$G856)</f>
        <v>0</v>
      </c>
      <c r="J856" s="30"/>
    </row>
    <row r="857" spans="1:10">
      <c r="A857" s="30" t="s">
        <v>86</v>
      </c>
      <c r="B857" s="30" t="s">
        <v>104</v>
      </c>
      <c r="C857" s="30" t="s">
        <v>1076</v>
      </c>
      <c r="D857" s="30"/>
      <c r="E857" s="30" t="s">
        <v>89</v>
      </c>
      <c r="F857" s="30" t="s">
        <v>30</v>
      </c>
      <c r="G857" s="31">
        <v>46231</v>
      </c>
      <c r="H857" s="31"/>
      <c r="I857" s="32">
        <f>IF(OR($G857="",$H857=""),"",$H857-$G857)</f>
        <v>0</v>
      </c>
      <c r="J857" s="30"/>
    </row>
    <row r="858" spans="1:10">
      <c r="A858" s="30" t="s">
        <v>86</v>
      </c>
      <c r="B858" s="30" t="s">
        <v>104</v>
      </c>
      <c r="C858" s="30" t="s">
        <v>1077</v>
      </c>
      <c r="D858" s="30"/>
      <c r="E858" s="30" t="s">
        <v>89</v>
      </c>
      <c r="F858" s="30" t="s">
        <v>30</v>
      </c>
      <c r="G858" s="31">
        <v>46231</v>
      </c>
      <c r="H858" s="31"/>
      <c r="I858" s="32">
        <f>IF(OR($G858="",$H858=""),"",$H858-$G858)</f>
        <v>0</v>
      </c>
      <c r="J858" s="30"/>
    </row>
    <row r="859" spans="1:10">
      <c r="A859" s="30" t="s">
        <v>86</v>
      </c>
      <c r="B859" s="30" t="s">
        <v>104</v>
      </c>
      <c r="C859" s="30" t="s">
        <v>1078</v>
      </c>
      <c r="D859" s="30"/>
      <c r="E859" s="30" t="s">
        <v>89</v>
      </c>
      <c r="F859" s="30" t="s">
        <v>30</v>
      </c>
      <c r="G859" s="31">
        <v>46231</v>
      </c>
      <c r="H859" s="31"/>
      <c r="I859" s="32">
        <f>IF(OR($G859="",$H859=""),"",$H859-$G859)</f>
        <v>0</v>
      </c>
      <c r="J859" s="30"/>
    </row>
    <row r="860" spans="1:10">
      <c r="A860" s="30" t="s">
        <v>86</v>
      </c>
      <c r="B860" s="30" t="s">
        <v>104</v>
      </c>
      <c r="C860" s="30" t="s">
        <v>1079</v>
      </c>
      <c r="D860" s="30"/>
      <c r="E860" s="30" t="s">
        <v>89</v>
      </c>
      <c r="F860" s="30" t="s">
        <v>30</v>
      </c>
      <c r="G860" s="31">
        <v>46231</v>
      </c>
      <c r="H860" s="31"/>
      <c r="I860" s="32">
        <f>IF(OR($G860="",$H860=""),"",$H860-$G860)</f>
        <v>0</v>
      </c>
      <c r="J860" s="30"/>
    </row>
    <row r="861" spans="1:10">
      <c r="A861" s="30" t="s">
        <v>86</v>
      </c>
      <c r="B861" s="30" t="s">
        <v>104</v>
      </c>
      <c r="C861" s="30" t="s">
        <v>1080</v>
      </c>
      <c r="D861" s="30"/>
      <c r="E861" s="30" t="s">
        <v>89</v>
      </c>
      <c r="F861" s="30" t="s">
        <v>30</v>
      </c>
      <c r="G861" s="31">
        <v>46231</v>
      </c>
      <c r="H861" s="31"/>
      <c r="I861" s="32">
        <f>IF(OR($G861="",$H861=""),"",$H861-$G861)</f>
        <v>0</v>
      </c>
      <c r="J861" s="30"/>
    </row>
    <row r="862" spans="1:10">
      <c r="A862" s="30" t="s">
        <v>86</v>
      </c>
      <c r="B862" s="30" t="s">
        <v>104</v>
      </c>
      <c r="C862" s="30" t="s">
        <v>1081</v>
      </c>
      <c r="D862" s="30"/>
      <c r="E862" s="30" t="s">
        <v>89</v>
      </c>
      <c r="F862" s="30" t="s">
        <v>30</v>
      </c>
      <c r="G862" s="31">
        <v>46231</v>
      </c>
      <c r="H862" s="31"/>
      <c r="I862" s="32">
        <f>IF(OR($G862="",$H862=""),"",$H862-$G862)</f>
        <v>0</v>
      </c>
      <c r="J862" s="30"/>
    </row>
    <row r="863" spans="1:10">
      <c r="A863" s="30" t="s">
        <v>86</v>
      </c>
      <c r="B863" s="30" t="s">
        <v>104</v>
      </c>
      <c r="C863" s="30" t="s">
        <v>1082</v>
      </c>
      <c r="D863" s="30"/>
      <c r="E863" s="30" t="s">
        <v>89</v>
      </c>
      <c r="F863" s="30" t="s">
        <v>30</v>
      </c>
      <c r="G863" s="31">
        <v>46231</v>
      </c>
      <c r="H863" s="31"/>
      <c r="I863" s="32">
        <f>IF(OR($G863="",$H863=""),"",$H863-$G863)</f>
        <v>0</v>
      </c>
      <c r="J863" s="30"/>
    </row>
    <row r="864" spans="1:10">
      <c r="A864" s="30" t="s">
        <v>86</v>
      </c>
      <c r="B864" s="30" t="s">
        <v>104</v>
      </c>
      <c r="C864" s="30" t="s">
        <v>1083</v>
      </c>
      <c r="D864" s="30"/>
      <c r="E864" s="30" t="s">
        <v>89</v>
      </c>
      <c r="F864" s="30" t="s">
        <v>30</v>
      </c>
      <c r="G864" s="31">
        <v>46231</v>
      </c>
      <c r="H864" s="31"/>
      <c r="I864" s="32">
        <f>IF(OR($G864="",$H864=""),"",$H864-$G864)</f>
        <v>0</v>
      </c>
      <c r="J864" s="30"/>
    </row>
    <row r="865" spans="1:10">
      <c r="A865" s="30" t="s">
        <v>86</v>
      </c>
      <c r="B865" s="30" t="s">
        <v>104</v>
      </c>
      <c r="C865" s="30" t="s">
        <v>1084</v>
      </c>
      <c r="D865" s="30"/>
      <c r="E865" s="30" t="s">
        <v>89</v>
      </c>
      <c r="F865" s="30" t="s">
        <v>30</v>
      </c>
      <c r="G865" s="31">
        <v>46231</v>
      </c>
      <c r="H865" s="31"/>
      <c r="I865" s="32">
        <f>IF(OR($G865="",$H865=""),"",$H865-$G865)</f>
        <v>0</v>
      </c>
      <c r="J865" s="30"/>
    </row>
    <row r="866" spans="1:10">
      <c r="A866" s="30" t="s">
        <v>86</v>
      </c>
      <c r="B866" s="30" t="s">
        <v>104</v>
      </c>
      <c r="C866" s="30" t="s">
        <v>1085</v>
      </c>
      <c r="D866" s="30"/>
      <c r="E866" s="30" t="s">
        <v>89</v>
      </c>
      <c r="F866" s="30" t="s">
        <v>30</v>
      </c>
      <c r="G866" s="31">
        <v>46231</v>
      </c>
      <c r="H866" s="31"/>
      <c r="I866" s="32">
        <f>IF(OR($G866="",$H866=""),"",$H866-$G866)</f>
        <v>0</v>
      </c>
      <c r="J866" s="30"/>
    </row>
    <row r="867" spans="1:10">
      <c r="A867" s="30" t="s">
        <v>51</v>
      </c>
      <c r="B867" s="30" t="s">
        <v>617</v>
      </c>
      <c r="C867" s="30" t="s">
        <v>1086</v>
      </c>
      <c r="D867" s="30"/>
      <c r="E867" s="30" t="s">
        <v>619</v>
      </c>
      <c r="F867" s="30" t="s">
        <v>30</v>
      </c>
      <c r="G867" s="31">
        <v>46219</v>
      </c>
      <c r="H867" s="31"/>
      <c r="I867" s="32">
        <f>IF(OR($G867="",$H867=""),"",$H867-$G867)</f>
        <v>0</v>
      </c>
      <c r="J867" s="30"/>
    </row>
    <row r="868" spans="1:10">
      <c r="A868" s="30" t="s">
        <v>51</v>
      </c>
      <c r="B868" s="30" t="s">
        <v>617</v>
      </c>
      <c r="C868" s="30" t="s">
        <v>1087</v>
      </c>
      <c r="D868" s="30"/>
      <c r="E868" s="30" t="s">
        <v>619</v>
      </c>
      <c r="F868" s="30" t="s">
        <v>30</v>
      </c>
      <c r="G868" s="31">
        <v>46219</v>
      </c>
      <c r="H868" s="31"/>
      <c r="I868" s="32">
        <f>IF(OR($G868="",$H868=""),"",$H868-$G868)</f>
        <v>0</v>
      </c>
      <c r="J868" s="30"/>
    </row>
    <row r="869" spans="1:10">
      <c r="A869" s="30" t="s">
        <v>51</v>
      </c>
      <c r="B869" s="30" t="s">
        <v>617</v>
      </c>
      <c r="C869" s="30" t="s">
        <v>1088</v>
      </c>
      <c r="D869" s="30"/>
      <c r="E869" s="30" t="s">
        <v>619</v>
      </c>
      <c r="F869" s="30" t="s">
        <v>30</v>
      </c>
      <c r="G869" s="31">
        <v>46219</v>
      </c>
      <c r="H869" s="31"/>
      <c r="I869" s="32">
        <f>IF(OR($G869="",$H869=""),"",$H869-$G869)</f>
        <v>0</v>
      </c>
      <c r="J869" s="30"/>
    </row>
    <row r="870" spans="1:10">
      <c r="A870" s="30" t="s">
        <v>1045</v>
      </c>
      <c r="B870" s="30" t="s">
        <v>791</v>
      </c>
      <c r="C870" s="30" t="s">
        <v>81</v>
      </c>
      <c r="D870" s="30"/>
      <c r="E870" s="30" t="s">
        <v>1047</v>
      </c>
      <c r="F870" s="30" t="s">
        <v>91</v>
      </c>
      <c r="G870" s="31">
        <v>46227</v>
      </c>
      <c r="H870" s="31"/>
      <c r="I870" s="32">
        <f>IF(OR($G870="",$H870=""),"",$H870-$G870)</f>
        <v>0</v>
      </c>
      <c r="J870" s="30"/>
    </row>
    <row r="871" spans="1:10">
      <c r="A871" s="30" t="s">
        <v>1045</v>
      </c>
      <c r="B871" s="30" t="s">
        <v>770</v>
      </c>
      <c r="C871" s="30" t="s">
        <v>1089</v>
      </c>
      <c r="D871" s="30"/>
      <c r="E871" s="30" t="s">
        <v>1047</v>
      </c>
      <c r="F871" s="30" t="s">
        <v>91</v>
      </c>
      <c r="G871" s="31">
        <v>46227</v>
      </c>
      <c r="H871" s="31"/>
      <c r="I871" s="32">
        <f>IF(OR($G871="",$H871=""),"",$H871-$G871)</f>
        <v>0</v>
      </c>
      <c r="J871" s="30"/>
    </row>
    <row r="872" spans="1:10">
      <c r="A872" s="30" t="s">
        <v>1045</v>
      </c>
      <c r="B872" s="30" t="s">
        <v>763</v>
      </c>
      <c r="C872" s="30" t="s">
        <v>1090</v>
      </c>
      <c r="D872" s="30"/>
      <c r="E872" s="30" t="s">
        <v>1047</v>
      </c>
      <c r="F872" s="30" t="s">
        <v>91</v>
      </c>
      <c r="G872" s="31">
        <v>46227</v>
      </c>
      <c r="H872" s="31"/>
      <c r="I872" s="32">
        <f>IF(OR($G872="",$H872=""),"",$H872-$G872)</f>
        <v>0</v>
      </c>
      <c r="J872" s="30"/>
    </row>
    <row r="873" spans="1:10">
      <c r="A873" s="30" t="s">
        <v>1045</v>
      </c>
      <c r="B873" s="30" t="s">
        <v>770</v>
      </c>
      <c r="C873" s="30" t="s">
        <v>1091</v>
      </c>
      <c r="D873" s="30"/>
      <c r="E873" s="30" t="s">
        <v>1047</v>
      </c>
      <c r="F873" s="30" t="s">
        <v>91</v>
      </c>
      <c r="G873" s="31">
        <v>46227</v>
      </c>
      <c r="H873" s="31"/>
      <c r="I873" s="32">
        <f>IF(OR($G873="",$H873=""),"",$H873-$G873)</f>
        <v>0</v>
      </c>
      <c r="J873" s="30"/>
    </row>
    <row r="874" spans="1:10">
      <c r="A874" s="30" t="s">
        <v>1045</v>
      </c>
      <c r="B874" s="30" t="s">
        <v>770</v>
      </c>
      <c r="C874" s="30" t="s">
        <v>1092</v>
      </c>
      <c r="D874" s="30"/>
      <c r="E874" s="30" t="s">
        <v>1047</v>
      </c>
      <c r="F874" s="30" t="s">
        <v>91</v>
      </c>
      <c r="G874" s="31">
        <v>46227</v>
      </c>
      <c r="H874" s="31"/>
      <c r="I874" s="32">
        <f>IF(OR($G874="",$H874=""),"",$H874-$G874)</f>
        <v>0</v>
      </c>
      <c r="J874" s="30"/>
    </row>
    <row r="875" spans="1:10">
      <c r="A875" s="30" t="s">
        <v>115</v>
      </c>
      <c r="B875" s="30" t="s">
        <v>116</v>
      </c>
      <c r="C875" s="30" t="s">
        <v>1093</v>
      </c>
      <c r="D875" s="30"/>
      <c r="E875" s="30" t="s">
        <v>118</v>
      </c>
      <c r="F875" s="30" t="s">
        <v>30</v>
      </c>
      <c r="G875" s="31">
        <v>46233</v>
      </c>
      <c r="H875" s="31"/>
      <c r="I875" s="32">
        <f>IF(OR($G875="",$H875=""),"",$H875-$G875)</f>
        <v>0</v>
      </c>
      <c r="J875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3" t="s">
        <v>1095</v>
      </c>
      <c r="C3" s="33"/>
      <c r="E3" s="33" t="s">
        <v>1112</v>
      </c>
      <c r="F3" s="33"/>
      <c r="G3" s="33"/>
      <c r="I3" s="33" t="s">
        <v>1117</v>
      </c>
      <c r="J3" s="33"/>
      <c r="K3" s="33"/>
      <c r="M3" s="33" t="s">
        <v>1118</v>
      </c>
      <c r="N3" s="33"/>
      <c r="O3" s="33"/>
    </row>
    <row r="4" spans="1:15">
      <c r="B4" s="34" t="s">
        <v>1096</v>
      </c>
      <c r="C4" s="35">
        <f>SUMPRODUCT(--(('W rejestracji'!$A$9:$A$3000&amp;'W rejestracji'!$C$9:$C$3000)&lt;&gt;""))</f>
        <v>0</v>
      </c>
      <c r="E4" s="21" t="s">
        <v>1113</v>
      </c>
      <c r="F4" s="21" t="s">
        <v>1114</v>
      </c>
      <c r="G4" s="21" t="s">
        <v>1111</v>
      </c>
      <c r="I4" s="21" t="s">
        <v>1113</v>
      </c>
      <c r="J4" s="21" t="s">
        <v>1114</v>
      </c>
      <c r="K4" s="21" t="s">
        <v>1111</v>
      </c>
      <c r="M4" s="21" t="s">
        <v>1113</v>
      </c>
      <c r="N4" s="21" t="s">
        <v>1114</v>
      </c>
      <c r="O4" s="21" t="s">
        <v>1111</v>
      </c>
    </row>
    <row r="5" spans="1:15">
      <c r="B5" s="34" t="s">
        <v>1097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1098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1099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581</v>
      </c>
      <c r="J7" s="36">
        <f>COUNTIF('W rejestracji'!$A$9:$A$3000,I7)</f>
        <v>0</v>
      </c>
      <c r="K7" s="36">
        <f>COUNTIF(Zarejestrowane!$A$9:$A$3000,I7)</f>
        <v>0</v>
      </c>
      <c r="M7" s="34" t="s">
        <v>1016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1100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703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1101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1102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619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1115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1103</v>
      </c>
      <c r="C12" s="33"/>
      <c r="D12" s="33"/>
      <c r="E12" s="37" t="s">
        <v>1116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1104</v>
      </c>
      <c r="C13" s="18" t="s">
        <v>1105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636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1105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1105</v>
      </c>
      <c r="I15" s="34" t="s">
        <v>700</v>
      </c>
      <c r="J15" s="36">
        <f>COUNTIF('W rejestracji'!$A$9:$A$3000,I15)</f>
        <v>0</v>
      </c>
      <c r="K15" s="36">
        <f>COUNTIF(Zarejestrowane!$A$9:$A$3000,I15)</f>
        <v>0</v>
      </c>
      <c r="M15" s="34" t="s">
        <v>1047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1105</v>
      </c>
      <c r="D16" s="12" t="s">
        <v>1108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1106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956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1107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1115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1116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1109</v>
      </c>
      <c r="C21" s="33"/>
      <c r="D21" s="33"/>
      <c r="M21" s="34" t="s">
        <v>765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1104</v>
      </c>
      <c r="C22" s="21" t="s">
        <v>1110</v>
      </c>
      <c r="D22" s="21" t="s">
        <v>1111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1055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798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857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1115</v>
      </c>
      <c r="N37" s="36">
        <f>$C$4-SUM(N5:N36)</f>
        <v>0</v>
      </c>
      <c r="O37" s="36">
        <f>$C$5-SUM(O5:O36)</f>
        <v>0</v>
      </c>
    </row>
    <row r="38" spans="13:15">
      <c r="M38" s="37" t="s">
        <v>1116</v>
      </c>
      <c r="N38" s="38">
        <f>SUM(N5:N37)</f>
        <v>0</v>
      </c>
      <c r="O38" s="38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1119</v>
      </c>
      <c r="B1" s="1"/>
      <c r="C1" s="1"/>
      <c r="D1" s="2" t="s">
        <v>1</v>
      </c>
    </row>
    <row r="3" spans="1:4">
      <c r="A3" s="12" t="s">
        <v>1120</v>
      </c>
    </row>
    <row r="4" spans="1:4">
      <c r="A4" s="21" t="s">
        <v>1121</v>
      </c>
      <c r="B4" s="21" t="s">
        <v>17</v>
      </c>
    </row>
    <row r="5" spans="1:4">
      <c r="A5" s="13" t="s">
        <v>1122</v>
      </c>
      <c r="B5" s="13" t="s">
        <v>1071</v>
      </c>
    </row>
    <row r="6" spans="1:4">
      <c r="A6" s="13" t="s">
        <v>1123</v>
      </c>
      <c r="B6" s="13" t="s">
        <v>1082</v>
      </c>
    </row>
    <row r="7" spans="1:4">
      <c r="A7" s="13" t="s">
        <v>1123</v>
      </c>
      <c r="B7" s="13" t="s">
        <v>1072</v>
      </c>
    </row>
    <row r="8" spans="1:4">
      <c r="A8" s="13" t="s">
        <v>1123</v>
      </c>
      <c r="B8" s="13" t="s">
        <v>107</v>
      </c>
    </row>
    <row r="9" spans="1:4">
      <c r="A9" s="13" t="s">
        <v>1123</v>
      </c>
      <c r="B9" s="13" t="s">
        <v>1066</v>
      </c>
    </row>
    <row r="10" spans="1:4">
      <c r="A10" s="13" t="s">
        <v>1123</v>
      </c>
      <c r="B10" s="13" t="s">
        <v>1069</v>
      </c>
    </row>
    <row r="11" spans="1:4">
      <c r="A11" s="13" t="s">
        <v>1124</v>
      </c>
      <c r="B11" s="13" t="s">
        <v>101</v>
      </c>
    </row>
    <row r="12" spans="1:4">
      <c r="A12" s="13" t="s">
        <v>1122</v>
      </c>
      <c r="B12" s="13" t="s">
        <v>1125</v>
      </c>
    </row>
    <row r="13" spans="1:4">
      <c r="A13" s="13" t="s">
        <v>1122</v>
      </c>
      <c r="B13" s="13" t="s">
        <v>1075</v>
      </c>
    </row>
    <row r="14" spans="1:4">
      <c r="A14" s="13" t="s">
        <v>1122</v>
      </c>
      <c r="B14" s="13" t="s">
        <v>1079</v>
      </c>
    </row>
    <row r="15" spans="1:4">
      <c r="A15" s="13" t="s">
        <v>1122</v>
      </c>
      <c r="B15" s="13" t="s">
        <v>1085</v>
      </c>
    </row>
    <row r="16" spans="1:4">
      <c r="A16" s="13" t="s">
        <v>1122</v>
      </c>
      <c r="B16" s="13" t="s">
        <v>1074</v>
      </c>
    </row>
    <row r="17" spans="1:2">
      <c r="A17" s="13" t="s">
        <v>1122</v>
      </c>
      <c r="B17" s="13" t="s">
        <v>1068</v>
      </c>
    </row>
    <row r="18" spans="1:2">
      <c r="A18" s="13" t="s">
        <v>1122</v>
      </c>
      <c r="B18" s="13" t="s">
        <v>1073</v>
      </c>
    </row>
    <row r="19" spans="1:2">
      <c r="A19" s="13" t="s">
        <v>1122</v>
      </c>
      <c r="B19" s="13" t="s">
        <v>1070</v>
      </c>
    </row>
    <row r="20" spans="1:2">
      <c r="A20" s="13" t="s">
        <v>1122</v>
      </c>
      <c r="B20" s="13" t="s">
        <v>1081</v>
      </c>
    </row>
    <row r="21" spans="1:2">
      <c r="A21" s="13" t="s">
        <v>1122</v>
      </c>
      <c r="B21" s="13" t="s">
        <v>1076</v>
      </c>
    </row>
    <row r="22" spans="1:2">
      <c r="A22" s="13" t="s">
        <v>1122</v>
      </c>
      <c r="B22" s="13" t="s">
        <v>1080</v>
      </c>
    </row>
    <row r="23" spans="1:2">
      <c r="A23" s="13" t="s">
        <v>1122</v>
      </c>
      <c r="B23" s="13" t="s">
        <v>1084</v>
      </c>
    </row>
    <row r="24" spans="1:2">
      <c r="A24" s="13" t="s">
        <v>1122</v>
      </c>
      <c r="B24" s="13" t="s">
        <v>1077</v>
      </c>
    </row>
    <row r="25" spans="1:2">
      <c r="A25" s="13" t="s">
        <v>1122</v>
      </c>
      <c r="B25" s="13" t="s">
        <v>1067</v>
      </c>
    </row>
    <row r="26" spans="1:2">
      <c r="A26" s="13" t="s">
        <v>1122</v>
      </c>
      <c r="B26" s="13" t="s">
        <v>1078</v>
      </c>
    </row>
    <row r="27" spans="1:2">
      <c r="A27" s="13" t="s">
        <v>1122</v>
      </c>
      <c r="B27" s="13" t="s">
        <v>112</v>
      </c>
    </row>
    <row r="28" spans="1:2">
      <c r="A28" s="13" t="s">
        <v>1122</v>
      </c>
      <c r="B28" s="13" t="s">
        <v>113</v>
      </c>
    </row>
    <row r="29" spans="1:2">
      <c r="A29" s="13" t="s">
        <v>1122</v>
      </c>
      <c r="B29" s="13" t="s">
        <v>1083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1126</v>
      </c>
      <c r="B1" s="21" t="s">
        <v>1127</v>
      </c>
      <c r="C1" s="21" t="s">
        <v>1128</v>
      </c>
      <c r="D1" s="21" t="s">
        <v>1129</v>
      </c>
      <c r="E1" s="21" t="s">
        <v>1130</v>
      </c>
      <c r="F1" s="21" t="s">
        <v>1131</v>
      </c>
      <c r="G1" s="21" t="s">
        <v>1140</v>
      </c>
      <c r="H1" s="21" t="s">
        <v>1141</v>
      </c>
      <c r="I1" s="21" t="s">
        <v>1142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1105</v>
      </c>
      <c r="G2" s="13" t="s">
        <v>1105</v>
      </c>
      <c r="H2" s="13" t="s">
        <v>1105</v>
      </c>
      <c r="I2" s="13" t="s">
        <v>1105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1132</v>
      </c>
      <c r="G3" s="13" t="s">
        <v>477</v>
      </c>
      <c r="H3" s="13" t="s">
        <v>566</v>
      </c>
      <c r="I3" s="13" t="s">
        <v>118</v>
      </c>
    </row>
    <row r="4" spans="1:9">
      <c r="A4" s="13" t="s">
        <v>581</v>
      </c>
      <c r="B4" s="13" t="s">
        <v>1016</v>
      </c>
      <c r="C4" s="13" t="s">
        <v>119</v>
      </c>
      <c r="D4" s="13" t="s">
        <v>65</v>
      </c>
      <c r="E4" s="14">
        <f>TODAY()-2</f>
        <v>0</v>
      </c>
      <c r="F4" s="13" t="s">
        <v>1133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703</v>
      </c>
      <c r="C5" s="13" t="s">
        <v>56</v>
      </c>
      <c r="E5" s="14">
        <f>TODAY()-3</f>
        <v>0</v>
      </c>
      <c r="F5" s="13" t="s">
        <v>1134</v>
      </c>
      <c r="G5" s="13" t="s">
        <v>119</v>
      </c>
      <c r="H5" s="13" t="s">
        <v>581</v>
      </c>
      <c r="I5" s="13" t="s">
        <v>1016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1135</v>
      </c>
      <c r="G6" s="13" t="s">
        <v>56</v>
      </c>
      <c r="H6" s="13" t="s">
        <v>26</v>
      </c>
      <c r="I6" s="13" t="s">
        <v>703</v>
      </c>
    </row>
    <row r="7" spans="1:9">
      <c r="A7" s="13" t="s">
        <v>174</v>
      </c>
      <c r="B7" s="13" t="s">
        <v>619</v>
      </c>
      <c r="C7" s="13" t="s">
        <v>66</v>
      </c>
      <c r="E7" s="14">
        <f>TODAY()-5</f>
        <v>0</v>
      </c>
      <c r="F7" s="13" t="s">
        <v>1136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1137</v>
      </c>
      <c r="G8" s="13" t="s">
        <v>66</v>
      </c>
      <c r="H8" s="13" t="s">
        <v>174</v>
      </c>
      <c r="I8" s="13" t="s">
        <v>619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1138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636</v>
      </c>
      <c r="E10" s="14">
        <f>TODAY()-8</f>
        <v>0</v>
      </c>
      <c r="F10" s="13" t="s">
        <v>1139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636</v>
      </c>
    </row>
    <row r="12" spans="1:9">
      <c r="A12" s="13" t="s">
        <v>700</v>
      </c>
      <c r="B12" s="13" t="s">
        <v>1047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700</v>
      </c>
      <c r="I13" s="13" t="s">
        <v>1047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956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956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765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765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1055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1055</v>
      </c>
    </row>
    <row r="25" spans="2:9">
      <c r="B25" s="13" t="s">
        <v>798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798</v>
      </c>
    </row>
    <row r="27" spans="2:9">
      <c r="B27" s="13" t="s">
        <v>857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857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2026-08-04T13:23:09Z</dcterms:created>
  <dcterms:modified xsi:type="dcterms:W3CDTF">2026-08-04T13:23:09Z</dcterms:modified>
</cp:coreProperties>
</file>