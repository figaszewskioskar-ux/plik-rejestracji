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7" sheetId="8" r:id="rId8"/>
  </sheets>
  <definedNames>
    <definedName name="_xlnm._FilterDatabase" localSheetId="7" hidden="1">'Archiwum 2026-07'!$A$1:$J$18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<sst xmlns="http://schemas.openxmlformats.org/spreadsheetml/2006/main" count="5124" uniqueCount="1144">
  <si>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</si>
  <si>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</si>
  <si>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</si>
  <si>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</si>
  <si>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</si>
  <si>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</si>
  <si>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</si>
  <si>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</si>
  <si>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</si>
  <si>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</si>
  <si>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</si>
  <si>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</si>
  <si>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</si>
  <si>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</si>
  <si>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</si>
  <si>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</si>
  <si>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</si>
  <si>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</si>
  <si>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</si>
  <si>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</si>
  <si>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</si>
  <si>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</si>
  <si>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</si>
  <si>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</si>
  <si>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</si>
  <si>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</si>
  <si>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</si>
  <si>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</si>
  <si>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</si>
  <si>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</si>
  <si>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</si>
  <si>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</si>
  <si>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</si>
  <si>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</si>
  <si>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</si>
  <si>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</si>
  <si>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</si>
  <si>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</si>
  <si>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</si>
  <si>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</si>
  <si>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</si>
  <si>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</si>
  <si>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</si>
  <si>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</si>
  <si>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</si>
  <si>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</si>
  <si>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</si>
  <si>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</si>
  <si>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</si>
  <si>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</si>
  <si>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</si>
  <si>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</si>
  <si>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</si>
  <si>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</si>
  <si>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</si>
  <si>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</si>
  <si>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</si>
  <si>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</si>
  <si>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</si>
  <si>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</si>
  <si>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</si>
  <si>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</si>
  <si>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</si>
  <si>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</si>
  <si>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</si>
  <si>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</si>
  <si>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</si>
  <si>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</si>
  <si>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</si>
  <si>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</si>
  <si>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</si>
  <si>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</si>
  <si>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</si>
  <si>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</si>
  <si>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</si>
  <si>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</si>
  <si>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</si>
  <si>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</si>
  <si>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</si>
  <si>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</si>
  <si>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</si>
  <si>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</si>
  <si>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</si>
  <si>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</si>
  <si>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</si>
  <si>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</si>
  <si>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</si>
  <si>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</si>
  <si>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</si>
  <si>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</si>
  <si>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</si>
  <si>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</si>
  <si>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</si>
  <si>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</si>
  <si>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</si>
  <si>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</si>
  <si>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</si>
  <si>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</si>
  <si>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</si>
  <si>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</si>
  <si>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</si>
  <si>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</si>
  <si>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</si>
  <si>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</si>
  <si>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</si>
  <si>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</si>
  <si>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</si>
  <si>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</si>
  <si>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</si>
  <si>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</si>
  <si>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</si>
  <si>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</si>
  <si>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</si>
  <si>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</si>
  <si>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</si>
  <si>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</si>
  <si>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</si>
  <si>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</si>
  <si>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</si>
  <si>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</si>
  <si>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</si>
  <si>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</si>
  <si>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</si>
  <si>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</si>
  <si>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</si>
  <si>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</si>
  <si>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</si>
  <si>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</si>
  <si>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</si>
  <si>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</si>
  <si>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</si>
  <si>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</si>
  <si>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</si>
  <si>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</si>
  <si>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</si>
  <si>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</si>
  <si>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</si>
  <si>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</si>
  <si>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zakładki „Archiwum RRRR-MM” na dole pliku.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</si>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</sst>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581</v>
      </c>
      <c r="C420" s="30" t="s">
        <v>582</v>
      </c>
      <c r="D420" s="30"/>
      <c r="E420" s="30" t="s">
        <v>583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581</v>
      </c>
      <c r="C421" s="30" t="s">
        <v>584</v>
      </c>
      <c r="D421" s="30"/>
      <c r="E421" s="30" t="s">
        <v>583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139</v>
      </c>
      <c r="B422" s="30" t="s">
        <v>475</v>
      </c>
      <c r="C422" s="30" t="s">
        <v>585</v>
      </c>
      <c r="D422" s="30"/>
      <c r="E422" s="30" t="s">
        <v>262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139</v>
      </c>
      <c r="B423" s="30" t="s">
        <v>475</v>
      </c>
      <c r="C423" s="30" t="s">
        <v>586</v>
      </c>
      <c r="D423" s="30"/>
      <c r="E423" s="30" t="s">
        <v>262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139</v>
      </c>
      <c r="B424" s="30" t="s">
        <v>475</v>
      </c>
      <c r="C424" s="30" t="s">
        <v>587</v>
      </c>
      <c r="D424" s="30"/>
      <c r="E424" s="30" t="s">
        <v>262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139</v>
      </c>
      <c r="B425" s="30" t="s">
        <v>475</v>
      </c>
      <c r="C425" s="30" t="s">
        <v>588</v>
      </c>
      <c r="D425" s="30"/>
      <c r="E425" s="30" t="s">
        <v>262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139</v>
      </c>
      <c r="B426" s="30" t="s">
        <v>475</v>
      </c>
      <c r="C426" s="30" t="s">
        <v>589</v>
      </c>
      <c r="D426" s="30"/>
      <c r="E426" s="30" t="s">
        <v>262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139</v>
      </c>
      <c r="B427" s="30" t="s">
        <v>475</v>
      </c>
      <c r="C427" s="30" t="s">
        <v>590</v>
      </c>
      <c r="D427" s="30"/>
      <c r="E427" s="30" t="s">
        <v>262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139</v>
      </c>
      <c r="B428" s="30" t="s">
        <v>475</v>
      </c>
      <c r="C428" s="30" t="s">
        <v>591</v>
      </c>
      <c r="D428" s="30"/>
      <c r="E428" s="30" t="s">
        <v>262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139</v>
      </c>
      <c r="B429" s="30" t="s">
        <v>475</v>
      </c>
      <c r="C429" s="30" t="s">
        <v>592</v>
      </c>
      <c r="D429" s="30"/>
      <c r="E429" s="30" t="s">
        <v>262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139</v>
      </c>
      <c r="B430" s="30" t="s">
        <v>475</v>
      </c>
      <c r="C430" s="30" t="s">
        <v>593</v>
      </c>
      <c r="D430" s="30"/>
      <c r="E430" s="30" t="s">
        <v>262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139</v>
      </c>
      <c r="B431" s="30" t="s">
        <v>475</v>
      </c>
      <c r="C431" s="30" t="s">
        <v>594</v>
      </c>
      <c r="D431" s="30"/>
      <c r="E431" s="30" t="s">
        <v>262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139</v>
      </c>
      <c r="B432" s="30" t="s">
        <v>475</v>
      </c>
      <c r="C432" s="30" t="s">
        <v>595</v>
      </c>
      <c r="D432" s="30"/>
      <c r="E432" s="30" t="s">
        <v>262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139</v>
      </c>
      <c r="B433" s="30" t="s">
        <v>475</v>
      </c>
      <c r="C433" s="30" t="s">
        <v>596</v>
      </c>
      <c r="D433" s="30"/>
      <c r="E433" s="30" t="s">
        <v>262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139</v>
      </c>
      <c r="B434" s="30" t="s">
        <v>475</v>
      </c>
      <c r="C434" s="30" t="s">
        <v>597</v>
      </c>
      <c r="D434" s="30"/>
      <c r="E434" s="30" t="s">
        <v>262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598</v>
      </c>
      <c r="C435" s="30" t="s">
        <v>599</v>
      </c>
      <c r="D435" s="30"/>
      <c r="E435" s="30" t="s">
        <v>600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598</v>
      </c>
      <c r="C436" s="30" t="s">
        <v>601</v>
      </c>
      <c r="D436" s="30"/>
      <c r="E436" s="30" t="s">
        <v>600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598</v>
      </c>
      <c r="C437" s="30" t="s">
        <v>602</v>
      </c>
      <c r="D437" s="30"/>
      <c r="E437" s="30" t="s">
        <v>600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598</v>
      </c>
      <c r="C438" s="30" t="s">
        <v>603</v>
      </c>
      <c r="D438" s="30"/>
      <c r="E438" s="30" t="s">
        <v>600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598</v>
      </c>
      <c r="C439" s="30" t="s">
        <v>604</v>
      </c>
      <c r="D439" s="30"/>
      <c r="E439" s="30" t="s">
        <v>600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605</v>
      </c>
      <c r="C440" s="30" t="s">
        <v>606</v>
      </c>
      <c r="D440" s="30"/>
      <c r="E440" s="30" t="s">
        <v>600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605</v>
      </c>
      <c r="C441" s="30" t="s">
        <v>607</v>
      </c>
      <c r="D441" s="30"/>
      <c r="E441" s="30" t="s">
        <v>600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605</v>
      </c>
      <c r="C442" s="30" t="s">
        <v>608</v>
      </c>
      <c r="D442" s="30"/>
      <c r="E442" s="30" t="s">
        <v>600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605</v>
      </c>
      <c r="C443" s="30" t="s">
        <v>609</v>
      </c>
      <c r="D443" s="30"/>
      <c r="E443" s="30" t="s">
        <v>600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605</v>
      </c>
      <c r="C444" s="30" t="s">
        <v>610</v>
      </c>
      <c r="D444" s="30"/>
      <c r="E444" s="30" t="s">
        <v>600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611</v>
      </c>
      <c r="C445" s="30" t="s">
        <v>612</v>
      </c>
      <c r="D445" s="30"/>
      <c r="E445" s="30" t="s">
        <v>600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611</v>
      </c>
      <c r="C446" s="30" t="s">
        <v>613</v>
      </c>
      <c r="D446" s="30"/>
      <c r="E446" s="30" t="s">
        <v>600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611</v>
      </c>
      <c r="C447" s="30" t="s">
        <v>614</v>
      </c>
      <c r="D447" s="30"/>
      <c r="E447" s="30" t="s">
        <v>600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611</v>
      </c>
      <c r="C448" s="30" t="s">
        <v>615</v>
      </c>
      <c r="D448" s="30"/>
      <c r="E448" s="30" t="s">
        <v>600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566</v>
      </c>
      <c r="B449" s="30" t="s">
        <v>567</v>
      </c>
      <c r="C449" s="30" t="s">
        <v>616</v>
      </c>
      <c r="D449" s="30"/>
      <c r="E449" s="30" t="s">
        <v>568</v>
      </c>
      <c r="F449" s="30" t="s">
        <v>570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566</v>
      </c>
      <c r="B450" s="30" t="s">
        <v>567</v>
      </c>
      <c r="C450" s="30" t="s">
        <v>617</v>
      </c>
      <c r="D450" s="30"/>
      <c r="E450" s="30" t="s">
        <v>568</v>
      </c>
      <c r="F450" s="30" t="s">
        <v>570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566</v>
      </c>
      <c r="B451" s="30" t="s">
        <v>567</v>
      </c>
      <c r="C451" s="30" t="s">
        <v>618</v>
      </c>
      <c r="D451" s="30"/>
      <c r="E451" s="30" t="s">
        <v>568</v>
      </c>
      <c r="F451" s="30" t="s">
        <v>570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566</v>
      </c>
      <c r="B452" s="30" t="s">
        <v>567</v>
      </c>
      <c r="C452" s="30" t="s">
        <v>619</v>
      </c>
      <c r="D452" s="30"/>
      <c r="E452" s="30" t="s">
        <v>568</v>
      </c>
      <c r="F452" s="30" t="s">
        <v>570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566</v>
      </c>
      <c r="B453" s="30" t="s">
        <v>567</v>
      </c>
      <c r="C453" s="30" t="s">
        <v>620</v>
      </c>
      <c r="D453" s="30"/>
      <c r="E453" s="30" t="s">
        <v>568</v>
      </c>
      <c r="F453" s="30" t="s">
        <v>570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566</v>
      </c>
      <c r="B454" s="30" t="s">
        <v>567</v>
      </c>
      <c r="C454" s="30" t="s">
        <v>621</v>
      </c>
      <c r="D454" s="30"/>
      <c r="E454" s="30" t="s">
        <v>568</v>
      </c>
      <c r="F454" s="30" t="s">
        <v>570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566</v>
      </c>
      <c r="B455" s="30" t="s">
        <v>567</v>
      </c>
      <c r="C455" s="30" t="s">
        <v>622</v>
      </c>
      <c r="D455" s="30"/>
      <c r="E455" s="30" t="s">
        <v>568</v>
      </c>
      <c r="F455" s="30" t="s">
        <v>570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566</v>
      </c>
      <c r="B456" s="30" t="s">
        <v>567</v>
      </c>
      <c r="C456" s="30" t="s">
        <v>623</v>
      </c>
      <c r="D456" s="30"/>
      <c r="E456" s="30" t="s">
        <v>568</v>
      </c>
      <c r="F456" s="30" t="s">
        <v>570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566</v>
      </c>
      <c r="B457" s="30" t="s">
        <v>567</v>
      </c>
      <c r="C457" s="30" t="s">
        <v>624</v>
      </c>
      <c r="D457" s="30"/>
      <c r="E457" s="30" t="s">
        <v>568</v>
      </c>
      <c r="F457" s="30" t="s">
        <v>570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566</v>
      </c>
      <c r="B458" s="30" t="s">
        <v>567</v>
      </c>
      <c r="C458" s="30" t="s">
        <v>625</v>
      </c>
      <c r="D458" s="30"/>
      <c r="E458" s="30" t="s">
        <v>568</v>
      </c>
      <c r="F458" s="30" t="s">
        <v>570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566</v>
      </c>
      <c r="B459" s="30" t="s">
        <v>567</v>
      </c>
      <c r="C459" s="30" t="s">
        <v>626</v>
      </c>
      <c r="D459" s="30"/>
      <c r="E459" s="30" t="s">
        <v>568</v>
      </c>
      <c r="F459" s="30" t="s">
        <v>570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566</v>
      </c>
      <c r="B460" s="30" t="s">
        <v>567</v>
      </c>
      <c r="C460" s="30" t="s">
        <v>627</v>
      </c>
      <c r="D460" s="30"/>
      <c r="E460" s="30" t="s">
        <v>568</v>
      </c>
      <c r="F460" s="30" t="s">
        <v>570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566</v>
      </c>
      <c r="B461" s="30" t="s">
        <v>567</v>
      </c>
      <c r="C461" s="30" t="s">
        <v>628</v>
      </c>
      <c r="D461" s="30"/>
      <c r="E461" s="30" t="s">
        <v>568</v>
      </c>
      <c r="F461" s="30" t="s">
        <v>570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566</v>
      </c>
      <c r="B462" s="30" t="s">
        <v>567</v>
      </c>
      <c r="C462" s="30" t="s">
        <v>629</v>
      </c>
      <c r="D462" s="30"/>
      <c r="E462" s="30" t="s">
        <v>568</v>
      </c>
      <c r="F462" s="30" t="s">
        <v>570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566</v>
      </c>
      <c r="B463" s="30" t="s">
        <v>567</v>
      </c>
      <c r="C463" s="30" t="s">
        <v>630</v>
      </c>
      <c r="D463" s="30"/>
      <c r="E463" s="30" t="s">
        <v>568</v>
      </c>
      <c r="F463" s="30" t="s">
        <v>570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566</v>
      </c>
      <c r="B464" s="30" t="s">
        <v>567</v>
      </c>
      <c r="C464" s="30" t="s">
        <v>631</v>
      </c>
      <c r="D464" s="30"/>
      <c r="E464" s="30" t="s">
        <v>568</v>
      </c>
      <c r="F464" s="30" t="s">
        <v>570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566</v>
      </c>
      <c r="B465" s="30" t="s">
        <v>567</v>
      </c>
      <c r="C465" s="30" t="s">
        <v>632</v>
      </c>
      <c r="D465" s="30"/>
      <c r="E465" s="30" t="s">
        <v>568</v>
      </c>
      <c r="F465" s="30" t="s">
        <v>570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633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634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635</v>
      </c>
      <c r="D468" s="30"/>
      <c r="E468" s="30" t="s">
        <v>568</v>
      </c>
      <c r="F468" s="30" t="s">
        <v>570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636</v>
      </c>
      <c r="C469" s="30" t="s">
        <v>637</v>
      </c>
      <c r="D469" s="30"/>
      <c r="E469" s="30" t="s">
        <v>583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638</v>
      </c>
    </row>
    <row r="470" spans="1:10">
      <c r="A470" s="30" t="s">
        <v>51</v>
      </c>
      <c r="B470" s="30" t="s">
        <v>636</v>
      </c>
      <c r="C470" s="30" t="s">
        <v>639</v>
      </c>
      <c r="D470" s="30"/>
      <c r="E470" s="30" t="s">
        <v>583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636</v>
      </c>
      <c r="C471" s="30" t="s">
        <v>640</v>
      </c>
      <c r="D471" s="30"/>
      <c r="E471" s="30" t="s">
        <v>583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636</v>
      </c>
      <c r="C472" s="30" t="s">
        <v>641</v>
      </c>
      <c r="D472" s="30"/>
      <c r="E472" s="30" t="s">
        <v>583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636</v>
      </c>
      <c r="C473" s="30" t="s">
        <v>642</v>
      </c>
      <c r="D473" s="30"/>
      <c r="E473" s="30" t="s">
        <v>583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636</v>
      </c>
      <c r="C474" s="30" t="s">
        <v>643</v>
      </c>
      <c r="D474" s="30"/>
      <c r="E474" s="30" t="s">
        <v>583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644</v>
      </c>
      <c r="C475" s="30" t="s">
        <v>645</v>
      </c>
      <c r="D475" s="30"/>
      <c r="E475" s="30" t="s">
        <v>583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636</v>
      </c>
      <c r="C476" s="30" t="s">
        <v>646</v>
      </c>
      <c r="D476" s="30"/>
      <c r="E476" s="30" t="s">
        <v>583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636</v>
      </c>
      <c r="C477" s="30" t="s">
        <v>647</v>
      </c>
      <c r="D477" s="30"/>
      <c r="E477" s="30" t="s">
        <v>583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644</v>
      </c>
      <c r="C478" s="30" t="s">
        <v>648</v>
      </c>
      <c r="D478" s="30"/>
      <c r="E478" s="30" t="s">
        <v>583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644</v>
      </c>
      <c r="C479" s="30" t="s">
        <v>649</v>
      </c>
      <c r="D479" s="30"/>
      <c r="E479" s="30" t="s">
        <v>583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644</v>
      </c>
      <c r="C480" s="30" t="s">
        <v>650</v>
      </c>
      <c r="D480" s="30"/>
      <c r="E480" s="30" t="s">
        <v>583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644</v>
      </c>
      <c r="C481" s="30" t="s">
        <v>651</v>
      </c>
      <c r="D481" s="30"/>
      <c r="E481" s="30" t="s">
        <v>583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644</v>
      </c>
      <c r="C482" s="30" t="s">
        <v>652</v>
      </c>
      <c r="D482" s="30"/>
      <c r="E482" s="30" t="s">
        <v>583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644</v>
      </c>
      <c r="C483" s="30" t="s">
        <v>653</v>
      </c>
      <c r="D483" s="30"/>
      <c r="E483" s="30" t="s">
        <v>583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644</v>
      </c>
      <c r="C484" s="30" t="s">
        <v>654</v>
      </c>
      <c r="D484" s="30"/>
      <c r="E484" s="30" t="s">
        <v>583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644</v>
      </c>
      <c r="C485" s="30" t="s">
        <v>655</v>
      </c>
      <c r="D485" s="30"/>
      <c r="E485" s="30" t="s">
        <v>583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644</v>
      </c>
      <c r="C486" s="30" t="s">
        <v>656</v>
      </c>
      <c r="D486" s="30"/>
      <c r="E486" s="30" t="s">
        <v>583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644</v>
      </c>
      <c r="C487" s="30" t="s">
        <v>657</v>
      </c>
      <c r="D487" s="30"/>
      <c r="E487" s="30" t="s">
        <v>583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636</v>
      </c>
      <c r="C488" s="30" t="s">
        <v>658</v>
      </c>
      <c r="D488" s="30"/>
      <c r="E488" s="30" t="s">
        <v>583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636</v>
      </c>
      <c r="C489" s="30" t="s">
        <v>659</v>
      </c>
      <c r="D489" s="30"/>
      <c r="E489" s="30" t="s">
        <v>583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636</v>
      </c>
      <c r="C490" s="30" t="s">
        <v>660</v>
      </c>
      <c r="D490" s="30"/>
      <c r="E490" s="30" t="s">
        <v>583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636</v>
      </c>
      <c r="C491" s="30" t="s">
        <v>661</v>
      </c>
      <c r="D491" s="30"/>
      <c r="E491" s="30" t="s">
        <v>583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662</v>
      </c>
      <c r="C492" s="30" t="s">
        <v>663</v>
      </c>
      <c r="D492" s="30"/>
      <c r="E492" s="30" t="s">
        <v>583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664</v>
      </c>
      <c r="B493" s="30" t="s">
        <v>665</v>
      </c>
      <c r="C493" s="30" t="s">
        <v>666</v>
      </c>
      <c r="D493" s="30"/>
      <c r="E493" s="30" t="s">
        <v>667</v>
      </c>
      <c r="F493" s="30" t="s">
        <v>119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664</v>
      </c>
      <c r="B494" s="30" t="s">
        <v>665</v>
      </c>
      <c r="C494" s="30" t="s">
        <v>668</v>
      </c>
      <c r="D494" s="30"/>
      <c r="E494" s="30" t="s">
        <v>667</v>
      </c>
      <c r="F494" s="30" t="s">
        <v>119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664</v>
      </c>
      <c r="B495" s="30" t="s">
        <v>665</v>
      </c>
      <c r="C495" s="30" t="s">
        <v>669</v>
      </c>
      <c r="D495" s="30"/>
      <c r="E495" s="30" t="s">
        <v>667</v>
      </c>
      <c r="F495" s="30" t="s">
        <v>119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664</v>
      </c>
      <c r="B496" s="30" t="s">
        <v>665</v>
      </c>
      <c r="C496" s="30" t="s">
        <v>670</v>
      </c>
      <c r="D496" s="30"/>
      <c r="E496" s="30" t="s">
        <v>667</v>
      </c>
      <c r="F496" s="30" t="s">
        <v>119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664</v>
      </c>
      <c r="B497" s="30" t="s">
        <v>665</v>
      </c>
      <c r="C497" s="30" t="s">
        <v>671</v>
      </c>
      <c r="D497" s="30"/>
      <c r="E497" s="30" t="s">
        <v>667</v>
      </c>
      <c r="F497" s="30" t="s">
        <v>119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664</v>
      </c>
      <c r="B498" s="30" t="s">
        <v>665</v>
      </c>
      <c r="C498" s="30" t="s">
        <v>672</v>
      </c>
      <c r="D498" s="30"/>
      <c r="E498" s="30" t="s">
        <v>667</v>
      </c>
      <c r="F498" s="30" t="s">
        <v>119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664</v>
      </c>
      <c r="B499" s="30" t="s">
        <v>665</v>
      </c>
      <c r="C499" s="30" t="s">
        <v>673</v>
      </c>
      <c r="D499" s="30"/>
      <c r="E499" s="30" t="s">
        <v>667</v>
      </c>
      <c r="F499" s="30" t="s">
        <v>119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664</v>
      </c>
      <c r="B500" s="30" t="s">
        <v>665</v>
      </c>
      <c r="C500" s="30" t="s">
        <v>674</v>
      </c>
      <c r="D500" s="30"/>
      <c r="E500" s="30" t="s">
        <v>667</v>
      </c>
      <c r="F500" s="30" t="s">
        <v>119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664</v>
      </c>
      <c r="B501" s="30" t="s">
        <v>665</v>
      </c>
      <c r="C501" s="30" t="s">
        <v>675</v>
      </c>
      <c r="D501" s="30"/>
      <c r="E501" s="30" t="s">
        <v>667</v>
      </c>
      <c r="F501" s="30" t="s">
        <v>119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664</v>
      </c>
      <c r="B502" s="30" t="s">
        <v>665</v>
      </c>
      <c r="C502" s="30" t="s">
        <v>676</v>
      </c>
      <c r="D502" s="30"/>
      <c r="E502" s="30" t="s">
        <v>667</v>
      </c>
      <c r="F502" s="30" t="s">
        <v>119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257</v>
      </c>
      <c r="C503" s="30" t="s">
        <v>677</v>
      </c>
      <c r="D503" s="30"/>
      <c r="E503" s="30" t="s">
        <v>583</v>
      </c>
      <c r="F503" s="30" t="s">
        <v>119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257</v>
      </c>
      <c r="C504" s="30" t="s">
        <v>678</v>
      </c>
      <c r="D504" s="30"/>
      <c r="E504" s="30" t="s">
        <v>583</v>
      </c>
      <c r="F504" s="30" t="s">
        <v>119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257</v>
      </c>
      <c r="C505" s="30" t="s">
        <v>679</v>
      </c>
      <c r="D505" s="30"/>
      <c r="E505" s="30" t="s">
        <v>583</v>
      </c>
      <c r="F505" s="30" t="s">
        <v>119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257</v>
      </c>
      <c r="C506" s="30" t="s">
        <v>680</v>
      </c>
      <c r="D506" s="30"/>
      <c r="E506" s="30" t="s">
        <v>583</v>
      </c>
      <c r="F506" s="30" t="s">
        <v>119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257</v>
      </c>
      <c r="C507" s="30" t="s">
        <v>681</v>
      </c>
      <c r="D507" s="30"/>
      <c r="E507" s="30" t="s">
        <v>583</v>
      </c>
      <c r="F507" s="30" t="s">
        <v>119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257</v>
      </c>
      <c r="C508" s="30" t="s">
        <v>682</v>
      </c>
      <c r="D508" s="30"/>
      <c r="E508" s="30" t="s">
        <v>583</v>
      </c>
      <c r="F508" s="30" t="s">
        <v>119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257</v>
      </c>
      <c r="C509" s="30" t="s">
        <v>683</v>
      </c>
      <c r="D509" s="30"/>
      <c r="E509" s="30" t="s">
        <v>583</v>
      </c>
      <c r="F509" s="30" t="s">
        <v>119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684</v>
      </c>
      <c r="C510" s="30" t="s">
        <v>685</v>
      </c>
      <c r="D510" s="30"/>
      <c r="E510" s="30" t="s">
        <v>547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684</v>
      </c>
      <c r="C511" s="30" t="s">
        <v>686</v>
      </c>
      <c r="D511" s="30"/>
      <c r="E511" s="30" t="s">
        <v>547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687</v>
      </c>
      <c r="C512" s="30" t="s">
        <v>688</v>
      </c>
      <c r="D512" s="30"/>
      <c r="E512" s="30" t="s">
        <v>547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684</v>
      </c>
      <c r="C513" s="30" t="s">
        <v>689</v>
      </c>
      <c r="D513" s="30"/>
      <c r="E513" s="30" t="s">
        <v>547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684</v>
      </c>
      <c r="C514" s="30" t="s">
        <v>690</v>
      </c>
      <c r="D514" s="30"/>
      <c r="E514" s="30" t="s">
        <v>547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684</v>
      </c>
      <c r="C515" s="30" t="s">
        <v>691</v>
      </c>
      <c r="D515" s="30"/>
      <c r="E515" s="30" t="s">
        <v>547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684</v>
      </c>
      <c r="C516" s="30" t="s">
        <v>692</v>
      </c>
      <c r="D516" s="30"/>
      <c r="E516" s="30" t="s">
        <v>547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684</v>
      </c>
      <c r="C517" s="30" t="s">
        <v>693</v>
      </c>
      <c r="D517" s="30"/>
      <c r="E517" s="30" t="s">
        <v>547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687</v>
      </c>
      <c r="C518" s="30" t="s">
        <v>694</v>
      </c>
      <c r="D518" s="30"/>
      <c r="E518" s="30" t="s">
        <v>547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687</v>
      </c>
      <c r="C519" s="30" t="s">
        <v>695</v>
      </c>
      <c r="D519" s="30"/>
      <c r="E519" s="30" t="s">
        <v>547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684</v>
      </c>
      <c r="C520" s="30" t="s">
        <v>696</v>
      </c>
      <c r="D520" s="30"/>
      <c r="E520" s="30" t="s">
        <v>547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684</v>
      </c>
      <c r="C521" s="30" t="s">
        <v>697</v>
      </c>
      <c r="D521" s="30"/>
      <c r="E521" s="30" t="s">
        <v>547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684</v>
      </c>
      <c r="C522" s="30" t="s">
        <v>698</v>
      </c>
      <c r="D522" s="30"/>
      <c r="E522" s="30" t="s">
        <v>547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684</v>
      </c>
      <c r="C523" s="30" t="s">
        <v>699</v>
      </c>
      <c r="D523" s="30"/>
      <c r="E523" s="30" t="s">
        <v>547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687</v>
      </c>
      <c r="C524" s="30" t="s">
        <v>700</v>
      </c>
      <c r="D524" s="30"/>
      <c r="E524" s="30" t="s">
        <v>547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684</v>
      </c>
      <c r="C525" s="30" t="s">
        <v>701</v>
      </c>
      <c r="D525" s="30"/>
      <c r="E525" s="30" t="s">
        <v>547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684</v>
      </c>
      <c r="C526" s="30" t="s">
        <v>702</v>
      </c>
      <c r="D526" s="30"/>
      <c r="E526" s="30" t="s">
        <v>547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684</v>
      </c>
      <c r="C527" s="30" t="s">
        <v>703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684</v>
      </c>
      <c r="C528" s="30" t="s">
        <v>704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684</v>
      </c>
      <c r="C529" s="30" t="s">
        <v>705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684</v>
      </c>
      <c r="C530" s="30" t="s">
        <v>706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684</v>
      </c>
      <c r="C531" s="30" t="s">
        <v>707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684</v>
      </c>
      <c r="C532" s="30" t="s">
        <v>708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684</v>
      </c>
      <c r="C533" s="30" t="s">
        <v>709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684</v>
      </c>
      <c r="C534" s="30" t="s">
        <v>710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687</v>
      </c>
      <c r="C535" s="30" t="s">
        <v>711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684</v>
      </c>
      <c r="C536" s="30" t="s">
        <v>712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684</v>
      </c>
      <c r="C537" s="30" t="s">
        <v>713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684</v>
      </c>
      <c r="C538" s="30" t="s">
        <v>714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684</v>
      </c>
      <c r="C539" s="30" t="s">
        <v>715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684</v>
      </c>
      <c r="C540" s="30" t="s">
        <v>716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684</v>
      </c>
      <c r="C541" s="30" t="s">
        <v>717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718</v>
      </c>
      <c r="C542" s="30" t="s">
        <v>719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684</v>
      </c>
      <c r="C543" s="30" t="s">
        <v>720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684</v>
      </c>
      <c r="C544" s="30" t="s">
        <v>721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684</v>
      </c>
      <c r="C545" s="30" t="s">
        <v>722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684</v>
      </c>
      <c r="C546" s="30" t="s">
        <v>723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718</v>
      </c>
      <c r="C547" s="30" t="s">
        <v>724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687</v>
      </c>
      <c r="C548" s="30" t="s">
        <v>725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687</v>
      </c>
      <c r="C549" s="30" t="s">
        <v>726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727</v>
      </c>
      <c r="C550" s="30" t="s">
        <v>728</v>
      </c>
      <c r="D550" s="30"/>
      <c r="E550" s="30" t="s">
        <v>729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727</v>
      </c>
      <c r="C551" s="30" t="s">
        <v>730</v>
      </c>
      <c r="D551" s="30"/>
      <c r="E551" s="30" t="s">
        <v>729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727</v>
      </c>
      <c r="C552" s="30" t="s">
        <v>731</v>
      </c>
      <c r="D552" s="30"/>
      <c r="E552" s="30" t="s">
        <v>729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727</v>
      </c>
      <c r="C553" s="30" t="s">
        <v>732</v>
      </c>
      <c r="D553" s="30"/>
      <c r="E553" s="30" t="s">
        <v>729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727</v>
      </c>
      <c r="C554" s="30" t="s">
        <v>733</v>
      </c>
      <c r="D554" s="30"/>
      <c r="E554" s="30" t="s">
        <v>729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734</v>
      </c>
      <c r="C555" s="30" t="s">
        <v>735</v>
      </c>
      <c r="D555" s="30"/>
      <c r="E555" s="30" t="s">
        <v>729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734</v>
      </c>
      <c r="C556" s="30" t="s">
        <v>736</v>
      </c>
      <c r="D556" s="30"/>
      <c r="E556" s="30" t="s">
        <v>729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734</v>
      </c>
      <c r="C557" s="30" t="s">
        <v>737</v>
      </c>
      <c r="D557" s="30"/>
      <c r="E557" s="30" t="s">
        <v>729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734</v>
      </c>
      <c r="C558" s="30" t="s">
        <v>738</v>
      </c>
      <c r="D558" s="30"/>
      <c r="E558" s="30" t="s">
        <v>729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734</v>
      </c>
      <c r="C559" s="30" t="s">
        <v>739</v>
      </c>
      <c r="D559" s="30"/>
      <c r="E559" s="30" t="s">
        <v>729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734</v>
      </c>
      <c r="C560" s="30" t="s">
        <v>740</v>
      </c>
      <c r="D560" s="30"/>
      <c r="E560" s="30" t="s">
        <v>729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734</v>
      </c>
      <c r="C561" s="30" t="s">
        <v>741</v>
      </c>
      <c r="D561" s="30"/>
      <c r="E561" s="30" t="s">
        <v>729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734</v>
      </c>
      <c r="C562" s="30" t="s">
        <v>742</v>
      </c>
      <c r="D562" s="30"/>
      <c r="E562" s="30" t="s">
        <v>729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734</v>
      </c>
      <c r="C563" s="30" t="s">
        <v>743</v>
      </c>
      <c r="D563" s="30"/>
      <c r="E563" s="30" t="s">
        <v>729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734</v>
      </c>
      <c r="C564" s="30" t="s">
        <v>744</v>
      </c>
      <c r="D564" s="30"/>
      <c r="E564" s="30" t="s">
        <v>729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734</v>
      </c>
      <c r="C565" s="30" t="s">
        <v>745</v>
      </c>
      <c r="D565" s="30"/>
      <c r="E565" s="30" t="s">
        <v>729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734</v>
      </c>
      <c r="C566" s="30" t="s">
        <v>746</v>
      </c>
      <c r="D566" s="30"/>
      <c r="E566" s="30" t="s">
        <v>729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734</v>
      </c>
      <c r="C567" s="30" t="s">
        <v>747</v>
      </c>
      <c r="D567" s="30"/>
      <c r="E567" s="30" t="s">
        <v>729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734</v>
      </c>
      <c r="C568" s="30" t="s">
        <v>748</v>
      </c>
      <c r="D568" s="30"/>
      <c r="E568" s="30" t="s">
        <v>729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734</v>
      </c>
      <c r="C569" s="30" t="s">
        <v>749</v>
      </c>
      <c r="D569" s="30"/>
      <c r="E569" s="30" t="s">
        <v>729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734</v>
      </c>
      <c r="C570" s="30" t="s">
        <v>750</v>
      </c>
      <c r="D570" s="30"/>
      <c r="E570" s="30" t="s">
        <v>729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734</v>
      </c>
      <c r="C571" s="30" t="s">
        <v>751</v>
      </c>
      <c r="D571" s="30"/>
      <c r="E571" s="30" t="s">
        <v>729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734</v>
      </c>
      <c r="C572" s="30" t="s">
        <v>752</v>
      </c>
      <c r="D572" s="30"/>
      <c r="E572" s="30" t="s">
        <v>729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734</v>
      </c>
      <c r="C573" s="30" t="s">
        <v>753</v>
      </c>
      <c r="D573" s="30"/>
      <c r="E573" s="30" t="s">
        <v>729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734</v>
      </c>
      <c r="C574" s="30" t="s">
        <v>754</v>
      </c>
      <c r="D574" s="30"/>
      <c r="E574" s="30" t="s">
        <v>729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755</v>
      </c>
      <c r="C575" s="30" t="s">
        <v>756</v>
      </c>
      <c r="D575" s="30"/>
      <c r="E575" s="30" t="s">
        <v>729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755</v>
      </c>
      <c r="C576" s="30" t="s">
        <v>757</v>
      </c>
      <c r="D576" s="30"/>
      <c r="E576" s="30" t="s">
        <v>729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755</v>
      </c>
      <c r="C577" s="30" t="s">
        <v>758</v>
      </c>
      <c r="D577" s="30"/>
      <c r="E577" s="30" t="s">
        <v>729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755</v>
      </c>
      <c r="C578" s="30" t="s">
        <v>759</v>
      </c>
      <c r="D578" s="30"/>
      <c r="E578" s="30" t="s">
        <v>729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755</v>
      </c>
      <c r="C579" s="30" t="s">
        <v>760</v>
      </c>
      <c r="D579" s="30"/>
      <c r="E579" s="30" t="s">
        <v>729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727</v>
      </c>
      <c r="C580" s="30" t="s">
        <v>761</v>
      </c>
      <c r="D580" s="30"/>
      <c r="E580" s="30" t="s">
        <v>762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727</v>
      </c>
      <c r="C581" s="30" t="s">
        <v>763</v>
      </c>
      <c r="D581" s="30"/>
      <c r="E581" s="30" t="s">
        <v>762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727</v>
      </c>
      <c r="C582" s="30" t="s">
        <v>764</v>
      </c>
      <c r="D582" s="30"/>
      <c r="E582" s="30" t="s">
        <v>762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727</v>
      </c>
      <c r="C583" s="30" t="s">
        <v>765</v>
      </c>
      <c r="D583" s="30"/>
      <c r="E583" s="30" t="s">
        <v>762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727</v>
      </c>
      <c r="C584" s="30" t="s">
        <v>766</v>
      </c>
      <c r="D584" s="30"/>
      <c r="E584" s="30" t="s">
        <v>762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727</v>
      </c>
      <c r="C585" s="30" t="s">
        <v>767</v>
      </c>
      <c r="D585" s="30"/>
      <c r="E585" s="30" t="s">
        <v>762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727</v>
      </c>
      <c r="C586" s="30" t="s">
        <v>768</v>
      </c>
      <c r="D586" s="30"/>
      <c r="E586" s="30" t="s">
        <v>762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727</v>
      </c>
      <c r="C587" s="30" t="s">
        <v>769</v>
      </c>
      <c r="D587" s="30"/>
      <c r="E587" s="30" t="s">
        <v>762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727</v>
      </c>
      <c r="C588" s="30" t="s">
        <v>770</v>
      </c>
      <c r="D588" s="30"/>
      <c r="E588" s="30" t="s">
        <v>762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727</v>
      </c>
      <c r="C589" s="30" t="s">
        <v>771</v>
      </c>
      <c r="D589" s="30"/>
      <c r="E589" s="30" t="s">
        <v>762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727</v>
      </c>
      <c r="C590" s="30" t="s">
        <v>772</v>
      </c>
      <c r="D590" s="30"/>
      <c r="E590" s="30" t="s">
        <v>762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727</v>
      </c>
      <c r="C591" s="30" t="s">
        <v>773</v>
      </c>
      <c r="D591" s="30"/>
      <c r="E591" s="30" t="s">
        <v>762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727</v>
      </c>
      <c r="C592" s="30" t="s">
        <v>774</v>
      </c>
      <c r="D592" s="30"/>
      <c r="E592" s="30" t="s">
        <v>762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727</v>
      </c>
      <c r="C593" s="30" t="s">
        <v>775</v>
      </c>
      <c r="D593" s="30"/>
      <c r="E593" s="30" t="s">
        <v>762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727</v>
      </c>
      <c r="C594" s="30" t="s">
        <v>776</v>
      </c>
      <c r="D594" s="30"/>
      <c r="E594" s="30" t="s">
        <v>762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734</v>
      </c>
      <c r="C595" s="30" t="s">
        <v>777</v>
      </c>
      <c r="D595" s="30"/>
      <c r="E595" s="30" t="s">
        <v>762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734</v>
      </c>
      <c r="C596" s="30" t="s">
        <v>778</v>
      </c>
      <c r="D596" s="30"/>
      <c r="E596" s="30" t="s">
        <v>762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734</v>
      </c>
      <c r="C597" s="30" t="s">
        <v>779</v>
      </c>
      <c r="D597" s="30"/>
      <c r="E597" s="30" t="s">
        <v>762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734</v>
      </c>
      <c r="C598" s="30" t="s">
        <v>780</v>
      </c>
      <c r="D598" s="30"/>
      <c r="E598" s="30" t="s">
        <v>762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734</v>
      </c>
      <c r="C599" s="30" t="s">
        <v>781</v>
      </c>
      <c r="D599" s="30"/>
      <c r="E599" s="30" t="s">
        <v>762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734</v>
      </c>
      <c r="C600" s="30" t="s">
        <v>782</v>
      </c>
      <c r="D600" s="30"/>
      <c r="E600" s="30" t="s">
        <v>762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734</v>
      </c>
      <c r="C601" s="30" t="s">
        <v>783</v>
      </c>
      <c r="D601" s="30"/>
      <c r="E601" s="30" t="s">
        <v>762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734</v>
      </c>
      <c r="C602" s="30" t="s">
        <v>784</v>
      </c>
      <c r="D602" s="30"/>
      <c r="E602" s="30" t="s">
        <v>762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734</v>
      </c>
      <c r="C603" s="30" t="s">
        <v>785</v>
      </c>
      <c r="D603" s="30"/>
      <c r="E603" s="30" t="s">
        <v>762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734</v>
      </c>
      <c r="C604" s="30" t="s">
        <v>786</v>
      </c>
      <c r="D604" s="30"/>
      <c r="E604" s="30" t="s">
        <v>762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734</v>
      </c>
      <c r="C605" s="30" t="s">
        <v>787</v>
      </c>
      <c r="D605" s="30"/>
      <c r="E605" s="30" t="s">
        <v>762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734</v>
      </c>
      <c r="C606" s="30" t="s">
        <v>788</v>
      </c>
      <c r="D606" s="30"/>
      <c r="E606" s="30" t="s">
        <v>762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734</v>
      </c>
      <c r="C607" s="30" t="s">
        <v>789</v>
      </c>
      <c r="D607" s="30"/>
      <c r="E607" s="30" t="s">
        <v>762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734</v>
      </c>
      <c r="C608" s="30" t="s">
        <v>790</v>
      </c>
      <c r="D608" s="30"/>
      <c r="E608" s="30" t="s">
        <v>762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734</v>
      </c>
      <c r="C609" s="30" t="s">
        <v>791</v>
      </c>
      <c r="D609" s="30"/>
      <c r="E609" s="30" t="s">
        <v>762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792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162</v>
      </c>
      <c r="B611" s="30" t="s">
        <v>163</v>
      </c>
      <c r="C611" s="30" t="s">
        <v>793</v>
      </c>
      <c r="D611" s="30"/>
      <c r="E611" s="30"/>
      <c r="F611" s="30" t="s">
        <v>119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794</v>
      </c>
      <c r="C612" s="30" t="s">
        <v>795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794</v>
      </c>
      <c r="C613" s="30" t="s">
        <v>796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794</v>
      </c>
      <c r="C614" s="30" t="s">
        <v>797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794</v>
      </c>
      <c r="C615" s="30" t="s">
        <v>798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794</v>
      </c>
      <c r="C616" s="30" t="s">
        <v>799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794</v>
      </c>
      <c r="C617" s="30" t="s">
        <v>800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794</v>
      </c>
      <c r="C618" s="30" t="s">
        <v>801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794</v>
      </c>
      <c r="C619" s="30" t="s">
        <v>802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794</v>
      </c>
      <c r="C620" s="30" t="s">
        <v>803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804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805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806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807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808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809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810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811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812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813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814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815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816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817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818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819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727</v>
      </c>
      <c r="C637" s="30" t="s">
        <v>820</v>
      </c>
      <c r="D637" s="30"/>
      <c r="E637" s="30" t="s">
        <v>821</v>
      </c>
      <c r="F637" s="30" t="s">
        <v>119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727</v>
      </c>
      <c r="C638" s="30" t="s">
        <v>822</v>
      </c>
      <c r="D638" s="30"/>
      <c r="E638" s="30" t="s">
        <v>821</v>
      </c>
      <c r="F638" s="30" t="s">
        <v>119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727</v>
      </c>
      <c r="C639" s="30" t="s">
        <v>823</v>
      </c>
      <c r="D639" s="30"/>
      <c r="E639" s="30" t="s">
        <v>821</v>
      </c>
      <c r="F639" s="30" t="s">
        <v>119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727</v>
      </c>
      <c r="C640" s="30" t="s">
        <v>824</v>
      </c>
      <c r="D640" s="30"/>
      <c r="E640" s="30" t="s">
        <v>821</v>
      </c>
      <c r="F640" s="30" t="s">
        <v>119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727</v>
      </c>
      <c r="C641" s="30" t="s">
        <v>825</v>
      </c>
      <c r="D641" s="30"/>
      <c r="E641" s="30" t="s">
        <v>821</v>
      </c>
      <c r="F641" s="30" t="s">
        <v>119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727</v>
      </c>
      <c r="C642" s="30" t="s">
        <v>826</v>
      </c>
      <c r="D642" s="30"/>
      <c r="E642" s="30" t="s">
        <v>821</v>
      </c>
      <c r="F642" s="30" t="s">
        <v>119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727</v>
      </c>
      <c r="C643" s="30" t="s">
        <v>827</v>
      </c>
      <c r="D643" s="30"/>
      <c r="E643" s="30" t="s">
        <v>821</v>
      </c>
      <c r="F643" s="30" t="s">
        <v>119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727</v>
      </c>
      <c r="C644" s="30" t="s">
        <v>828</v>
      </c>
      <c r="D644" s="30"/>
      <c r="E644" s="30" t="s">
        <v>821</v>
      </c>
      <c r="F644" s="30" t="s">
        <v>119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727</v>
      </c>
      <c r="C645" s="30" t="s">
        <v>829</v>
      </c>
      <c r="D645" s="30"/>
      <c r="E645" s="30" t="s">
        <v>821</v>
      </c>
      <c r="F645" s="30" t="s">
        <v>119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734</v>
      </c>
      <c r="C646" s="30" t="s">
        <v>830</v>
      </c>
      <c r="D646" s="30"/>
      <c r="E646" s="30" t="s">
        <v>821</v>
      </c>
      <c r="F646" s="30" t="s">
        <v>119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734</v>
      </c>
      <c r="C647" s="30" t="s">
        <v>831</v>
      </c>
      <c r="D647" s="30"/>
      <c r="E647" s="30" t="s">
        <v>821</v>
      </c>
      <c r="F647" s="30" t="s">
        <v>119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734</v>
      </c>
      <c r="C648" s="30" t="s">
        <v>832</v>
      </c>
      <c r="D648" s="30"/>
      <c r="E648" s="30" t="s">
        <v>821</v>
      </c>
      <c r="F648" s="30" t="s">
        <v>119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734</v>
      </c>
      <c r="C649" s="30" t="s">
        <v>833</v>
      </c>
      <c r="D649" s="30"/>
      <c r="E649" s="30" t="s">
        <v>821</v>
      </c>
      <c r="F649" s="30" t="s">
        <v>119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734</v>
      </c>
      <c r="C650" s="30" t="s">
        <v>834</v>
      </c>
      <c r="D650" s="30"/>
      <c r="E650" s="30" t="s">
        <v>821</v>
      </c>
      <c r="F650" s="30" t="s">
        <v>119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734</v>
      </c>
      <c r="C651" s="30" t="s">
        <v>835</v>
      </c>
      <c r="D651" s="30"/>
      <c r="E651" s="30" t="s">
        <v>821</v>
      </c>
      <c r="F651" s="30" t="s">
        <v>119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734</v>
      </c>
      <c r="C652" s="30" t="s">
        <v>836</v>
      </c>
      <c r="D652" s="30"/>
      <c r="E652" s="30" t="s">
        <v>821</v>
      </c>
      <c r="F652" s="30" t="s">
        <v>119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755</v>
      </c>
      <c r="C653" s="30" t="s">
        <v>837</v>
      </c>
      <c r="D653" s="30"/>
      <c r="E653" s="30" t="s">
        <v>821</v>
      </c>
      <c r="F653" s="30" t="s">
        <v>119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755</v>
      </c>
      <c r="C654" s="30" t="s">
        <v>838</v>
      </c>
      <c r="D654" s="30"/>
      <c r="E654" s="30" t="s">
        <v>821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755</v>
      </c>
      <c r="C655" s="30" t="s">
        <v>839</v>
      </c>
      <c r="D655" s="30"/>
      <c r="E655" s="30" t="s">
        <v>821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755</v>
      </c>
      <c r="C656" s="30" t="s">
        <v>840</v>
      </c>
      <c r="D656" s="30"/>
      <c r="E656" s="30" t="s">
        <v>821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257</v>
      </c>
      <c r="C657" s="30" t="s">
        <v>841</v>
      </c>
      <c r="D657" s="30"/>
      <c r="E657" s="30" t="s">
        <v>583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257</v>
      </c>
      <c r="C658" s="30" t="s">
        <v>842</v>
      </c>
      <c r="D658" s="30"/>
      <c r="E658" s="30" t="s">
        <v>583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257</v>
      </c>
      <c r="C659" s="30" t="s">
        <v>843</v>
      </c>
      <c r="D659" s="30"/>
      <c r="E659" s="30" t="s">
        <v>583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257</v>
      </c>
      <c r="C660" s="30" t="s">
        <v>844</v>
      </c>
      <c r="D660" s="30"/>
      <c r="E660" s="30" t="s">
        <v>583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257</v>
      </c>
      <c r="C661" s="30" t="s">
        <v>845</v>
      </c>
      <c r="D661" s="30"/>
      <c r="E661" s="30" t="s">
        <v>583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257</v>
      </c>
      <c r="C662" s="30" t="s">
        <v>846</v>
      </c>
      <c r="D662" s="30"/>
      <c r="E662" s="30" t="s">
        <v>583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847</v>
      </c>
      <c r="C663" s="30" t="s">
        <v>848</v>
      </c>
      <c r="D663" s="30"/>
      <c r="E663" s="30" t="s">
        <v>583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847</v>
      </c>
      <c r="C664" s="30" t="s">
        <v>849</v>
      </c>
      <c r="D664" s="30"/>
      <c r="E664" s="30" t="s">
        <v>583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847</v>
      </c>
      <c r="C665" s="30" t="s">
        <v>850</v>
      </c>
      <c r="D665" s="30"/>
      <c r="E665" s="30" t="s">
        <v>583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847</v>
      </c>
      <c r="C666" s="30" t="s">
        <v>851</v>
      </c>
      <c r="D666" s="30"/>
      <c r="E666" s="30" t="s">
        <v>583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847</v>
      </c>
      <c r="C667" s="30" t="s">
        <v>852</v>
      </c>
      <c r="D667" s="30"/>
      <c r="E667" s="30" t="s">
        <v>583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847</v>
      </c>
      <c r="C668" s="30" t="s">
        <v>853</v>
      </c>
      <c r="D668" s="30"/>
      <c r="E668" s="30" t="s">
        <v>583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847</v>
      </c>
      <c r="C669" s="30" t="s">
        <v>854</v>
      </c>
      <c r="D669" s="30"/>
      <c r="E669" s="30" t="s">
        <v>583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847</v>
      </c>
      <c r="C670" s="30" t="s">
        <v>855</v>
      </c>
      <c r="D670" s="30"/>
      <c r="E670" s="30" t="s">
        <v>583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847</v>
      </c>
      <c r="C671" s="30" t="s">
        <v>856</v>
      </c>
      <c r="D671" s="30"/>
      <c r="E671" s="30" t="s">
        <v>583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847</v>
      </c>
      <c r="C672" s="30" t="s">
        <v>857</v>
      </c>
      <c r="D672" s="30"/>
      <c r="E672" s="30" t="s">
        <v>583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847</v>
      </c>
      <c r="C673" s="30" t="s">
        <v>858</v>
      </c>
      <c r="D673" s="30"/>
      <c r="E673" s="30" t="s">
        <v>583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847</v>
      </c>
      <c r="C674" s="30" t="s">
        <v>859</v>
      </c>
      <c r="D674" s="30"/>
      <c r="E674" s="30" t="s">
        <v>583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847</v>
      </c>
      <c r="C675" s="30" t="s">
        <v>860</v>
      </c>
      <c r="D675" s="30"/>
      <c r="E675" s="30" t="s">
        <v>583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847</v>
      </c>
      <c r="C676" s="30" t="s">
        <v>861</v>
      </c>
      <c r="D676" s="30"/>
      <c r="E676" s="30" t="s">
        <v>583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847</v>
      </c>
      <c r="C677" s="30" t="s">
        <v>862</v>
      </c>
      <c r="D677" s="30"/>
      <c r="E677" s="30" t="s">
        <v>583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863</v>
      </c>
      <c r="D678" s="30"/>
      <c r="E678" s="30" t="s">
        <v>583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864</v>
      </c>
      <c r="D679" s="30"/>
      <c r="E679" s="30" t="s">
        <v>583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257</v>
      </c>
      <c r="C680" s="30" t="s">
        <v>865</v>
      </c>
      <c r="D680" s="30"/>
      <c r="E680" s="30" t="s">
        <v>583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257</v>
      </c>
      <c r="C681" s="30" t="s">
        <v>866</v>
      </c>
      <c r="D681" s="30"/>
      <c r="E681" s="30" t="s">
        <v>583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257</v>
      </c>
      <c r="C682" s="30" t="s">
        <v>867</v>
      </c>
      <c r="D682" s="30"/>
      <c r="E682" s="30" t="s">
        <v>583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257</v>
      </c>
      <c r="C683" s="30" t="s">
        <v>868</v>
      </c>
      <c r="D683" s="30"/>
      <c r="E683" s="30" t="s">
        <v>583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257</v>
      </c>
      <c r="C684" s="30" t="s">
        <v>869</v>
      </c>
      <c r="D684" s="30"/>
      <c r="E684" s="30" t="s">
        <v>583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257</v>
      </c>
      <c r="C685" s="30" t="s">
        <v>870</v>
      </c>
      <c r="D685" s="30"/>
      <c r="E685" s="30" t="s">
        <v>583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257</v>
      </c>
      <c r="C686" s="30" t="s">
        <v>871</v>
      </c>
      <c r="D686" s="30"/>
      <c r="E686" s="30" t="s">
        <v>583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257</v>
      </c>
      <c r="C687" s="30" t="s">
        <v>872</v>
      </c>
      <c r="D687" s="30"/>
      <c r="E687" s="30" t="s">
        <v>583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257</v>
      </c>
      <c r="C688" s="30" t="s">
        <v>873</v>
      </c>
      <c r="D688" s="30"/>
      <c r="E688" s="30" t="s">
        <v>583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257</v>
      </c>
      <c r="C689" s="30" t="s">
        <v>874</v>
      </c>
      <c r="D689" s="30"/>
      <c r="E689" s="30" t="s">
        <v>583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257</v>
      </c>
      <c r="C690" s="30" t="s">
        <v>875</v>
      </c>
      <c r="D690" s="30"/>
      <c r="E690" s="30" t="s">
        <v>583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257</v>
      </c>
      <c r="C691" s="30" t="s">
        <v>876</v>
      </c>
      <c r="D691" s="30"/>
      <c r="E691" s="30" t="s">
        <v>583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257</v>
      </c>
      <c r="C692" s="30" t="s">
        <v>877</v>
      </c>
      <c r="D692" s="30"/>
      <c r="E692" s="30" t="s">
        <v>583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257</v>
      </c>
      <c r="C693" s="30" t="s">
        <v>878</v>
      </c>
      <c r="D693" s="30"/>
      <c r="E693" s="30" t="s">
        <v>583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257</v>
      </c>
      <c r="C694" s="30" t="s">
        <v>879</v>
      </c>
      <c r="D694" s="30"/>
      <c r="E694" s="30" t="s">
        <v>583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880</v>
      </c>
      <c r="D695" s="30"/>
      <c r="E695" s="30" t="s">
        <v>583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881</v>
      </c>
      <c r="D696" s="30"/>
      <c r="E696" s="30" t="s">
        <v>583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882</v>
      </c>
      <c r="D697" s="30"/>
      <c r="E697" s="30" t="s">
        <v>583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883</v>
      </c>
      <c r="D698" s="30"/>
      <c r="E698" s="30" t="s">
        <v>583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884</v>
      </c>
      <c r="D699" s="30"/>
      <c r="E699" s="30" t="s">
        <v>583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885</v>
      </c>
      <c r="D700" s="30"/>
      <c r="E700" s="30" t="s">
        <v>583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886</v>
      </c>
      <c r="D701" s="30"/>
      <c r="E701" s="30" t="s">
        <v>583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887</v>
      </c>
      <c r="D702" s="30"/>
      <c r="E702" s="30" t="s">
        <v>583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888</v>
      </c>
      <c r="D703" s="30"/>
      <c r="E703" s="30" t="s">
        <v>583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889</v>
      </c>
      <c r="D704" s="30"/>
      <c r="E704" s="30" t="s">
        <v>583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890</v>
      </c>
      <c r="D705" s="30"/>
      <c r="E705" s="30" t="s">
        <v>583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891</v>
      </c>
      <c r="D706" s="30"/>
      <c r="E706" s="30" t="s">
        <v>583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892</v>
      </c>
      <c r="D707" s="30"/>
      <c r="E707" s="30" t="s">
        <v>583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893</v>
      </c>
      <c r="D708" s="30"/>
      <c r="E708" s="30" t="s">
        <v>583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894</v>
      </c>
      <c r="D709" s="30"/>
      <c r="E709" s="30" t="s">
        <v>583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895</v>
      </c>
      <c r="D710" s="30"/>
      <c r="E710" s="30" t="s">
        <v>583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896</v>
      </c>
      <c r="D711" s="30"/>
      <c r="E711" s="30" t="s">
        <v>583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897</v>
      </c>
      <c r="D712" s="30"/>
      <c r="E712" s="30" t="s">
        <v>583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847</v>
      </c>
      <c r="C713" s="30" t="s">
        <v>898</v>
      </c>
      <c r="D713" s="30"/>
      <c r="E713" s="30" t="s">
        <v>583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847</v>
      </c>
      <c r="C714" s="30" t="s">
        <v>899</v>
      </c>
      <c r="D714" s="30"/>
      <c r="E714" s="30" t="s">
        <v>583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847</v>
      </c>
      <c r="C715" s="30" t="s">
        <v>900</v>
      </c>
      <c r="D715" s="30"/>
      <c r="E715" s="30" t="s">
        <v>583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847</v>
      </c>
      <c r="C716" s="30" t="s">
        <v>901</v>
      </c>
      <c r="D716" s="30"/>
      <c r="E716" s="30" t="s">
        <v>583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847</v>
      </c>
      <c r="C717" s="30" t="s">
        <v>902</v>
      </c>
      <c r="D717" s="30"/>
      <c r="E717" s="30" t="s">
        <v>583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847</v>
      </c>
      <c r="C718" s="30" t="s">
        <v>903</v>
      </c>
      <c r="D718" s="30"/>
      <c r="E718" s="30" t="s">
        <v>583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847</v>
      </c>
      <c r="C719" s="30" t="s">
        <v>904</v>
      </c>
      <c r="D719" s="30"/>
      <c r="E719" s="30" t="s">
        <v>583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847</v>
      </c>
      <c r="C720" s="30" t="s">
        <v>905</v>
      </c>
      <c r="D720" s="30"/>
      <c r="E720" s="30" t="s">
        <v>583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847</v>
      </c>
      <c r="C721" s="30" t="s">
        <v>906</v>
      </c>
      <c r="D721" s="30"/>
      <c r="E721" s="30" t="s">
        <v>583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847</v>
      </c>
      <c r="C722" s="30" t="s">
        <v>907</v>
      </c>
      <c r="D722" s="30"/>
      <c r="E722" s="30" t="s">
        <v>583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847</v>
      </c>
      <c r="C723" s="30" t="s">
        <v>908</v>
      </c>
      <c r="D723" s="30"/>
      <c r="E723" s="30" t="s">
        <v>583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847</v>
      </c>
      <c r="C724" s="30" t="s">
        <v>909</v>
      </c>
      <c r="D724" s="30"/>
      <c r="E724" s="30" t="s">
        <v>583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847</v>
      </c>
      <c r="C725" s="30" t="s">
        <v>910</v>
      </c>
      <c r="D725" s="30"/>
      <c r="E725" s="30" t="s">
        <v>583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847</v>
      </c>
      <c r="C726" s="30" t="s">
        <v>911</v>
      </c>
      <c r="D726" s="30"/>
      <c r="E726" s="30" t="s">
        <v>583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847</v>
      </c>
      <c r="C727" s="30" t="s">
        <v>912</v>
      </c>
      <c r="D727" s="30"/>
      <c r="E727" s="30" t="s">
        <v>583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847</v>
      </c>
      <c r="C728" s="30" t="s">
        <v>913</v>
      </c>
      <c r="D728" s="30"/>
      <c r="E728" s="30" t="s">
        <v>583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847</v>
      </c>
      <c r="C729" s="30" t="s">
        <v>914</v>
      </c>
      <c r="D729" s="30"/>
      <c r="E729" s="30" t="s">
        <v>583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847</v>
      </c>
      <c r="C730" s="30" t="s">
        <v>915</v>
      </c>
      <c r="D730" s="30"/>
      <c r="E730" s="30" t="s">
        <v>583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847</v>
      </c>
      <c r="C731" s="30" t="s">
        <v>916</v>
      </c>
      <c r="D731" s="30"/>
      <c r="E731" s="30" t="s">
        <v>583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847</v>
      </c>
      <c r="C732" s="30" t="s">
        <v>917</v>
      </c>
      <c r="D732" s="30"/>
      <c r="E732" s="30" t="s">
        <v>583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918</v>
      </c>
      <c r="C733" s="30" t="s">
        <v>919</v>
      </c>
      <c r="D733" s="30"/>
      <c r="E733" s="30" t="s">
        <v>920</v>
      </c>
      <c r="F733" s="30" t="s">
        <v>119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918</v>
      </c>
      <c r="C734" s="30" t="s">
        <v>921</v>
      </c>
      <c r="D734" s="30"/>
      <c r="E734" s="30" t="s">
        <v>920</v>
      </c>
      <c r="F734" s="30" t="s">
        <v>119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918</v>
      </c>
      <c r="C735" s="30" t="s">
        <v>922</v>
      </c>
      <c r="D735" s="30"/>
      <c r="E735" s="30" t="s">
        <v>920</v>
      </c>
      <c r="F735" s="30" t="s">
        <v>119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918</v>
      </c>
      <c r="C736" s="30" t="s">
        <v>923</v>
      </c>
      <c r="D736" s="30"/>
      <c r="E736" s="30" t="s">
        <v>920</v>
      </c>
      <c r="F736" s="30" t="s">
        <v>119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918</v>
      </c>
      <c r="C737" s="30" t="s">
        <v>924</v>
      </c>
      <c r="D737" s="30"/>
      <c r="E737" s="30" t="s">
        <v>920</v>
      </c>
      <c r="F737" s="30" t="s">
        <v>119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918</v>
      </c>
      <c r="C738" s="30" t="s">
        <v>925</v>
      </c>
      <c r="D738" s="30"/>
      <c r="E738" s="30" t="s">
        <v>920</v>
      </c>
      <c r="F738" s="30" t="s">
        <v>119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918</v>
      </c>
      <c r="C739" s="30" t="s">
        <v>926</v>
      </c>
      <c r="D739" s="30"/>
      <c r="E739" s="30" t="s">
        <v>920</v>
      </c>
      <c r="F739" s="30" t="s">
        <v>119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918</v>
      </c>
      <c r="C740" s="30" t="s">
        <v>927</v>
      </c>
      <c r="D740" s="30"/>
      <c r="E740" s="30" t="s">
        <v>920</v>
      </c>
      <c r="F740" s="30" t="s">
        <v>119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918</v>
      </c>
      <c r="C741" s="30" t="s">
        <v>928</v>
      </c>
      <c r="D741" s="30"/>
      <c r="E741" s="30" t="s">
        <v>920</v>
      </c>
      <c r="F741" s="30" t="s">
        <v>119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918</v>
      </c>
      <c r="C742" s="30" t="s">
        <v>929</v>
      </c>
      <c r="D742" s="30"/>
      <c r="E742" s="30" t="s">
        <v>920</v>
      </c>
      <c r="F742" s="30" t="s">
        <v>119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918</v>
      </c>
      <c r="C743" s="30" t="s">
        <v>930</v>
      </c>
      <c r="D743" s="30"/>
      <c r="E743" s="30" t="s">
        <v>920</v>
      </c>
      <c r="F743" s="30" t="s">
        <v>119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918</v>
      </c>
      <c r="C744" s="30" t="s">
        <v>931</v>
      </c>
      <c r="D744" s="30"/>
      <c r="E744" s="30" t="s">
        <v>920</v>
      </c>
      <c r="F744" s="30" t="s">
        <v>119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918</v>
      </c>
      <c r="C745" s="30" t="s">
        <v>932</v>
      </c>
      <c r="D745" s="30"/>
      <c r="E745" s="30" t="s">
        <v>920</v>
      </c>
      <c r="F745" s="30" t="s">
        <v>119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918</v>
      </c>
      <c r="C746" s="30" t="s">
        <v>933</v>
      </c>
      <c r="D746" s="30"/>
      <c r="E746" s="30" t="s">
        <v>920</v>
      </c>
      <c r="F746" s="30" t="s">
        <v>119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918</v>
      </c>
      <c r="C747" s="30" t="s">
        <v>934</v>
      </c>
      <c r="D747" s="30"/>
      <c r="E747" s="30" t="s">
        <v>920</v>
      </c>
      <c r="F747" s="30" t="s">
        <v>119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918</v>
      </c>
      <c r="C748" s="30" t="s">
        <v>935</v>
      </c>
      <c r="D748" s="30"/>
      <c r="E748" s="30" t="s">
        <v>920</v>
      </c>
      <c r="F748" s="30" t="s">
        <v>119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918</v>
      </c>
      <c r="C749" s="30" t="s">
        <v>936</v>
      </c>
      <c r="D749" s="30"/>
      <c r="E749" s="30" t="s">
        <v>920</v>
      </c>
      <c r="F749" s="30" t="s">
        <v>119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918</v>
      </c>
      <c r="C750" s="30" t="s">
        <v>937</v>
      </c>
      <c r="D750" s="30"/>
      <c r="E750" s="30" t="s">
        <v>920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918</v>
      </c>
      <c r="C751" s="30" t="s">
        <v>938</v>
      </c>
      <c r="D751" s="30"/>
      <c r="E751" s="30" t="s">
        <v>920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918</v>
      </c>
      <c r="C752" s="30" t="s">
        <v>939</v>
      </c>
      <c r="D752" s="30"/>
      <c r="E752" s="30" t="s">
        <v>920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918</v>
      </c>
      <c r="C753" s="30" t="s">
        <v>940</v>
      </c>
      <c r="D753" s="30"/>
      <c r="E753" s="30" t="s">
        <v>920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941</v>
      </c>
      <c r="C754" s="30" t="s">
        <v>942</v>
      </c>
      <c r="D754" s="30"/>
      <c r="E754" s="30" t="s">
        <v>920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941</v>
      </c>
      <c r="C755" s="30" t="s">
        <v>943</v>
      </c>
      <c r="D755" s="30"/>
      <c r="E755" s="30" t="s">
        <v>920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941</v>
      </c>
      <c r="C756" s="30" t="s">
        <v>944</v>
      </c>
      <c r="D756" s="30"/>
      <c r="E756" s="30" t="s">
        <v>920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941</v>
      </c>
      <c r="C757" s="30" t="s">
        <v>945</v>
      </c>
      <c r="D757" s="30"/>
      <c r="E757" s="30" t="s">
        <v>920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941</v>
      </c>
      <c r="C758" s="30" t="s">
        <v>946</v>
      </c>
      <c r="D758" s="30"/>
      <c r="E758" s="30" t="s">
        <v>920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941</v>
      </c>
      <c r="C759" s="30" t="s">
        <v>947</v>
      </c>
      <c r="D759" s="30"/>
      <c r="E759" s="30" t="s">
        <v>920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941</v>
      </c>
      <c r="C760" s="30" t="s">
        <v>948</v>
      </c>
      <c r="D760" s="30"/>
      <c r="E760" s="30" t="s">
        <v>920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941</v>
      </c>
      <c r="C761" s="30" t="s">
        <v>949</v>
      </c>
      <c r="D761" s="30"/>
      <c r="E761" s="30" t="s">
        <v>920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941</v>
      </c>
      <c r="C762" s="30" t="s">
        <v>950</v>
      </c>
      <c r="D762" s="30"/>
      <c r="E762" s="30" t="s">
        <v>920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941</v>
      </c>
      <c r="C763" s="30" t="s">
        <v>951</v>
      </c>
      <c r="D763" s="30"/>
      <c r="E763" s="30" t="s">
        <v>920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918</v>
      </c>
      <c r="C764" s="30" t="s">
        <v>952</v>
      </c>
      <c r="D764" s="30"/>
      <c r="E764" s="30" t="s">
        <v>920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953</v>
      </c>
      <c r="C765" s="30" t="s">
        <v>954</v>
      </c>
      <c r="D765" s="30"/>
      <c r="E765" s="30" t="s">
        <v>920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953</v>
      </c>
      <c r="C766" s="30" t="s">
        <v>955</v>
      </c>
      <c r="D766" s="30"/>
      <c r="E766" s="30" t="s">
        <v>920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953</v>
      </c>
      <c r="C767" s="30" t="s">
        <v>956</v>
      </c>
      <c r="D767" s="30"/>
      <c r="E767" s="30" t="s">
        <v>920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953</v>
      </c>
      <c r="C768" s="30" t="s">
        <v>957</v>
      </c>
      <c r="D768" s="30"/>
      <c r="E768" s="30" t="s">
        <v>920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953</v>
      </c>
      <c r="C769" s="30" t="s">
        <v>958</v>
      </c>
      <c r="D769" s="30"/>
      <c r="E769" s="30" t="s">
        <v>920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953</v>
      </c>
      <c r="C770" s="30" t="s">
        <v>959</v>
      </c>
      <c r="D770" s="30"/>
      <c r="E770" s="30" t="s">
        <v>920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941</v>
      </c>
      <c r="C771" s="30" t="s">
        <v>960</v>
      </c>
      <c r="D771" s="30"/>
      <c r="E771" s="30" t="s">
        <v>920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941</v>
      </c>
      <c r="C772" s="30" t="s">
        <v>961</v>
      </c>
      <c r="D772" s="30"/>
      <c r="E772" s="30" t="s">
        <v>920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941</v>
      </c>
      <c r="C773" s="30" t="s">
        <v>962</v>
      </c>
      <c r="D773" s="30"/>
      <c r="E773" s="30" t="s">
        <v>920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941</v>
      </c>
      <c r="C774" s="30" t="s">
        <v>963</v>
      </c>
      <c r="D774" s="30"/>
      <c r="E774" s="30" t="s">
        <v>920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941</v>
      </c>
      <c r="C775" s="30" t="s">
        <v>964</v>
      </c>
      <c r="D775" s="30"/>
      <c r="E775" s="30" t="s">
        <v>920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941</v>
      </c>
      <c r="C776" s="30" t="s">
        <v>965</v>
      </c>
      <c r="D776" s="30"/>
      <c r="E776" s="30" t="s">
        <v>920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941</v>
      </c>
      <c r="C777" s="30" t="s">
        <v>966</v>
      </c>
      <c r="D777" s="30"/>
      <c r="E777" s="30" t="s">
        <v>920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967</v>
      </c>
      <c r="C778" s="30" t="s">
        <v>968</v>
      </c>
      <c r="D778" s="30"/>
      <c r="E778" s="30" t="s">
        <v>920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967</v>
      </c>
      <c r="C779" s="30" t="s">
        <v>969</v>
      </c>
      <c r="D779" s="30"/>
      <c r="E779" s="30" t="s">
        <v>920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967</v>
      </c>
      <c r="C780" s="30" t="s">
        <v>970</v>
      </c>
      <c r="D780" s="30"/>
      <c r="E780" s="30" t="s">
        <v>920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967</v>
      </c>
      <c r="C781" s="30" t="s">
        <v>971</v>
      </c>
      <c r="D781" s="30"/>
      <c r="E781" s="30" t="s">
        <v>920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967</v>
      </c>
      <c r="C782" s="30" t="s">
        <v>972</v>
      </c>
      <c r="D782" s="30"/>
      <c r="E782" s="30" t="s">
        <v>920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967</v>
      </c>
      <c r="C783" s="30" t="s">
        <v>973</v>
      </c>
      <c r="D783" s="30"/>
      <c r="E783" s="30" t="s">
        <v>920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967</v>
      </c>
      <c r="C784" s="30" t="s">
        <v>974</v>
      </c>
      <c r="D784" s="30"/>
      <c r="E784" s="30" t="s">
        <v>920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967</v>
      </c>
      <c r="C785" s="30" t="s">
        <v>975</v>
      </c>
      <c r="D785" s="30"/>
      <c r="E785" s="30" t="s">
        <v>920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976</v>
      </c>
      <c r="B786" s="30" t="s">
        <v>734</v>
      </c>
      <c r="C786" s="30" t="s">
        <v>977</v>
      </c>
      <c r="D786" s="30"/>
      <c r="E786" s="30" t="s">
        <v>978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223</v>
      </c>
      <c r="C787" s="30" t="s">
        <v>979</v>
      </c>
      <c r="D787" s="30"/>
      <c r="E787" s="30" t="s">
        <v>980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223</v>
      </c>
      <c r="C788" s="30" t="s">
        <v>981</v>
      </c>
      <c r="D788" s="30"/>
      <c r="E788" s="30" t="s">
        <v>980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223</v>
      </c>
      <c r="C789" s="30" t="s">
        <v>982</v>
      </c>
      <c r="D789" s="30"/>
      <c r="E789" s="30" t="s">
        <v>980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223</v>
      </c>
      <c r="C790" s="30" t="s">
        <v>983</v>
      </c>
      <c r="D790" s="30"/>
      <c r="E790" s="30" t="s">
        <v>980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223</v>
      </c>
      <c r="C791" s="30" t="s">
        <v>984</v>
      </c>
      <c r="D791" s="30"/>
      <c r="E791" s="30" t="s">
        <v>980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223</v>
      </c>
      <c r="C792" s="30" t="s">
        <v>985</v>
      </c>
      <c r="D792" s="30"/>
      <c r="E792" s="30" t="s">
        <v>980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223</v>
      </c>
      <c r="C793" s="30" t="s">
        <v>986</v>
      </c>
      <c r="D793" s="30"/>
      <c r="E793" s="30" t="s">
        <v>980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223</v>
      </c>
      <c r="C794" s="30" t="s">
        <v>987</v>
      </c>
      <c r="D794" s="30"/>
      <c r="E794" s="30" t="s">
        <v>980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223</v>
      </c>
      <c r="C795" s="30" t="s">
        <v>988</v>
      </c>
      <c r="D795" s="30"/>
      <c r="E795" s="30" t="s">
        <v>980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223</v>
      </c>
      <c r="C796" s="30" t="s">
        <v>989</v>
      </c>
      <c r="D796" s="30"/>
      <c r="E796" s="30" t="s">
        <v>980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223</v>
      </c>
      <c r="C797" s="30" t="s">
        <v>990</v>
      </c>
      <c r="D797" s="30"/>
      <c r="E797" s="30" t="s">
        <v>980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223</v>
      </c>
      <c r="C798" s="30" t="s">
        <v>991</v>
      </c>
      <c r="D798" s="30"/>
      <c r="E798" s="30" t="s">
        <v>980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223</v>
      </c>
      <c r="C799" s="30" t="s">
        <v>992</v>
      </c>
      <c r="D799" s="30"/>
      <c r="E799" s="30" t="s">
        <v>980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223</v>
      </c>
      <c r="C800" s="30" t="s">
        <v>993</v>
      </c>
      <c r="D800" s="30"/>
      <c r="E800" s="30" t="s">
        <v>980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223</v>
      </c>
      <c r="C801" s="30" t="s">
        <v>994</v>
      </c>
      <c r="D801" s="30"/>
      <c r="E801" s="30" t="s">
        <v>980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995</v>
      </c>
      <c r="B802" s="30" t="s">
        <v>996</v>
      </c>
      <c r="C802" s="30" t="s">
        <v>997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995</v>
      </c>
      <c r="B803" s="30" t="s">
        <v>996</v>
      </c>
      <c r="C803" s="30" t="s">
        <v>998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995</v>
      </c>
      <c r="B804" s="30" t="s">
        <v>996</v>
      </c>
      <c r="C804" s="30" t="s">
        <v>999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995</v>
      </c>
      <c r="B805" s="30" t="s">
        <v>996</v>
      </c>
      <c r="C805" s="30" t="s">
        <v>1000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995</v>
      </c>
      <c r="B806" s="30" t="s">
        <v>1001</v>
      </c>
      <c r="C806" s="30" t="s">
        <v>1002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995</v>
      </c>
      <c r="B807" s="30" t="s">
        <v>1001</v>
      </c>
      <c r="C807" s="30" t="s">
        <v>1003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995</v>
      </c>
      <c r="B808" s="30" t="s">
        <v>1001</v>
      </c>
      <c r="C808" s="30" t="s">
        <v>1004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718</v>
      </c>
      <c r="C809" s="30" t="s">
        <v>1005</v>
      </c>
      <c r="D809" s="30"/>
      <c r="E809" s="30" t="s">
        <v>920</v>
      </c>
      <c r="F809" s="30" t="s">
        <v>91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684</v>
      </c>
      <c r="C810" s="30" t="s">
        <v>1006</v>
      </c>
      <c r="D810" s="30"/>
      <c r="E810" s="30" t="s">
        <v>920</v>
      </c>
      <c r="F810" s="30" t="s">
        <v>91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684</v>
      </c>
      <c r="C811" s="30" t="s">
        <v>1007</v>
      </c>
      <c r="D811" s="30"/>
      <c r="E811" s="30" t="s">
        <v>920</v>
      </c>
      <c r="F811" s="30" t="s">
        <v>91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684</v>
      </c>
      <c r="C812" s="30" t="s">
        <v>1008</v>
      </c>
      <c r="D812" s="30"/>
      <c r="E812" s="30" t="s">
        <v>920</v>
      </c>
      <c r="F812" s="30" t="s">
        <v>91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1009</v>
      </c>
      <c r="B813" s="30" t="s">
        <v>755</v>
      </c>
      <c r="C813" s="30" t="s">
        <v>1010</v>
      </c>
      <c r="D813" s="30"/>
      <c r="E813" s="30" t="s">
        <v>1011</v>
      </c>
      <c r="F813" s="30" t="s">
        <v>91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1009</v>
      </c>
      <c r="B814" s="30" t="s">
        <v>734</v>
      </c>
      <c r="C814" s="30" t="s">
        <v>1012</v>
      </c>
      <c r="D814" s="30"/>
      <c r="E814" s="30" t="s">
        <v>1011</v>
      </c>
      <c r="F814" s="30" t="s">
        <v>91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1009</v>
      </c>
      <c r="B815" s="30" t="s">
        <v>734</v>
      </c>
      <c r="C815" s="30" t="s">
        <v>1013</v>
      </c>
      <c r="D815" s="30"/>
      <c r="E815" s="30" t="s">
        <v>1011</v>
      </c>
      <c r="F815" s="30" t="s">
        <v>91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1009</v>
      </c>
      <c r="B816" s="30" t="s">
        <v>734</v>
      </c>
      <c r="C816" s="30" t="s">
        <v>1014</v>
      </c>
      <c r="D816" s="30"/>
      <c r="E816" s="30" t="s">
        <v>1011</v>
      </c>
      <c r="F816" s="30" t="s">
        <v>91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1009</v>
      </c>
      <c r="B817" s="30" t="s">
        <v>734</v>
      </c>
      <c r="C817" s="30" t="s">
        <v>1015</v>
      </c>
      <c r="D817" s="30"/>
      <c r="E817" s="30" t="s">
        <v>1011</v>
      </c>
      <c r="F817" s="30" t="s">
        <v>91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1009</v>
      </c>
      <c r="B818" s="30" t="s">
        <v>755</v>
      </c>
      <c r="C818" s="30" t="s">
        <v>1016</v>
      </c>
      <c r="D818" s="30"/>
      <c r="E818" s="30" t="s">
        <v>1011</v>
      </c>
      <c r="F818" s="30" t="s">
        <v>91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1017</v>
      </c>
      <c r="B819" s="30" t="s">
        <v>611</v>
      </c>
      <c r="C819" s="30" t="s">
        <v>1018</v>
      </c>
      <c r="D819" s="30"/>
      <c r="E819" s="30" t="s">
        <v>1019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1017</v>
      </c>
      <c r="B820" s="30" t="s">
        <v>611</v>
      </c>
      <c r="C820" s="30" t="s">
        <v>1020</v>
      </c>
      <c r="D820" s="30"/>
      <c r="E820" s="30" t="s">
        <v>1019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1017</v>
      </c>
      <c r="B821" s="30" t="s">
        <v>611</v>
      </c>
      <c r="C821" s="30" t="s">
        <v>1021</v>
      </c>
      <c r="D821" s="30"/>
      <c r="E821" s="30" t="s">
        <v>1019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1017</v>
      </c>
      <c r="B822" s="30" t="s">
        <v>611</v>
      </c>
      <c r="C822" s="30" t="s">
        <v>1022</v>
      </c>
      <c r="D822" s="30"/>
      <c r="E822" s="30" t="s">
        <v>1019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1017</v>
      </c>
      <c r="B823" s="30" t="s">
        <v>611</v>
      </c>
      <c r="C823" s="30" t="s">
        <v>1023</v>
      </c>
      <c r="D823" s="30"/>
      <c r="E823" s="30" t="s">
        <v>1019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1017</v>
      </c>
      <c r="B824" s="30" t="s">
        <v>611</v>
      </c>
      <c r="C824" s="30" t="s">
        <v>1024</v>
      </c>
      <c r="D824" s="30"/>
      <c r="E824" s="30" t="s">
        <v>1019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1017</v>
      </c>
      <c r="B825" s="30" t="s">
        <v>611</v>
      </c>
      <c r="C825" s="30" t="s">
        <v>1025</v>
      </c>
      <c r="D825" s="30"/>
      <c r="E825" s="30" t="s">
        <v>1019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1017</v>
      </c>
      <c r="B826" s="30" t="s">
        <v>611</v>
      </c>
      <c r="C826" s="30" t="s">
        <v>1026</v>
      </c>
      <c r="D826" s="30"/>
      <c r="E826" s="30" t="s">
        <v>1019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1017</v>
      </c>
      <c r="B827" s="30" t="s">
        <v>611</v>
      </c>
      <c r="C827" s="30" t="s">
        <v>1027</v>
      </c>
      <c r="D827" s="30"/>
      <c r="E827" s="30" t="s">
        <v>1019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1017</v>
      </c>
      <c r="B828" s="30" t="s">
        <v>611</v>
      </c>
      <c r="C828" s="30" t="s">
        <v>1028</v>
      </c>
      <c r="D828" s="30"/>
      <c r="E828" s="30" t="s">
        <v>1019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1017</v>
      </c>
      <c r="B829" s="30" t="s">
        <v>611</v>
      </c>
      <c r="C829" s="30" t="s">
        <v>1029</v>
      </c>
      <c r="D829" s="30"/>
      <c r="E829" s="30" t="s">
        <v>1019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104</v>
      </c>
      <c r="C830" s="30" t="s">
        <v>1030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104</v>
      </c>
      <c r="C831" s="30" t="s">
        <v>1031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104</v>
      </c>
      <c r="C832" s="30" t="s">
        <v>1032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104</v>
      </c>
      <c r="C833" s="30" t="s">
        <v>1033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104</v>
      </c>
      <c r="C834" s="30" t="s">
        <v>1034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104</v>
      </c>
      <c r="C835" s="30" t="s">
        <v>1035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104</v>
      </c>
      <c r="C836" s="30" t="s">
        <v>1036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104</v>
      </c>
      <c r="C837" s="30" t="s">
        <v>1037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104</v>
      </c>
      <c r="C838" s="30" t="s">
        <v>1038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104</v>
      </c>
      <c r="C839" s="30" t="s">
        <v>1039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104</v>
      </c>
      <c r="C840" s="30" t="s">
        <v>1040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104</v>
      </c>
      <c r="C841" s="30" t="s">
        <v>1041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104</v>
      </c>
      <c r="C842" s="30" t="s">
        <v>1042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104</v>
      </c>
      <c r="C843" s="30" t="s">
        <v>1043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104</v>
      </c>
      <c r="C844" s="30" t="s">
        <v>1044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104</v>
      </c>
      <c r="C845" s="30" t="s">
        <v>1045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104</v>
      </c>
      <c r="C846" s="30" t="s">
        <v>1046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1047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1048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1049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581</v>
      </c>
      <c r="C850" s="30" t="s">
        <v>1050</v>
      </c>
      <c r="D850" s="30"/>
      <c r="E850" s="30" t="s">
        <v>583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581</v>
      </c>
      <c r="C851" s="30" t="s">
        <v>1051</v>
      </c>
      <c r="D851" s="30"/>
      <c r="E851" s="30" t="s">
        <v>583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581</v>
      </c>
      <c r="C852" s="30" t="s">
        <v>1052</v>
      </c>
      <c r="D852" s="30"/>
      <c r="E852" s="30" t="s">
        <v>583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1009</v>
      </c>
      <c r="B853" s="30" t="s">
        <v>755</v>
      </c>
      <c r="C853" s="30" t="s">
        <v>81</v>
      </c>
      <c r="D853" s="30"/>
      <c r="E853" s="30" t="s">
        <v>1011</v>
      </c>
      <c r="F853" s="30" t="s">
        <v>91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1009</v>
      </c>
      <c r="B854" s="30" t="s">
        <v>734</v>
      </c>
      <c r="C854" s="30" t="s">
        <v>1053</v>
      </c>
      <c r="D854" s="30"/>
      <c r="E854" s="30" t="s">
        <v>1011</v>
      </c>
      <c r="F854" s="30" t="s">
        <v>91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1009</v>
      </c>
      <c r="B855" s="30" t="s">
        <v>727</v>
      </c>
      <c r="C855" s="30" t="s">
        <v>1054</v>
      </c>
      <c r="D855" s="30"/>
      <c r="E855" s="30" t="s">
        <v>1011</v>
      </c>
      <c r="F855" s="30" t="s">
        <v>91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1009</v>
      </c>
      <c r="B856" s="30" t="s">
        <v>734</v>
      </c>
      <c r="C856" s="30" t="s">
        <v>1055</v>
      </c>
      <c r="D856" s="30"/>
      <c r="E856" s="30" t="s">
        <v>1011</v>
      </c>
      <c r="F856" s="30" t="s">
        <v>91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1009</v>
      </c>
      <c r="B857" s="30" t="s">
        <v>734</v>
      </c>
      <c r="C857" s="30" t="s">
        <v>1056</v>
      </c>
      <c r="D857" s="30"/>
      <c r="E857" s="30" t="s">
        <v>1011</v>
      </c>
      <c r="F857" s="30" t="s">
        <v>91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115</v>
      </c>
      <c r="B858" s="30" t="s">
        <v>116</v>
      </c>
      <c r="C858" s="30" t="s">
        <v>1057</v>
      </c>
      <c r="D858" s="30"/>
      <c r="E858" s="30" t="s">
        <v>118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1059</v>
      </c>
      <c r="K2" s="12"/>
      <c r="L2" s="12"/>
    </row>
    <row r="3" spans="1:15" ht="22" customHeight="1">
      <c r="B3" s="33" t="s">
        <v>1060</v>
      </c>
      <c r="C3" s="33"/>
      <c r="E3" s="33" t="s">
        <v>1077</v>
      </c>
      <c r="F3" s="33"/>
      <c r="G3" s="33"/>
      <c r="I3" s="33" t="s">
        <v>1082</v>
      </c>
      <c r="J3" s="33"/>
      <c r="K3" s="33"/>
      <c r="M3" s="33" t="s">
        <v>1083</v>
      </c>
      <c r="N3" s="33"/>
      <c r="O3" s="33"/>
    </row>
    <row r="4" spans="1:15">
      <c r="B4" s="34" t="s">
        <v>1061</v>
      </c>
      <c r="C4" s="35">
        <f>SUMPRODUCT(--(('W rejestracji'!$A$9:$A$3000&amp;'W rejestracji'!$C$9:$C$3000)&lt;&gt;""))</f>
        <v>0</v>
      </c>
      <c r="E4" s="21" t="s">
        <v>1078</v>
      </c>
      <c r="F4" s="21" t="s">
        <v>1079</v>
      </c>
      <c r="G4" s="21" t="s">
        <v>1076</v>
      </c>
      <c r="I4" s="21" t="s">
        <v>1078</v>
      </c>
      <c r="J4" s="21" t="s">
        <v>1079</v>
      </c>
      <c r="K4" s="21" t="s">
        <v>1076</v>
      </c>
      <c r="M4" s="21" t="s">
        <v>1078</v>
      </c>
      <c r="N4" s="21" t="s">
        <v>1079</v>
      </c>
      <c r="O4" s="21" t="s">
        <v>1076</v>
      </c>
    </row>
    <row r="5" spans="1:15">
      <c r="B5" s="34" t="s">
        <v>1062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1063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1064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115</v>
      </c>
      <c r="J7" s="36">
        <f>COUNTIF('W rejestracji'!$A$9:$A$3000,I7)</f>
        <v>0</v>
      </c>
      <c r="K7" s="36">
        <f>COUNTIF(Zarejestrowane!$A$9:$A$3000,I7)</f>
        <v>0</v>
      </c>
      <c r="M7" s="34" t="s">
        <v>980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1065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667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1066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1067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583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1080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1068</v>
      </c>
      <c r="C12" s="33"/>
      <c r="D12" s="33"/>
      <c r="E12" s="37" t="s">
        <v>1081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1069</v>
      </c>
      <c r="C13" s="18" t="s">
        <v>1070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600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1070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1070</v>
      </c>
      <c r="I15" s="34" t="s">
        <v>664</v>
      </c>
      <c r="J15" s="36">
        <f>COUNTIF('W rejestracji'!$A$9:$A$3000,I15)</f>
        <v>0</v>
      </c>
      <c r="K15" s="36">
        <f>COUNTIF(Zarejestrowane!$A$9:$A$3000,I15)</f>
        <v>0</v>
      </c>
      <c r="M15" s="34" t="s">
        <v>1011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1070</v>
      </c>
      <c r="D16" s="12" t="s">
        <v>1073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1071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920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1072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1080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1081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1074</v>
      </c>
      <c r="C21" s="33"/>
      <c r="D21" s="33"/>
      <c r="M21" s="34" t="s">
        <v>729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1069</v>
      </c>
      <c r="C22" s="21" t="s">
        <v>1075</v>
      </c>
      <c r="D22" s="21" t="s">
        <v>1076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1019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762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821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1080</v>
      </c>
      <c r="N37" s="36">
        <f>$C$4-SUM(N5:N36)</f>
        <v>0</v>
      </c>
      <c r="O37" s="36">
        <f>$C$5-SUM(O5:O36)</f>
        <v>0</v>
      </c>
    </row>
    <row r="38" spans="13:15">
      <c r="M38" s="37" t="s">
        <v>1081</v>
      </c>
      <c r="N38" s="38">
        <f>SUM(N5:N37)</f>
        <v>0</v>
      </c>
      <c r="O38" s="38">
        <f>SUM(O5:O37)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1084</v>
      </c>
      <c r="B1" s="1"/>
      <c r="C1" s="1"/>
      <c r="D1" s="2" t="s">
        <v>1</v>
      </c>
    </row>
    <row r="3" spans="1:4">
      <c r="A3" s="12" t="s">
        <v>1085</v>
      </c>
    </row>
    <row r="4" spans="1:4">
      <c r="A4" s="21" t="s">
        <v>1086</v>
      </c>
      <c r="B4" s="21" t="s">
        <v>17</v>
      </c>
    </row>
    <row r="5" spans="1:4">
      <c r="A5" s="13" t="s">
        <v>1087</v>
      </c>
      <c r="B5" s="13" t="s">
        <v>1035</v>
      </c>
    </row>
    <row r="6" spans="1:4">
      <c r="A6" s="13" t="s">
        <v>1088</v>
      </c>
      <c r="B6" s="13" t="s">
        <v>1046</v>
      </c>
    </row>
    <row r="7" spans="1:4">
      <c r="A7" s="13" t="s">
        <v>1088</v>
      </c>
      <c r="B7" s="13" t="s">
        <v>1036</v>
      </c>
    </row>
    <row r="8" spans="1:4">
      <c r="A8" s="13" t="s">
        <v>1088</v>
      </c>
      <c r="B8" s="13" t="s">
        <v>107</v>
      </c>
    </row>
    <row r="9" spans="1:4">
      <c r="A9" s="13" t="s">
        <v>1088</v>
      </c>
      <c r="B9" s="13" t="s">
        <v>1030</v>
      </c>
    </row>
    <row r="10" spans="1:4">
      <c r="A10" s="13" t="s">
        <v>1088</v>
      </c>
      <c r="B10" s="13" t="s">
        <v>1033</v>
      </c>
    </row>
    <row r="11" spans="1:4">
      <c r="A11" s="13" t="s">
        <v>1089</v>
      </c>
      <c r="B11" s="13" t="s">
        <v>101</v>
      </c>
    </row>
    <row r="12" spans="1:4">
      <c r="A12" s="13" t="s">
        <v>1087</v>
      </c>
      <c r="B12" s="13" t="s">
        <v>1090</v>
      </c>
    </row>
    <row r="13" spans="1:4">
      <c r="A13" s="13" t="s">
        <v>1087</v>
      </c>
      <c r="B13" s="13" t="s">
        <v>1039</v>
      </c>
    </row>
    <row r="14" spans="1:4">
      <c r="A14" s="13" t="s">
        <v>1087</v>
      </c>
      <c r="B14" s="13" t="s">
        <v>1043</v>
      </c>
    </row>
    <row r="15" spans="1:4">
      <c r="A15" s="13" t="s">
        <v>1087</v>
      </c>
      <c r="B15" s="13" t="s">
        <v>1049</v>
      </c>
    </row>
    <row r="16" spans="1:4">
      <c r="A16" s="13" t="s">
        <v>1087</v>
      </c>
      <c r="B16" s="13" t="s">
        <v>1038</v>
      </c>
    </row>
    <row r="17" spans="1:2">
      <c r="A17" s="13" t="s">
        <v>1087</v>
      </c>
      <c r="B17" s="13" t="s">
        <v>1032</v>
      </c>
    </row>
    <row r="18" spans="1:2">
      <c r="A18" s="13" t="s">
        <v>1087</v>
      </c>
      <c r="B18" s="13" t="s">
        <v>1037</v>
      </c>
    </row>
    <row r="19" spans="1:2">
      <c r="A19" s="13" t="s">
        <v>1087</v>
      </c>
      <c r="B19" s="13" t="s">
        <v>1034</v>
      </c>
    </row>
    <row r="20" spans="1:2">
      <c r="A20" s="13" t="s">
        <v>1087</v>
      </c>
      <c r="B20" s="13" t="s">
        <v>1045</v>
      </c>
    </row>
    <row r="21" spans="1:2">
      <c r="A21" s="13" t="s">
        <v>1087</v>
      </c>
      <c r="B21" s="13" t="s">
        <v>1040</v>
      </c>
    </row>
    <row r="22" spans="1:2">
      <c r="A22" s="13" t="s">
        <v>1087</v>
      </c>
      <c r="B22" s="13" t="s">
        <v>1044</v>
      </c>
    </row>
    <row r="23" spans="1:2">
      <c r="A23" s="13" t="s">
        <v>1087</v>
      </c>
      <c r="B23" s="13" t="s">
        <v>1048</v>
      </c>
    </row>
    <row r="24" spans="1:2">
      <c r="A24" s="13" t="s">
        <v>1087</v>
      </c>
      <c r="B24" s="13" t="s">
        <v>1041</v>
      </c>
    </row>
    <row r="25" spans="1:2">
      <c r="A25" s="13" t="s">
        <v>1087</v>
      </c>
      <c r="B25" s="13" t="s">
        <v>1031</v>
      </c>
    </row>
    <row r="26" spans="1:2">
      <c r="A26" s="13" t="s">
        <v>1087</v>
      </c>
      <c r="B26" s="13" t="s">
        <v>1042</v>
      </c>
    </row>
    <row r="27" spans="1:2">
      <c r="A27" s="13" t="s">
        <v>1087</v>
      </c>
      <c r="B27" s="13" t="s">
        <v>112</v>
      </c>
    </row>
    <row r="28" spans="1:2">
      <c r="A28" s="13" t="s">
        <v>1087</v>
      </c>
      <c r="B28" s="13" t="s">
        <v>113</v>
      </c>
    </row>
    <row r="29" spans="1:2">
      <c r="A29" s="13" t="s">
        <v>1087</v>
      </c>
      <c r="B29" s="13" t="s">
        <v>1047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1091</v>
      </c>
      <c r="B1" s="21" t="s">
        <v>1092</v>
      </c>
      <c r="C1" s="21" t="s">
        <v>1093</v>
      </c>
      <c r="D1" s="21" t="s">
        <v>1094</v>
      </c>
      <c r="E1" s="21" t="s">
        <v>1095</v>
      </c>
      <c r="F1" s="21" t="s">
        <v>1096</v>
      </c>
      <c r="G1" s="21" t="s">
        <v>1105</v>
      </c>
      <c r="H1" s="21" t="s">
        <v>1106</v>
      </c>
      <c r="I1" s="21" t="s">
        <v>1107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1070</v>
      </c>
      <c r="G2" s="13" t="s">
        <v>1070</v>
      </c>
      <c r="H2" s="13" t="s">
        <v>1070</v>
      </c>
      <c r="I2" s="13" t="s">
        <v>1070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1097</v>
      </c>
      <c r="G3" s="13" t="s">
        <v>477</v>
      </c>
      <c r="H3" s="13" t="s">
        <v>566</v>
      </c>
      <c r="I3" s="13" t="s">
        <v>118</v>
      </c>
    </row>
    <row r="4" spans="1:9">
      <c r="A4" s="13" t="s">
        <v>115</v>
      </c>
      <c r="B4" s="13" t="s">
        <v>980</v>
      </c>
      <c r="C4" s="13" t="s">
        <v>119</v>
      </c>
      <c r="D4" s="13" t="s">
        <v>65</v>
      </c>
      <c r="E4" s="14">
        <f>TODAY()-2</f>
        <v>0</v>
      </c>
      <c r="F4" s="13" t="s">
        <v>1098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667</v>
      </c>
      <c r="C5" s="13" t="s">
        <v>56</v>
      </c>
      <c r="E5" s="14">
        <f>TODAY()-3</f>
        <v>0</v>
      </c>
      <c r="F5" s="13" t="s">
        <v>1099</v>
      </c>
      <c r="G5" s="13" t="s">
        <v>119</v>
      </c>
      <c r="H5" s="13" t="s">
        <v>115</v>
      </c>
      <c r="I5" s="13" t="s">
        <v>980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1100</v>
      </c>
      <c r="G6" s="13" t="s">
        <v>56</v>
      </c>
      <c r="H6" s="13" t="s">
        <v>26</v>
      </c>
      <c r="I6" s="13" t="s">
        <v>667</v>
      </c>
    </row>
    <row r="7" spans="1:9">
      <c r="A7" s="13" t="s">
        <v>174</v>
      </c>
      <c r="B7" s="13" t="s">
        <v>583</v>
      </c>
      <c r="C7" s="13" t="s">
        <v>66</v>
      </c>
      <c r="E7" s="14">
        <f>TODAY()-5</f>
        <v>0</v>
      </c>
      <c r="F7" s="13" t="s">
        <v>1101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1102</v>
      </c>
      <c r="G8" s="13" t="s">
        <v>66</v>
      </c>
      <c r="H8" s="13" t="s">
        <v>174</v>
      </c>
      <c r="I8" s="13" t="s">
        <v>583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1103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600</v>
      </c>
      <c r="E10" s="14">
        <f>TODAY()-8</f>
        <v>0</v>
      </c>
      <c r="F10" s="13" t="s">
        <v>1104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600</v>
      </c>
    </row>
    <row r="12" spans="1:9">
      <c r="A12" s="13" t="s">
        <v>664</v>
      </c>
      <c r="B12" s="13" t="s">
        <v>1011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664</v>
      </c>
      <c r="I13" s="13" t="s">
        <v>1011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920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920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729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729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1019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1019</v>
      </c>
    </row>
    <row r="25" spans="2:9">
      <c r="B25" s="13" t="s">
        <v>762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762</v>
      </c>
    </row>
    <row r="27" spans="2:9">
      <c r="B27" s="13" t="s">
        <v>821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821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135</v>
      </c>
      <c r="E1" s="21" t="s">
        <v>18</v>
      </c>
      <c r="F1" s="21" t="s">
        <v>20</v>
      </c>
      <c r="G1" s="21" t="s">
        <v>21</v>
      </c>
      <c r="H1" s="21" t="s">
        <v>136</v>
      </c>
      <c r="I1" s="21" t="s">
        <v>137</v>
      </c>
      <c r="J1" s="21" t="s">
        <v>23</v>
      </c>
    </row>
    <row r="2" spans="1:10">
      <c r="A2" s="30" t="s">
        <v>1108</v>
      </c>
      <c r="B2" s="30" t="s">
        <v>1109</v>
      </c>
      <c r="C2" s="30" t="s">
        <v>1110</v>
      </c>
      <c r="D2" s="30" t="s">
        <v>1111</v>
      </c>
      <c r="E2" s="30" t="s">
        <v>118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1108</v>
      </c>
      <c r="B3" s="30" t="s">
        <v>1109</v>
      </c>
      <c r="C3" s="30" t="s">
        <v>1112</v>
      </c>
      <c r="D3" s="30" t="s">
        <v>1113</v>
      </c>
      <c r="E3" s="30" t="s">
        <v>118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1108</v>
      </c>
      <c r="B4" s="30" t="s">
        <v>1109</v>
      </c>
      <c r="C4" s="30" t="s">
        <v>1114</v>
      </c>
      <c r="D4" s="30" t="s">
        <v>1115</v>
      </c>
      <c r="E4" s="30" t="s">
        <v>118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1108</v>
      </c>
      <c r="B5" s="30" t="s">
        <v>1109</v>
      </c>
      <c r="C5" s="30" t="s">
        <v>1116</v>
      </c>
      <c r="D5" s="30" t="s">
        <v>1117</v>
      </c>
      <c r="E5" s="30" t="s">
        <v>118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1108</v>
      </c>
      <c r="B6" s="30" t="s">
        <v>1109</v>
      </c>
      <c r="C6" s="30" t="s">
        <v>1118</v>
      </c>
      <c r="D6" s="30" t="s">
        <v>1119</v>
      </c>
      <c r="E6" s="30" t="s">
        <v>118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1108</v>
      </c>
      <c r="B7" s="30" t="s">
        <v>1109</v>
      </c>
      <c r="C7" s="30" t="s">
        <v>1120</v>
      </c>
      <c r="D7" s="30" t="s">
        <v>1121</v>
      </c>
      <c r="E7" s="30" t="s">
        <v>118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1108</v>
      </c>
      <c r="B8" s="30" t="s">
        <v>1109</v>
      </c>
      <c r="C8" s="30" t="s">
        <v>1122</v>
      </c>
      <c r="D8" s="30" t="s">
        <v>1123</v>
      </c>
      <c r="E8" s="30" t="s">
        <v>118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1108</v>
      </c>
      <c r="B9" s="30" t="s">
        <v>1109</v>
      </c>
      <c r="C9" s="30" t="s">
        <v>1124</v>
      </c>
      <c r="D9" s="30" t="s">
        <v>1125</v>
      </c>
      <c r="E9" s="30" t="s">
        <v>118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1108</v>
      </c>
      <c r="B10" s="30" t="s">
        <v>1109</v>
      </c>
      <c r="C10" s="30" t="s">
        <v>1126</v>
      </c>
      <c r="D10" s="30" t="s">
        <v>1127</v>
      </c>
      <c r="E10" s="30" t="s">
        <v>118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1108</v>
      </c>
      <c r="B11" s="30" t="s">
        <v>1109</v>
      </c>
      <c r="C11" s="30" t="s">
        <v>1128</v>
      </c>
      <c r="D11" s="30" t="s">
        <v>1129</v>
      </c>
      <c r="E11" s="30" t="s">
        <v>118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1108</v>
      </c>
      <c r="B12" s="30" t="s">
        <v>1109</v>
      </c>
      <c r="C12" s="30" t="s">
        <v>1130</v>
      </c>
      <c r="D12" s="30" t="s">
        <v>1131</v>
      </c>
      <c r="E12" s="30" t="s">
        <v>118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1108</v>
      </c>
      <c r="B13" s="30" t="s">
        <v>1109</v>
      </c>
      <c r="C13" s="30" t="s">
        <v>1132</v>
      </c>
      <c r="D13" s="30" t="s">
        <v>1133</v>
      </c>
      <c r="E13" s="30" t="s">
        <v>118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1108</v>
      </c>
      <c r="B14" s="30" t="s">
        <v>1109</v>
      </c>
      <c r="C14" s="30" t="s">
        <v>1134</v>
      </c>
      <c r="D14" s="30" t="s">
        <v>1135</v>
      </c>
      <c r="E14" s="30" t="s">
        <v>118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1108</v>
      </c>
      <c r="B15" s="30" t="s">
        <v>1109</v>
      </c>
      <c r="C15" s="30" t="s">
        <v>1136</v>
      </c>
      <c r="D15" s="30" t="s">
        <v>1137</v>
      </c>
      <c r="E15" s="30" t="s">
        <v>118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1108</v>
      </c>
      <c r="B16" s="30" t="s">
        <v>1109</v>
      </c>
      <c r="C16" s="30" t="s">
        <v>1138</v>
      </c>
      <c r="D16" s="30" t="s">
        <v>1139</v>
      </c>
      <c r="E16" s="30" t="s">
        <v>118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1108</v>
      </c>
      <c r="B17" s="30" t="s">
        <v>1109</v>
      </c>
      <c r="C17" s="30" t="s">
        <v>1140</v>
      </c>
      <c r="D17" s="30" t="s">
        <v>1141</v>
      </c>
      <c r="E17" s="30" t="s">
        <v>118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1108</v>
      </c>
      <c r="B18" s="30" t="s">
        <v>1109</v>
      </c>
      <c r="C18" s="30" t="s">
        <v>1142</v>
      </c>
      <c r="D18" s="30" t="s">
        <v>1143</v>
      </c>
      <c r="E18" s="30" t="s">
        <v>118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</sheetData>
  <autoFilter ref="A1:J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2026-08-04T13:46:19Z</dcterms:created>
  <dcterms:modified xsi:type="dcterms:W3CDTF">2026-08-04T13:46:19Z</dcterms:modified>
</cp:coreProperties>
</file>