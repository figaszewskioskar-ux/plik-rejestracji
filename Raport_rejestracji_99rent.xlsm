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Nr rejestracyjny" sheetId="5" r:id="rId5"/>
    <sheet name="PODSUMOWANIE" sheetId="6" r:id="rId6"/>
    <sheet name="Pilne" sheetId="7" r:id="rId7"/>
    <sheet name="Listy" sheetId="8" state="hidden" r:id="rId8"/>
  </sheets>
  <definedNames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<sst xmlns="http://schemas.openxmlformats.org/spreadsheetml/2006/main" count="5046" uniqueCount="1134">
  <si>
    <t xml:space="preserve">  RAPORT REJESTRACJI POJAZDÓW</t>
  </si>
  <si>
    <t>99rent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</si>
  <si>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</si>
  <si>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</si>
  <si>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</si>
  <si>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</si>
  <si>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10, 20, 30… pojazdów naraz (z VIN-ami) i jednym kliknięciem dodajesz wszystkie do rejestru.
4.  Po odebraniu rejestracji: zaznacz pojazdy w W REJESTRACJI i kliknij ZAREJESTRUJ ZAZNACZONE — przechodzą do katalogu ZAREJESTROWANE z licznikiem dni. Numer rejestracyjny nadasz potem w zakładce NR REJESTRACYJNY (działa też dla pojazdów już w katalogu).
5.  ZAREJESTROWANE — pojazd zarejestrowany wcześniej (poza rejestrem) dodasz bezpośrednio przyciskiem DODAJ DO KATALOGU.
6.  PODSUMOWANIE — statystyki wg urzędu, dealera i marki oraz czasy rejestracji liczą się automatycznie.
Żółte pola = pola do wypełnienia.  Duplikaty VIN są blokowane przez przyciski i podświetlane na czerwono w tabelach.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</si>
  <si>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</si>
  <si>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</si>
  <si>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</si>
  <si>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</si>
  <si>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</si>
  <si>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</si>
  <si>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</si>
  <si>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</si>
  <si>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</si>
  <si>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</si>
  <si>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</si>
  <si>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</si>
  <si>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</si>
  <si>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nadasz później).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</si>
  <si>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</si>
  <si>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</si>
  <si>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</si>
  <si>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</si>
  <si>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</si>
  <si>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</si>
  <si>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</si>
  <si>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</si>
  <si>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</si>
  <si>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</si>
  <si>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</si>
  <si>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</si>
  <si>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</si>
  <si>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</si>
  <si>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</si>
  <si>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</si>
  <si>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</si>
  <si>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</si>
  <si>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</si>
  <si>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</si>
  <si>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</si>
  <si>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</si>
  <si>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</si>
  <si>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</si>
  <si>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</si>
  <si>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</si>
  <si>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</si>
  <si>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</si>
  <si>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</si>
  <si>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</si>
  <si>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</si>
  <si>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</si>
  <si>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</si>
  <si>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</si>
  <si>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</si>
  <si>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</si>
  <si>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</si>
  <si>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</si>
  <si>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</si>
  <si>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</si>
  <si>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</si>
  <si>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</si>
  <si>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</si>
  <si>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</si>
  <si>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</si>
  <si>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</si>
  <si>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</si>
  <si>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</si>
  <si>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</si>
  <si>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</si>
  <si>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</si>
  <si>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</si>
  <si>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</si>
  <si>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</si>
  <si>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</si>
  <si>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</si>
  <si>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</si>
  <si>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</si>
  <si>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</si>
  <si>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</si>
  <si>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</si>
  <si>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</si>
  <si>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</si>
  <si>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</si>
  <si>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</si>
  <si>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SRÓDMIEŚCIE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</si>
  <si>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</si>
  <si>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</si>
  <si>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</si>
  <si>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</si>
  <si>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</si>
  <si>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</si>
  <si>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</si>
  <si>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</si>
  <si>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</si>
  <si>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</si>
  <si>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</si>
  <si>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</si>
  <si>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</si>
  <si>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</si>
  <si>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</si>
  <si>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</si>
  <si>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</si>
  <si>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</si>
  <si>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</si>
  <si>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</si>
  <si>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</si>
  <si>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</si>
  <si>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</si>
  <si>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</si>
  <si>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</si>
  <si>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</si>
  <si>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</si>
  <si>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</si>
  <si>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</si>
  <si>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</si>
  <si>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</si>
  <si>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</si>
  <si>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</si>
  <si>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</si>
  <si>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</si>
  <si>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</si>
  <si>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</si>
  <si>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</si>
  <si>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</si>
  <si>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poniżej (od wiersza 9) i kliknij IMPORTUJ DO REJESTRU</t>
  </si>
  <si>
    <t>Kolumny jak w arkuszu W rejestracji: wymagany jest VIN (kolumna C). Pusta data złożenia = dzisiejsza data. Pojazdy, których VIN już istnieje w rejestrze lub katalogu, zostaną pominięte — po imporcie zobaczysz podsumowanie. Zaimportowane wiersze trafiają do arkusza W REJESTRACJI z żółtym oznaczeniem, a tabela importu jest czyszczona.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</si>
  <si>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</si>
  <si>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</si>
  <si>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</si>
  <si>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</si>
  <si>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</si>
  <si>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Volkswagen</t>
  </si>
  <si>
    <t>Tiguan</t>
  </si>
  <si>
    <t>WVGZZZCT5TW448657</t>
  </si>
  <si>
    <t>Bohemia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</si>
  <si>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</si>
  <si>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</si>
  <si>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</si>
  <si>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</si>
  <si>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</si>
  <si>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</si>
  <si>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</si>
  <si>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</si>
  <si>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</si>
  <si>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</si>
  <si>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</si>
  <si>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</si>
  <si>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</si>
  <si>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</si>
  <si>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</si>
  <si>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</si>
  <si>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</si>
  <si>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</si>
  <si>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</si>
  <si>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AUDI</t>
  </si>
  <si>
    <t>Q5</t>
  </si>
  <si>
    <t>WAUZZZGU4T2020543</t>
  </si>
  <si>
    <t>VGP</t>
  </si>
  <si>
    <t>WAUZZZGU6T2016249</t>
  </si>
  <si>
    <t>Mini</t>
  </si>
  <si>
    <t>WMW41GD0602Y66661</t>
  </si>
  <si>
    <t>Bawaria</t>
  </si>
  <si>
    <t>WMW41GD0602Y66918</t>
  </si>
  <si>
    <t>WMW41GD0302Y66293</t>
  </si>
  <si>
    <t>WMW41GD0X02Y66131</t>
  </si>
  <si>
    <t>WMW41GD0202Y66818</t>
  </si>
  <si>
    <t>Mercedes</t>
  </si>
  <si>
    <t>GLC200d 4M</t>
  </si>
  <si>
    <t>W1NKM0CB4TF611377</t>
  </si>
  <si>
    <t>Inter Saga</t>
  </si>
  <si>
    <t>W1NKM0CB4TF611041</t>
  </si>
  <si>
    <t>W1NKM0CBXTF610895</t>
  </si>
  <si>
    <t>W1NKM0CB4TF611072</t>
  </si>
  <si>
    <t>W1NKM0CB1TF611272</t>
  </si>
  <si>
    <t>Kia</t>
  </si>
  <si>
    <t>Sportage</t>
  </si>
  <si>
    <t>U5YPU81B1TL532266</t>
  </si>
  <si>
    <t>EURO-KAS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</si>
  <si>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</si>
  <si>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</si>
  <si>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</si>
  <si>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</si>
  <si>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</si>
  <si>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</si>
  <si>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</si>
  <si>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</si>
  <si>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</si>
  <si>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</si>
  <si>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</si>
  <si>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</si>
  <si>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</si>
  <si>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</si>
  <si>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</si>
  <si>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</si>
  <si>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</si>
  <si>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</si>
  <si>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</si>
  <si>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</si>
  <si>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</si>
  <si>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</si>
  <si>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</si>
  <si>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</si>
  <si>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</si>
  <si>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</si>
  <si>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</si>
  <si>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</si>
  <si>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</si>
  <si>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</si>
  <si>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</si>
  <si>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</si>
  <si>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</si>
  <si>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</si>
  <si>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</si>
  <si>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</si>
  <si>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</si>
  <si>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</si>
  <si>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</si>
  <si>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BEDNARCZYK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</si>
  <si>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</si>
  <si>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</si>
  <si>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</si>
  <si>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</si>
  <si>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</si>
  <si>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</si>
  <si>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</si>
  <si>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</si>
  <si>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</si>
  <si>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</si>
  <si>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</si>
  <si>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</si>
  <si>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</si>
  <si>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</si>
  <si>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</si>
  <si>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</si>
  <si>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</si>
  <si>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</si>
  <si>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</si>
  <si>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</si>
  <si>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</si>
  <si>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</si>
  <si>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</si>
  <si>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</si>
  <si>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</si>
  <si>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</si>
  <si>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</si>
  <si>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</si>
  <si>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</si>
  <si>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</si>
  <si>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</si>
  <si>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</si>
  <si>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</si>
  <si>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INCHCAPE</t>
  </si>
  <si>
    <t>WBA11GR0309426366</t>
  </si>
  <si>
    <t>WBA11GR0409426263</t>
  </si>
  <si>
    <t>VW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</si>
  <si>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</si>
  <si>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</si>
  <si>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</si>
  <si>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</si>
  <si>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</si>
  <si>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</si>
  <si>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</si>
  <si>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</si>
  <si>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</si>
  <si>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</si>
  <si>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</si>
  <si>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</si>
  <si>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</si>
  <si>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</si>
  <si>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Mercedes-Benz</t>
  </si>
  <si>
    <t>C180</t>
  </si>
  <si>
    <t>W1KAF4BB5TF231153</t>
  </si>
  <si>
    <t>WRÓBEL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</si>
  <si>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</si>
  <si>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</si>
  <si>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</si>
  <si>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</si>
  <si>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</si>
  <si>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</si>
  <si>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</si>
  <si>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</si>
  <si>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</si>
  <si>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</si>
  <si>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</si>
  <si>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</si>
  <si>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</si>
  <si>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</si>
  <si>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</si>
  <si>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</si>
  <si>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</si>
  <si>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</si>
  <si>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</si>
  <si>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</si>
  <si>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</si>
  <si>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</si>
  <si>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</si>
  <si>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</si>
  <si>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</si>
  <si>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</si>
  <si>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</si>
  <si>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</si>
  <si>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</si>
  <si>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</si>
  <si>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</si>
  <si>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</si>
  <si>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</si>
  <si>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</si>
  <si>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</si>
  <si>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</si>
  <si>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</si>
  <si>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</si>
  <si>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</si>
  <si>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</si>
  <si>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</si>
  <si>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</si>
  <si>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</si>
  <si>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</si>
  <si>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</si>
  <si>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</si>
  <si>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</si>
  <si>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</si>
  <si>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</si>
  <si>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</si>
  <si>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</si>
  <si>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</si>
  <si>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</si>
  <si>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</si>
  <si>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</si>
  <si>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</si>
  <si>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</si>
  <si>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</si>
  <si>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</si>
  <si>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</si>
  <si>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</si>
  <si>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</si>
  <si>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</si>
  <si>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</si>
  <si>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</si>
  <si>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</si>
  <si>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</si>
  <si>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</si>
  <si>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</si>
  <si>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</si>
  <si>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</si>
  <si>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</si>
  <si>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</si>
  <si>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</si>
  <si>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</si>
  <si>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</si>
  <si>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PIECHOWICZ</t>
  </si>
  <si>
    <t>BIAŁOŁĘKA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</si>
  <si>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</si>
  <si>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</si>
  <si>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</si>
  <si>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</si>
  <si>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</si>
  <si>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</si>
  <si>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</si>
  <si>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</si>
  <si>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</si>
  <si>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</si>
  <si>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</si>
  <si>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</si>
  <si>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</si>
  <si>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</si>
  <si>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</si>
  <si>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</si>
  <si>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</si>
  <si>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</si>
  <si>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</si>
  <si>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</si>
  <si>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</si>
  <si>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</si>
  <si>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</si>
  <si>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</si>
  <si>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</si>
  <si>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</si>
  <si>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</si>
  <si>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</si>
  <si>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</si>
  <si>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</si>
  <si>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</si>
  <si>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PEUGEOT</t>
  </si>
  <si>
    <t>5008</t>
  </si>
  <si>
    <t>VR3KAHPYXTS071424</t>
  </si>
  <si>
    <t>AUTO CLUB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</si>
  <si>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</si>
  <si>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</si>
  <si>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</si>
  <si>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</si>
  <si>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</si>
  <si>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</si>
  <si>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</si>
  <si>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</si>
  <si>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</si>
  <si>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</si>
  <si>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</si>
  <si>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</si>
  <si>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</si>
  <si>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</si>
  <si>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</si>
  <si>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</si>
  <si>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</si>
  <si>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</si>
  <si>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</si>
  <si>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</si>
  <si>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</si>
  <si>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</si>
  <si>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</si>
  <si>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</si>
  <si>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</si>
  <si>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</si>
  <si>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</si>
  <si>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</si>
  <si>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S&amp;Y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</si>
  <si>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</si>
  <si>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</si>
  <si>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</si>
  <si>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</si>
  <si>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</si>
  <si>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</si>
  <si>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</si>
  <si>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</si>
  <si>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</si>
  <si>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</si>
  <si>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</si>
  <si>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</si>
  <si>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</si>
  <si>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</si>
  <si>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</si>
  <si>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</si>
  <si>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</si>
  <si>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</si>
  <si>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FIX FORUM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</si>
  <si>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</si>
  <si>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</si>
  <si>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</si>
  <si>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</si>
  <si>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</si>
  <si>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</si>
  <si>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</si>
  <si>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</si>
  <si>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</si>
  <si>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</si>
  <si>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</si>
  <si>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</si>
  <si>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</si>
  <si>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</si>
  <si>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</si>
  <si>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</si>
  <si>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</si>
  <si>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</si>
  <si>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</si>
  <si>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</si>
  <si>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</si>
  <si>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</si>
  <si>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</si>
  <si>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</si>
  <si>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</si>
  <si>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</si>
  <si>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</si>
  <si>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</si>
  <si>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</si>
  <si>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</si>
  <si>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</si>
  <si>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</si>
  <si>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</si>
  <si>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</si>
  <si>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</si>
  <si>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BEMOWO</t>
  </si>
  <si>
    <t>WVGZZZC13VY016865</t>
  </si>
  <si>
    <t>WVGZZZC16TY090150</t>
  </si>
  <si>
    <t>WVGZZZC16VY019338</t>
  </si>
  <si>
    <t>E220D</t>
  </si>
  <si>
    <t>W1KLF0FB9TA297438</t>
  </si>
  <si>
    <t>SAGA</t>
  </si>
  <si>
    <t>W1NKM0CB8TF627601</t>
  </si>
  <si>
    <t>NLHBN51G1TZ732504</t>
  </si>
  <si>
    <t>NORD AUTO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</si>
  <si>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</si>
  <si>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</si>
  <si>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</si>
  <si>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</si>
  <si>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</si>
  <si>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</si>
  <si>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</si>
  <si>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</si>
  <si>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</si>
  <si>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</si>
  <si>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</si>
  <si>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</si>
  <si>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</si>
  <si>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</si>
  <si>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</si>
  <si>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</si>
  <si>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</si>
  <si>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</si>
  <si>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</si>
  <si>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</si>
  <si>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</si>
  <si>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</si>
  <si>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</si>
  <si>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</si>
  <si>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</si>
  <si>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mercedes</t>
  </si>
  <si>
    <t>W1KAF4BB5TR349945</t>
  </si>
  <si>
    <t>MB MOTORS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</si>
  <si>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</si>
  <si>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</si>
  <si>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</si>
  <si>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</si>
  <si>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</si>
  <si>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</si>
  <si>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</si>
  <si>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</si>
  <si>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</si>
  <si>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</si>
  <si>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</si>
  <si>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</si>
  <si>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KIA</t>
  </si>
  <si>
    <t>U5YPV81B6TL517615</t>
  </si>
  <si>
    <t>AUTO-COMPLEX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</si>
  <si>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</si>
  <si>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</si>
  <si>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</si>
  <si>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</si>
  <si>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</si>
  <si>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</si>
  <si>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</si>
  <si>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</si>
  <si>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</si>
  <si>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</si>
  <si>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MB Motors Poznań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</si>
  <si>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</si>
  <si>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</si>
  <si>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</si>
  <si>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</si>
  <si>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</si>
  <si>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</si>
  <si>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Inchcape</t>
  </si>
  <si>
    <t>Wawer</t>
  </si>
  <si>
    <t>WBA11GR0709411210</t>
  </si>
  <si>
    <t>WBA21FY090FW98020</t>
  </si>
  <si>
    <t>WBA21FY000FW98441</t>
  </si>
  <si>
    <t>WBA21FY030FX00666</t>
  </si>
  <si>
    <t>TMAJC81B5TJ719659</t>
  </si>
  <si>
    <t>Bednarczyk</t>
  </si>
  <si>
    <t>TMAJC81B1TJ719027</t>
  </si>
  <si>
    <t>TMAJC81B9TJ718787</t>
  </si>
  <si>
    <t>i20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</si>
  <si>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</si>
  <si>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</si>
  <si>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</si>
  <si>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</si>
  <si>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</si>
  <si>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</si>
  <si>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</si>
  <si>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</si>
  <si>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Audi</t>
  </si>
  <si>
    <t>Q3</t>
  </si>
  <si>
    <t>Krotoski</t>
  </si>
  <si>
    <t>Wilanów</t>
  </si>
  <si>
    <t>Ochota</t>
  </si>
  <si>
    <t>WVGZZZA26TV100480</t>
  </si>
  <si>
    <t>WAUZZZGU0T2022984</t>
  </si>
  <si>
    <t>W1KAF4BB3TR348602</t>
  </si>
  <si>
    <t>W1KAF4BB7TR348604</t>
  </si>
  <si>
    <t>W1KAF4BB9TR350001</t>
  </si>
  <si>
    <t>WBA48FU0608F94800</t>
  </si>
  <si>
    <t>WBA28FF0X08G30105</t>
  </si>
  <si>
    <t>WBA28FF0408G02493</t>
  </si>
  <si>
    <t>WBA28FF0408G33694</t>
  </si>
  <si>
    <t>WBA48FU0008G46633</t>
  </si>
  <si>
    <t>Fiat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</si>
  <si>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</si>
  <si>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</si>
  <si>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</si>
  <si>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</si>
  <si>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</si>
  <si>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</si>
  <si>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</si>
  <si>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</si>
  <si>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</si>
  <si>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</si>
  <si>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</si>
  <si>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</si>
  <si>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</si>
  <si>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</si>
  <si>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</si>
  <si>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</si>
  <si>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</si>
  <si>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</si>
  <si>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</si>
  <si>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</si>
  <si>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</si>
  <si>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</si>
  <si>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</si>
  <si>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</si>
  <si>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</si>
  <si>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</si>
  <si>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</si>
  <si>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</si>
  <si>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</si>
  <si>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</si>
  <si>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</si>
  <si>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</si>
  <si>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</si>
  <si>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</si>
  <si>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</si>
  <si>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</si>
  <si>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</si>
  <si>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BAWARIA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</si>
  <si>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</si>
  <si>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</si>
  <si>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</si>
  <si>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</si>
  <si>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</si>
  <si>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</si>
  <si>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</si>
  <si>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</si>
  <si>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</si>
  <si>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</si>
  <si>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</si>
  <si>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</si>
  <si>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</si>
  <si>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</si>
  <si>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</si>
  <si>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</si>
  <si>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DEX-POL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</si>
  <si>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</si>
  <si>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</si>
  <si>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</si>
  <si>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</si>
  <si>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</si>
  <si>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</si>
  <si>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</si>
  <si>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</si>
  <si>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</si>
  <si>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</si>
  <si>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TUCSON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</si>
  <si>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</si>
  <si>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</si>
  <si>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</si>
  <si>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</si>
  <si>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</si>
  <si>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</si>
  <si>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</si>
  <si>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</si>
  <si>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</si>
  <si>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</si>
  <si>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</si>
  <si>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</si>
  <si>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</si>
  <si>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</si>
  <si>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</si>
  <si>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</si>
  <si>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</si>
  <si>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</si>
  <si>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</si>
  <si>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</si>
  <si>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</si>
  <si>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</si>
  <si>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</si>
  <si>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WAUZZZFJ8T1095890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</si>
  <si>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</si>
  <si>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</si>
  <si>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</si>
  <si>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</si>
  <si>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</si>
  <si>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</si>
  <si>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</si>
  <si>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</si>
  <si>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</si>
  <si>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</si>
  <si>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</si>
  <si>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</si>
  <si>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</si>
  <si>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</si>
  <si>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</si>
  <si>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</si>
  <si>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</si>
  <si>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</si>
  <si>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</si>
  <si>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</si>
  <si>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</si>
  <si>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</si>
  <si>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</si>
  <si>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</si>
  <si>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</si>
  <si>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</si>
  <si>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</si>
  <si>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</si>
  <si>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TOYOTA</t>
  </si>
  <si>
    <t>HILUX</t>
  </si>
  <si>
    <t>AHTBE3CDX07472629</t>
  </si>
  <si>
    <t>AUTO PODLASIE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</si>
  <si>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</si>
  <si>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</si>
  <si>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</si>
  <si>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</si>
  <si>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</si>
  <si>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</si>
  <si>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</si>
  <si>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</si>
  <si>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</si>
  <si>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</si>
  <si>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</si>
  <si>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</si>
  <si>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</si>
  <si>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</si>
  <si>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</si>
  <si>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</si>
  <si>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</si>
  <si>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</si>
  <si>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</si>
  <si>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</si>
  <si>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</si>
  <si>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</si>
  <si>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</si>
  <si>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</si>
  <si>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</si>
  <si>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</si>
  <si>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</si>
  <si>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</si>
  <si>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</si>
  <si>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</si>
  <si>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</si>
  <si>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</si>
  <si>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</si>
  <si>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</si>
  <si>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</si>
  <si>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</si>
  <si>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</si>
  <si>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</si>
  <si>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</si>
  <si>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</si>
  <si>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</si>
  <si>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</si>
  <si>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</si>
  <si>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</si>
  <si>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</si>
  <si>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</si>
  <si>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</si>
  <si>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</si>
  <si>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</si>
  <si>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</si>
  <si>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</si>
  <si>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</si>
  <si>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</si>
  <si>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</si>
  <si>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</si>
  <si>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</si>
  <si>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</si>
  <si>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</si>
  <si>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</si>
  <si>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XC40</t>
  </si>
  <si>
    <t>YV1XZK7V9T2821036</t>
  </si>
  <si>
    <t>KARLIK</t>
  </si>
  <si>
    <t>YV1XZK7V5T2821051</t>
  </si>
  <si>
    <t>YV1XZK7VXT2821160</t>
  </si>
  <si>
    <t>YV1XZK7V7T2821164</t>
  </si>
  <si>
    <t>YV1XZK7V0T2821071</t>
  </si>
  <si>
    <t>XC60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</si>
  <si>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</si>
  <si>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</si>
  <si>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</si>
  <si>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</si>
  <si>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</si>
  <si>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</si>
  <si>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</si>
  <si>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</si>
  <si>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</si>
  <si>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</si>
  <si>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</si>
  <si>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</si>
  <si>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</si>
  <si>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</si>
  <si>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</si>
  <si>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</si>
  <si>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</si>
  <si>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</si>
  <si>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</si>
  <si>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</si>
  <si>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XC90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</si>
  <si>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</si>
  <si>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</si>
  <si>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</si>
  <si>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</si>
  <si>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</si>
  <si>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</si>
  <si>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NOVA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</si>
  <si>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</si>
  <si>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</si>
  <si>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</si>
  <si>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</si>
  <si>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</si>
  <si>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</si>
  <si>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</si>
  <si>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</si>
  <si>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</si>
  <si>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</si>
  <si>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</si>
  <si>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</si>
  <si>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</si>
  <si>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</si>
  <si>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</si>
  <si>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</si>
  <si>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</si>
  <si>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</si>
  <si>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</si>
  <si>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</si>
  <si>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</si>
  <si>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</si>
  <si>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</si>
  <si>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</si>
  <si>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</si>
  <si>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</si>
  <si>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</si>
  <si>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</si>
  <si>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</si>
  <si>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</si>
  <si>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</si>
  <si>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</si>
  <si>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</si>
  <si>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</si>
  <si>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</si>
  <si>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</si>
  <si>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</si>
  <si>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</si>
  <si>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</si>
  <si>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</si>
  <si>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</si>
  <si>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</si>
  <si>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</si>
  <si>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</si>
  <si>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</si>
  <si>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</si>
  <si>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</si>
  <si>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</si>
  <si>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</si>
  <si>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</si>
  <si>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</si>
  <si>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</si>
  <si>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</si>
  <si>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</si>
  <si>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</si>
  <si>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</si>
  <si>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</si>
  <si>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</si>
  <si>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Plichta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</si>
  <si>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</si>
  <si>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</si>
  <si>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</si>
  <si>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</si>
  <si>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</si>
  <si>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</si>
  <si>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</si>
  <si>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</si>
  <si>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</si>
  <si>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</si>
  <si>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</si>
  <si>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</si>
  <si>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</si>
  <si>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</si>
  <si>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</si>
  <si>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</si>
  <si>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</si>
  <si>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</si>
  <si>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</si>
  <si>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</si>
  <si>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</si>
  <si>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</si>
  <si>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</si>
  <si>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</si>
  <si>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</si>
  <si>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</si>
  <si>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</si>
  <si>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</si>
  <si>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</si>
  <si>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</si>
  <si>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</si>
  <si>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</si>
  <si>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</si>
  <si>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</si>
  <si>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</si>
  <si>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</si>
  <si>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</si>
  <si>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</si>
  <si>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</si>
  <si>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</si>
  <si>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</si>
  <si>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</si>
  <si>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</si>
  <si>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</si>
  <si>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</si>
  <si>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</si>
  <si>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</si>
  <si>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</si>
  <si>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</si>
  <si>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</si>
  <si>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</si>
  <si>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</si>
  <si>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</si>
  <si>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</si>
  <si>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</si>
  <si>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</si>
  <si>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</si>
  <si>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</si>
  <si>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</si>
  <si>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</si>
  <si>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</si>
  <si>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</si>
  <si>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</si>
  <si>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</si>
  <si>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</si>
  <si>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</si>
  <si>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</si>
  <si>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</si>
  <si>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</si>
  <si>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</si>
  <si>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</si>
  <si>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</si>
  <si>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</si>
  <si>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</si>
  <si>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</si>
  <si>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</si>
  <si>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</si>
  <si>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</si>
  <si>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</si>
  <si>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</si>
  <si>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</si>
  <si>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</si>
  <si>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</si>
  <si>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</si>
  <si>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</si>
  <si>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</si>
  <si>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</si>
  <si>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</si>
  <si>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</si>
  <si>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</si>
  <si>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</si>
  <si>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</si>
  <si>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</si>
  <si>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</si>
  <si>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</si>
  <si>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</si>
  <si>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</si>
  <si>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</si>
  <si>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INCHAPE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</si>
  <si>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</si>
  <si>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</si>
  <si>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</si>
  <si>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</si>
  <si>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</si>
  <si>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</si>
  <si>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</si>
  <si>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</si>
  <si>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</si>
  <si>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</si>
  <si>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</si>
  <si>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</si>
  <si>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</si>
  <si>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</si>
  <si>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</si>
  <si>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</si>
  <si>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</si>
  <si>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</si>
  <si>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</si>
  <si>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</si>
  <si>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</si>
  <si>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</si>
  <si>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</si>
  <si>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</si>
  <si>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</si>
  <si>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</si>
  <si>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</si>
  <si>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</si>
  <si>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</si>
  <si>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</si>
  <si>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</si>
  <si>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</si>
  <si>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</si>
  <si>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</si>
  <si>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</si>
  <si>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</si>
  <si>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</si>
  <si>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</si>
  <si>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</si>
  <si>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</si>
  <si>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</si>
  <si>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</si>
  <si>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</si>
  <si>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</si>
  <si>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</si>
  <si>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</si>
  <si>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</si>
  <si>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</si>
  <si>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</si>
  <si>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</si>
  <si>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</si>
  <si>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</si>
  <si>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</si>
  <si>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</si>
  <si>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</si>
  <si>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VOLVO</t>
  </si>
  <si>
    <t>YV1UZM1V7T1500643</t>
  </si>
  <si>
    <t>PLICHTA</t>
  </si>
  <si>
    <t>TMAH381E2TJ202361</t>
  </si>
  <si>
    <t>auto neo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</si>
  <si>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</si>
  <si>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</si>
  <si>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</si>
  <si>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</si>
  <si>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</si>
  <si>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</si>
  <si>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</si>
  <si>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</si>
  <si>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</si>
  <si>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</si>
  <si>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</si>
  <si>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</si>
  <si>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</si>
  <si>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</si>
  <si>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MERCEDES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</si>
  <si>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</si>
  <si>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</si>
  <si>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</si>
  <si>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</si>
  <si>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</si>
  <si>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</si>
  <si>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</si>
  <si>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</si>
  <si>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</si>
  <si>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</si>
  <si>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</si>
  <si>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</si>
  <si>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</si>
  <si>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volvo</t>
  </si>
  <si>
    <t>YV1LFM1V8V1565962</t>
  </si>
  <si>
    <t>euro kas</t>
  </si>
  <si>
    <t>YV1UZM1V9V1531458</t>
  </si>
  <si>
    <t>YV1UZM1V9V1547319</t>
  </si>
  <si>
    <t>YV1UZM1V9V1547322</t>
  </si>
  <si>
    <t>YV1UZM1V2V1547324</t>
  </si>
  <si>
    <t>YV1LFM1V3V1565982</t>
  </si>
  <si>
    <t>HYUNDAI</t>
  </si>
  <si>
    <t>TMAJC81B7TJ702846</t>
  </si>
  <si>
    <t>nord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</si>
  <si>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</si>
  <si>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</si>
  <si>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</si>
  <si>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</si>
  <si>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</si>
  <si>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</si>
  <si>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</si>
  <si>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</si>
  <si>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</si>
  <si>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</si>
  <si>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</si>
  <si>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</si>
  <si>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</si>
  <si>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</si>
  <si>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</si>
  <si>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</si>
  <si>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</si>
  <si>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</si>
  <si>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</si>
  <si>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</si>
  <si>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</si>
  <si>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</si>
  <si>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</si>
  <si>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</si>
  <si>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</si>
  <si>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</si>
  <si>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</si>
  <si>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</si>
  <si>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</si>
  <si>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</si>
  <si>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</si>
  <si>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</si>
  <si>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</si>
  <si>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YV1UZM1VXV1531467</t>
  </si>
  <si>
    <t>YV1XZK7VXT2818677</t>
  </si>
  <si>
    <t>YV1UZH4V2T1502898</t>
  </si>
  <si>
    <t>YV1UZH4V7T1502900</t>
  </si>
  <si>
    <t>VXFVNFC10TZ053596</t>
  </si>
  <si>
    <t xml:space="preserve">  NADAWANIE NUMERU REJESTRACYJNEGO</t>
  </si>
  <si>
    <t>Wypełnij pola i kliknij ZAREJESTRUJ POJAZD:</t>
  </si>
  <si>
    <t>VIN pojazdu</t>
  </si>
  <si>
    <t>Numer rejestracyjny</t>
  </si>
  <si>
    <t>(puste pole = dzisiejsza data)</t>
  </si>
  <si>
    <t>WYSZUKAJ VIN — wpisz fragment numeru:</t>
  </si>
  <si>
    <t>wyniki (W rejestracji, potem katalog):</t>
  </si>
  <si>
    <t>(katalog)</t>
  </si>
  <si>
    <t>PODGLĄD POJAZDU (dla wpisanego VIN)</t>
  </si>
  <si>
    <t>Data złożenia wniosku</t>
  </si>
  <si>
    <t>Dni od złożenia (dziś)</t>
  </si>
  <si>
    <t>Nr rejestracyjny (obecny)</t>
  </si>
  <si>
    <t>Po kliknięciu ZAREJESTRUJ POJAZD pojazd zostaje przeniesiony z arkusza W REJESTRACJI do katalogu ZAREJESTROWANE, a licznik dni od złożenia wniosku do rejestracji zapisuje się w kolumnie „Czas rejestracji (dni)”. Jeśli pojazd jest już w katalogu (np. przeniesiony przyciskiem ZAREJESTRUJ ZAZNACZONE), makro tylko nadaje mu wpisany numer rejestracyjny.</t>
  </si>
  <si>
    <t xml:space="preserve">  PODSUMOWANIE REJESTRACJI</t>
  </si>
  <si>
    <t xml:space="preserve">  STATYSTYKI</t>
  </si>
  <si>
    <t>Pojazdy w rejestracji (oczekujące)</t>
  </si>
  <si>
    <t>Pojazdy zarejestrowane (katalog)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</si>
  <si>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</si>
  <si>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</si>
  <si>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</si>
  <si>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</si>
  <si>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</si>
  <si>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WG URZĘDU</t>
  </si>
  <si>
    <t>Nazwa</t>
  </si>
  <si>
    <t>W rejestracji</t>
  </si>
  <si>
    <t>Zarejestrowane</t>
  </si>
  <si>
    <t>inne / brak</t>
  </si>
  <si>
    <t>RAZEM</t>
  </si>
  <si>
    <t xml:space="preserve">  WG MARKI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</si>
  <si>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</si>
  <si>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</si>
  <si>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</si>
  <si>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</si>
  <si>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</si>
  <si>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SKODA KAMIQ DRIVE</t>
  </si>
  <si>
    <t>SKODA KAROQ SELECTION</t>
  </si>
  <si>
    <t>TMBGK6NW1V3052381</t>
  </si>
  <si>
    <t>Marki</t>
  </si>
  <si>
    <t>Dealerzy</t>
  </si>
  <si>
    <t>Urzędy</t>
  </si>
  <si>
    <t>Współwłaściciele</t>
  </si>
  <si>
    <t>Daty (31 dni)</t>
  </si>
  <si>
    <t>VIN w rejestracji</t>
  </si>
  <si>
    <t>VIN zarejestrowane</t>
  </si>
  <si>
    <t>trafienia W rej</t>
  </si>
  <si>
    <t>trafienia katalog</t>
  </si>
</sst>
</file>

<file path=xl/styles.xml><?xml version="1.0" encoding="utf-8"?>
<styleSheet xmlns="http://schemas.openxmlformats.org/spreadsheetml/2006/main">
  <numFmts count="1">
    <numFmt numFmtId="164" formatCode="yyyy-mm-dd"/>
  </numFmts>
  <fonts count="15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0"/>
      <color theme="1"/>
      <name val="Arial"/>
      <family val="2"/>
    </font>
    <font>
      <b/>
      <sz val="11"/>
      <color rgb="FFE30613"/>
      <name val="Arial"/>
      <family val="2"/>
    </font>
    <font>
      <b/>
      <sz val="11"/>
      <color rgb="FFFFFFFF"/>
      <name val="Arial"/>
      <family val="2"/>
    </font>
    <font>
      <sz val="8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59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DE7"/>
        <bgColor indexed="64"/>
      </patternFill>
    </fill>
  </fills>
  <borders count="7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2" borderId="0" xfId="0" applyFont="1" applyFill="1" applyAlignment="1">
      <alignment horizontal="left" vertical="center" indent="1"/>
    </xf>
    <xf numFmtId="0" fontId="2" fillId="2" borderId="0" xfId="0" applyFont="1" applyFill="1" applyAlignment="1">
      <alignment horizontal="right" vertical="center"/>
    </xf>
    <xf numFmtId="0" fontId="3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top" wrapText="1"/>
    </xf>
    <xf numFmtId="0" fontId="5" fillId="4" borderId="3" xfId="0" applyFont="1" applyFill="1" applyBorder="1" applyAlignment="1">
      <alignment vertical="top" wrapText="1"/>
    </xf>
    <xf numFmtId="0" fontId="6" fillId="0" borderId="0" xfId="0" applyFont="1" applyAlignment="1">
      <alignment vertical="top" wrapText="1"/>
    </xf>
    <xf numFmtId="0" fontId="5" fillId="0" borderId="0" xfId="0" applyFont="1"/>
    <xf numFmtId="164" fontId="5" fillId="0" borderId="0" xfId="0" applyNumberFormat="1" applyFont="1"/>
    <xf numFmtId="1" fontId="5" fillId="0" borderId="0" xfId="0" applyNumberFormat="1" applyFont="1" applyAlignment="1">
      <alignment horizont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0" fontId="5" fillId="5" borderId="4" xfId="0" applyFont="1" applyFill="1" applyBorder="1" applyAlignment="1">
      <alignment vertical="center"/>
    </xf>
    <xf numFmtId="164" fontId="5" fillId="5" borderId="4" xfId="0" applyNumberFormat="1" applyFont="1" applyFill="1" applyBorder="1" applyAlignment="1">
      <alignment vertical="center"/>
    </xf>
    <xf numFmtId="0" fontId="9" fillId="6" borderId="4" xfId="0" applyFont="1" applyFill="1" applyBorder="1" applyAlignment="1">
      <alignment horizontal="center" vertical="center"/>
    </xf>
    <xf numFmtId="0" fontId="10" fillId="7" borderId="5" xfId="0" applyFont="1" applyFill="1" applyBorder="1" applyAlignment="1">
      <alignment horizontal="center" vertical="center" wrapText="1"/>
    </xf>
    <xf numFmtId="0" fontId="5" fillId="8" borderId="0" xfId="0" applyFont="1" applyFill="1"/>
    <xf numFmtId="164" fontId="5" fillId="8" borderId="0" xfId="0" applyNumberFormat="1" applyFont="1" applyFill="1"/>
    <xf numFmtId="1" fontId="5" fillId="8" borderId="0" xfId="0" applyNumberFormat="1" applyFont="1" applyFill="1" applyAlignment="1">
      <alignment horizontal="center"/>
    </xf>
    <xf numFmtId="0" fontId="5" fillId="9" borderId="0" xfId="0" applyFont="1" applyFill="1"/>
    <xf numFmtId="164" fontId="5" fillId="9" borderId="0" xfId="0" applyNumberFormat="1" applyFont="1" applyFill="1"/>
    <xf numFmtId="1" fontId="5" fillId="9" borderId="0" xfId="0" applyNumberFormat="1" applyFont="1" applyFill="1" applyAlignment="1">
      <alignment horizontal="center"/>
    </xf>
    <xf numFmtId="0" fontId="5" fillId="10" borderId="6" xfId="0" applyFont="1" applyFill="1" applyBorder="1"/>
    <xf numFmtId="164" fontId="5" fillId="10" borderId="6" xfId="0" applyNumberFormat="1" applyFont="1" applyFill="1" applyBorder="1"/>
    <xf numFmtId="0" fontId="11" fillId="0" borderId="0" xfId="0" applyFont="1"/>
    <xf numFmtId="0" fontId="12" fillId="0" borderId="0" xfId="0" applyFont="1"/>
    <xf numFmtId="0" fontId="13" fillId="2" borderId="0" xfId="0" applyFont="1" applyFill="1" applyAlignment="1">
      <alignment horizontal="left" vertical="center" indent="1"/>
    </xf>
    <xf numFmtId="0" fontId="5" fillId="3" borderId="3" xfId="0" applyFont="1" applyFill="1" applyBorder="1"/>
    <xf numFmtId="0" fontId="7" fillId="3" borderId="3" xfId="0" applyFont="1" applyFill="1" applyBorder="1" applyAlignment="1">
      <alignment horizontal="center"/>
    </xf>
    <xf numFmtId="1" fontId="5" fillId="3" borderId="3" xfId="0" applyNumberFormat="1" applyFont="1" applyFill="1" applyBorder="1" applyAlignment="1">
      <alignment horizontal="center"/>
    </xf>
    <xf numFmtId="0" fontId="11" fillId="4" borderId="4" xfId="0" applyFont="1" applyFill="1" applyBorder="1"/>
    <xf numFmtId="1" fontId="11" fillId="4" borderId="4" xfId="0" applyNumberFormat="1" applyFont="1" applyFill="1" applyBorder="1" applyAlignment="1">
      <alignment horizont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AFAFA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43053</xdr:colOff>
      <xdr:row>6</xdr:row>
      <xdr:rowOff>128778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4128" cy="10241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131826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0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4" spans="1:11">
      <c r="D4" s="3">
        <f>SUMPRODUCT(--(('W rejestracji'!$A$9:$A$3000&amp;'W rejestracji'!$C$9:$C$3000)&lt;&gt;""))</f>
        <v>0</v>
      </c>
      <c r="E4" s="3"/>
      <c r="F4" s="3">
        <f>SUMPRODUCT(--((Zarejestrowane!$A$9:$A$3000&amp;Zarejestrowane!$C$9:$C$3000)&lt;&gt;""))</f>
        <v>0</v>
      </c>
      <c r="G4" s="3"/>
      <c r="H4" s="3">
        <f>IF(COUNT(Zarejestrowane!$I$9:$I$3000)=0,"—",ROUND(AVERAGE(Zarejestrowane!$I$9:$I$3000),1))</f>
        <v>0</v>
      </c>
      <c r="I4" s="3"/>
      <c r="J4" s="3">
        <f>COUNTIFS(Zarejestrowane!$H$9:$H$3000,"&gt;="&amp;DATE(YEAR(TODAY()),MONTH(TODAY()),1))</f>
        <v>0</v>
      </c>
      <c r="K4" s="3"/>
    </row>
    <row r="5" spans="1:11">
      <c r="D5" s="3"/>
      <c r="E5" s="3"/>
      <c r="F5" s="3"/>
      <c r="G5" s="3"/>
      <c r="H5" s="3"/>
      <c r="I5" s="3"/>
      <c r="J5" s="3"/>
      <c r="K5" s="3"/>
    </row>
    <row r="6" spans="1:11" ht="26" customHeight="1">
      <c r="D6" s="4" t="s">
        <v>2</v>
      </c>
      <c r="E6" s="4"/>
      <c r="F6" s="4" t="s">
        <v>3</v>
      </c>
      <c r="G6" s="4"/>
      <c r="H6" s="4" t="s">
        <v>4</v>
      </c>
      <c r="I6" s="4"/>
      <c r="J6" s="4" t="s">
        <v>5</v>
      </c>
      <c r="K6" s="4"/>
    </row>
    <row r="8" spans="1:11" ht="30" customHeight="1"/>
    <row r="10" spans="1:11">
      <c r="B10" s="5" t="s">
        <v>6</v>
      </c>
      <c r="C10" s="5"/>
      <c r="D10" s="5"/>
      <c r="E10" s="5"/>
      <c r="F10" s="5"/>
      <c r="G10" s="5"/>
      <c r="H10" s="5"/>
      <c r="I10" s="5"/>
      <c r="J10" s="5"/>
      <c r="K10" s="5"/>
    </row>
    <row r="11" spans="1:11">
      <c r="B11" s="5"/>
      <c r="C11" s="5"/>
      <c r="D11" s="5"/>
      <c r="E11" s="5"/>
      <c r="F11" s="5"/>
      <c r="G11" s="5"/>
      <c r="H11" s="5"/>
      <c r="I11" s="5"/>
      <c r="J11" s="5"/>
      <c r="K11" s="5"/>
    </row>
    <row r="12" spans="1:11">
      <c r="B12" s="5"/>
      <c r="C12" s="5"/>
      <c r="D12" s="5"/>
      <c r="E12" s="5"/>
      <c r="F12" s="5"/>
      <c r="G12" s="5"/>
      <c r="H12" s="5"/>
      <c r="I12" s="5"/>
      <c r="J12" s="5"/>
      <c r="K12" s="5"/>
    </row>
    <row r="13" spans="1:11"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1:11"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1">
      <c r="B15" s="5"/>
      <c r="C15" s="5"/>
      <c r="D15" s="5"/>
      <c r="E15" s="5"/>
      <c r="F15" s="5"/>
      <c r="G15" s="5"/>
      <c r="H15" s="5"/>
      <c r="I15" s="5"/>
      <c r="J15" s="5"/>
      <c r="K15" s="5"/>
    </row>
    <row r="16" spans="1:11">
      <c r="B16" s="5"/>
      <c r="C16" s="5"/>
      <c r="D16" s="5"/>
      <c r="E16" s="5"/>
      <c r="F16" s="5"/>
      <c r="G16" s="5"/>
      <c r="H16" s="5"/>
      <c r="I16" s="5"/>
      <c r="J16" s="5"/>
      <c r="K16" s="5"/>
    </row>
    <row r="17" spans="2:11"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2:11">
      <c r="B18" s="5"/>
      <c r="C18" s="5"/>
      <c r="D18" s="5"/>
      <c r="E18" s="5"/>
      <c r="F18" s="5"/>
      <c r="G18" s="5"/>
      <c r="H18" s="5"/>
      <c r="I18" s="5"/>
      <c r="J18" s="5"/>
      <c r="K18" s="5"/>
    </row>
    <row r="20" spans="2:11">
      <c r="B20" s="6" t="s">
        <v>7</v>
      </c>
    </row>
  </sheetData>
  <mergeCells count="10">
    <mergeCell ref="A1:J1"/>
    <mergeCell ref="D4:E5"/>
    <mergeCell ref="D6:E6"/>
    <mergeCell ref="F4:G5"/>
    <mergeCell ref="F6:G6"/>
    <mergeCell ref="H4:I5"/>
    <mergeCell ref="H6:I6"/>
    <mergeCell ref="J4:K5"/>
    <mergeCell ref="J6:K6"/>
    <mergeCell ref="B10:K18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3.7109375" style="7" customWidth="1"/>
    <col min="2" max="2" width="15.7109375" style="7" customWidth="1"/>
    <col min="3" max="3" width="21.7109375" style="7" customWidth="1"/>
    <col min="4" max="5" width="15.7109375" style="7" customWidth="1"/>
    <col min="6" max="6" width="14.7109375" style="7" customWidth="1"/>
    <col min="7" max="7" width="13.7109375" style="8" customWidth="1"/>
    <col min="8" max="8" width="13.7109375" style="9" customWidth="1"/>
    <col min="9" max="9" width="30.7109375" style="7" customWidth="1"/>
    <col min="10" max="10" width="2.7109375" customWidth="1"/>
    <col min="11" max="11" width="22.7109375" customWidth="1"/>
  </cols>
  <sheetData>
    <row r="1" spans="1:11" ht="40" customHeight="1">
      <c r="A1" s="1" t="s">
        <v>8</v>
      </c>
      <c r="B1" s="1"/>
      <c r="C1" s="1"/>
      <c r="D1" s="1"/>
      <c r="E1" s="1"/>
      <c r="F1" s="1"/>
      <c r="G1" s="1"/>
      <c r="H1" s="1"/>
      <c r="I1" s="2" t="s">
        <v>1</v>
      </c>
    </row>
    <row r="3" spans="1:11">
      <c r="A3" s="10" t="s">
        <v>9</v>
      </c>
      <c r="B3" s="10"/>
      <c r="C3" s="10"/>
      <c r="D3" s="10"/>
      <c r="E3" s="10"/>
      <c r="F3" s="10"/>
      <c r="G3" s="10"/>
      <c r="H3" s="10"/>
      <c r="I3" s="10"/>
    </row>
    <row r="4" spans="1:11">
      <c r="A4" s="11" t="s">
        <v>10</v>
      </c>
      <c r="B4" s="11" t="s">
        <v>11</v>
      </c>
      <c r="C4" s="11" t="s">
        <v>12</v>
      </c>
      <c r="D4" s="11" t="s">
        <v>13</v>
      </c>
      <c r="E4" s="11" t="s">
        <v>14</v>
      </c>
      <c r="F4" s="11" t="s">
        <v>15</v>
      </c>
      <c r="G4" s="11" t="s">
        <v>16</v>
      </c>
      <c r="H4" s="11" t="s">
        <v>17</v>
      </c>
      <c r="I4" s="11" t="s">
        <v>18</v>
      </c>
    </row>
    <row r="5" spans="1:11" ht="22" customHeight="1">
      <c r="A5" s="12"/>
      <c r="B5" s="12"/>
      <c r="C5" s="12"/>
      <c r="D5" s="12"/>
      <c r="E5" s="12"/>
      <c r="F5" s="12"/>
      <c r="G5" s="13"/>
      <c r="H5" s="14" t="s">
        <v>19</v>
      </c>
      <c r="I5" s="12"/>
    </row>
    <row r="8" spans="1:11" ht="28" customHeight="1">
      <c r="A8" s="15" t="s">
        <v>10</v>
      </c>
      <c r="B8" s="15" t="s">
        <v>11</v>
      </c>
      <c r="C8" s="15" t="s">
        <v>12</v>
      </c>
      <c r="D8" s="15" t="s">
        <v>13</v>
      </c>
      <c r="E8" s="15" t="s">
        <v>14</v>
      </c>
      <c r="F8" s="15" t="s">
        <v>15</v>
      </c>
      <c r="G8" s="15" t="s">
        <v>16</v>
      </c>
      <c r="H8" s="15" t="s">
        <v>17</v>
      </c>
      <c r="I8" s="15" t="s">
        <v>18</v>
      </c>
    </row>
    <row r="9" spans="1:11">
      <c r="A9" s="16" t="s">
        <v>21</v>
      </c>
      <c r="B9" s="16" t="s">
        <v>22</v>
      </c>
      <c r="C9" s="16" t="s">
        <v>23</v>
      </c>
      <c r="D9" s="16" t="s">
        <v>24</v>
      </c>
      <c r="E9" s="16"/>
      <c r="F9" s="16" t="s">
        <v>25</v>
      </c>
      <c r="G9" s="17"/>
      <c r="H9" s="18">
        <f>IF($G9="","",TODAY()-$G9)</f>
        <v>0</v>
      </c>
      <c r="I9" s="16" t="s">
        <v>26</v>
      </c>
    </row>
    <row r="10" spans="1:11">
      <c r="A10" s="16" t="s">
        <v>21</v>
      </c>
      <c r="B10" s="16" t="s">
        <v>22</v>
      </c>
      <c r="C10" s="16" t="s">
        <v>27</v>
      </c>
      <c r="D10" s="16" t="s">
        <v>24</v>
      </c>
      <c r="E10" s="16"/>
      <c r="F10" s="16" t="s">
        <v>25</v>
      </c>
      <c r="G10" s="17"/>
      <c r="H10" s="18">
        <f>IF($G10="","",TODAY()-$G10)</f>
        <v>0</v>
      </c>
      <c r="I10" s="16" t="s">
        <v>26</v>
      </c>
      <c r="K10" s="6" t="s">
        <v>20</v>
      </c>
    </row>
    <row r="11" spans="1:11">
      <c r="A11" s="16" t="s">
        <v>21</v>
      </c>
      <c r="B11" s="16" t="s">
        <v>22</v>
      </c>
      <c r="C11" s="16" t="s">
        <v>28</v>
      </c>
      <c r="D11" s="16" t="s">
        <v>24</v>
      </c>
      <c r="E11" s="16"/>
      <c r="F11" s="16" t="s">
        <v>25</v>
      </c>
      <c r="G11" s="17"/>
      <c r="H11" s="18">
        <f>IF($G11="","",TODAY()-$G11)</f>
        <v>0</v>
      </c>
      <c r="I11" s="16" t="s">
        <v>26</v>
      </c>
    </row>
    <row r="12" spans="1:11">
      <c r="A12" s="16" t="s">
        <v>21</v>
      </c>
      <c r="B12" s="16" t="s">
        <v>22</v>
      </c>
      <c r="C12" s="16" t="s">
        <v>29</v>
      </c>
      <c r="D12" s="16" t="s">
        <v>24</v>
      </c>
      <c r="E12" s="16"/>
      <c r="F12" s="16" t="s">
        <v>25</v>
      </c>
      <c r="G12" s="17"/>
      <c r="H12" s="18">
        <f>IF($G12="","",TODAY()-$G12)</f>
        <v>0</v>
      </c>
      <c r="I12" s="16" t="s">
        <v>26</v>
      </c>
    </row>
    <row r="13" spans="1:11">
      <c r="A13" s="16" t="s">
        <v>21</v>
      </c>
      <c r="B13" s="16" t="s">
        <v>22</v>
      </c>
      <c r="C13" s="16" t="s">
        <v>30</v>
      </c>
      <c r="D13" s="16" t="s">
        <v>24</v>
      </c>
      <c r="E13" s="16"/>
      <c r="F13" s="16" t="s">
        <v>25</v>
      </c>
      <c r="G13" s="17"/>
      <c r="H13" s="18">
        <f>IF($G13="","",TODAY()-$G13)</f>
        <v>0</v>
      </c>
      <c r="I13" s="16" t="s">
        <v>26</v>
      </c>
    </row>
    <row r="14" spans="1:11">
      <c r="A14" s="16" t="s">
        <v>21</v>
      </c>
      <c r="B14" s="16" t="s">
        <v>22</v>
      </c>
      <c r="C14" s="16" t="s">
        <v>31</v>
      </c>
      <c r="D14" s="16" t="s">
        <v>24</v>
      </c>
      <c r="E14" s="16"/>
      <c r="F14" s="16" t="s">
        <v>25</v>
      </c>
      <c r="G14" s="17"/>
      <c r="H14" s="18">
        <f>IF($G14="","",TODAY()-$G14)</f>
        <v>0</v>
      </c>
      <c r="I14" s="16" t="s">
        <v>26</v>
      </c>
    </row>
    <row r="15" spans="1:11">
      <c r="A15" s="16" t="s">
        <v>21</v>
      </c>
      <c r="B15" s="16" t="s">
        <v>22</v>
      </c>
      <c r="C15" s="16" t="s">
        <v>32</v>
      </c>
      <c r="D15" s="16" t="s">
        <v>24</v>
      </c>
      <c r="E15" s="16"/>
      <c r="F15" s="16" t="s">
        <v>25</v>
      </c>
      <c r="G15" s="17"/>
      <c r="H15" s="18">
        <f>IF($G15="","",TODAY()-$G15)</f>
        <v>0</v>
      </c>
      <c r="I15" s="16" t="s">
        <v>26</v>
      </c>
    </row>
    <row r="16" spans="1:11">
      <c r="A16" s="16" t="s">
        <v>21</v>
      </c>
      <c r="B16" s="16" t="s">
        <v>22</v>
      </c>
      <c r="C16" s="16" t="s">
        <v>33</v>
      </c>
      <c r="D16" s="16" t="s">
        <v>24</v>
      </c>
      <c r="E16" s="16"/>
      <c r="F16" s="16" t="s">
        <v>25</v>
      </c>
      <c r="G16" s="17"/>
      <c r="H16" s="18">
        <f>IF($G16="","",TODAY()-$G16)</f>
        <v>0</v>
      </c>
      <c r="I16" s="16" t="s">
        <v>26</v>
      </c>
    </row>
    <row r="17" spans="1:9">
      <c r="A17" s="16" t="s">
        <v>21</v>
      </c>
      <c r="B17" s="16" t="s">
        <v>22</v>
      </c>
      <c r="C17" s="16" t="s">
        <v>34</v>
      </c>
      <c r="D17" s="16" t="s">
        <v>24</v>
      </c>
      <c r="E17" s="16"/>
      <c r="F17" s="16" t="s">
        <v>25</v>
      </c>
      <c r="G17" s="17"/>
      <c r="H17" s="18">
        <f>IF($G17="","",TODAY()-$G17)</f>
        <v>0</v>
      </c>
      <c r="I17" s="16" t="s">
        <v>26</v>
      </c>
    </row>
    <row r="18" spans="1:9">
      <c r="A18" s="16" t="s">
        <v>21</v>
      </c>
      <c r="B18" s="16" t="s">
        <v>22</v>
      </c>
      <c r="C18" s="16" t="s">
        <v>35</v>
      </c>
      <c r="D18" s="16" t="s">
        <v>24</v>
      </c>
      <c r="E18" s="16"/>
      <c r="F18" s="16" t="s">
        <v>25</v>
      </c>
      <c r="G18" s="17"/>
      <c r="H18" s="18">
        <f>IF($G18="","",TODAY()-$G18)</f>
        <v>0</v>
      </c>
      <c r="I18" s="16" t="s">
        <v>26</v>
      </c>
    </row>
    <row r="19" spans="1:9">
      <c r="A19" s="16" t="s">
        <v>21</v>
      </c>
      <c r="B19" s="16" t="s">
        <v>22</v>
      </c>
      <c r="C19" s="16" t="s">
        <v>36</v>
      </c>
      <c r="D19" s="16" t="s">
        <v>24</v>
      </c>
      <c r="E19" s="16"/>
      <c r="F19" s="16" t="s">
        <v>25</v>
      </c>
      <c r="G19" s="17"/>
      <c r="H19" s="18">
        <f>IF($G19="","",TODAY()-$G19)</f>
        <v>0</v>
      </c>
      <c r="I19" s="16" t="s">
        <v>26</v>
      </c>
    </row>
    <row r="20" spans="1:9">
      <c r="A20" s="16" t="s">
        <v>21</v>
      </c>
      <c r="B20" s="16" t="s">
        <v>22</v>
      </c>
      <c r="C20" s="16" t="s">
        <v>37</v>
      </c>
      <c r="D20" s="16" t="s">
        <v>24</v>
      </c>
      <c r="E20" s="16"/>
      <c r="F20" s="16" t="s">
        <v>25</v>
      </c>
      <c r="G20" s="17"/>
      <c r="H20" s="18">
        <f>IF($G20="","",TODAY()-$G20)</f>
        <v>0</v>
      </c>
      <c r="I20" s="16" t="s">
        <v>26</v>
      </c>
    </row>
    <row r="21" spans="1:9">
      <c r="A21" s="16" t="s">
        <v>21</v>
      </c>
      <c r="B21" s="16" t="s">
        <v>22</v>
      </c>
      <c r="C21" s="16" t="s">
        <v>38</v>
      </c>
      <c r="D21" s="16" t="s">
        <v>24</v>
      </c>
      <c r="E21" s="16"/>
      <c r="F21" s="16" t="s">
        <v>25</v>
      </c>
      <c r="G21" s="17"/>
      <c r="H21" s="18">
        <f>IF($G21="","",TODAY()-$G21)</f>
        <v>0</v>
      </c>
      <c r="I21" s="16" t="s">
        <v>26</v>
      </c>
    </row>
    <row r="22" spans="1:9">
      <c r="A22" s="16" t="s">
        <v>21</v>
      </c>
      <c r="B22" s="16" t="s">
        <v>22</v>
      </c>
      <c r="C22" s="16" t="s">
        <v>39</v>
      </c>
      <c r="D22" s="16" t="s">
        <v>24</v>
      </c>
      <c r="E22" s="16"/>
      <c r="F22" s="16" t="s">
        <v>25</v>
      </c>
      <c r="G22" s="17"/>
      <c r="H22" s="18">
        <f>IF($G22="","",TODAY()-$G22)</f>
        <v>0</v>
      </c>
      <c r="I22" s="16" t="s">
        <v>26</v>
      </c>
    </row>
    <row r="23" spans="1:9">
      <c r="A23" s="16" t="s">
        <v>21</v>
      </c>
      <c r="B23" s="16" t="s">
        <v>22</v>
      </c>
      <c r="C23" s="16" t="s">
        <v>40</v>
      </c>
      <c r="D23" s="16" t="s">
        <v>24</v>
      </c>
      <c r="E23" s="16"/>
      <c r="F23" s="16" t="s">
        <v>25</v>
      </c>
      <c r="G23" s="17"/>
      <c r="H23" s="18">
        <f>IF($G23="","",TODAY()-$G23)</f>
        <v>0</v>
      </c>
      <c r="I23" s="16" t="s">
        <v>26</v>
      </c>
    </row>
    <row r="24" spans="1:9">
      <c r="A24" s="16" t="s">
        <v>21</v>
      </c>
      <c r="B24" s="16" t="s">
        <v>22</v>
      </c>
      <c r="C24" s="16" t="s">
        <v>41</v>
      </c>
      <c r="D24" s="16" t="s">
        <v>24</v>
      </c>
      <c r="E24" s="16"/>
      <c r="F24" s="16" t="s">
        <v>25</v>
      </c>
      <c r="G24" s="17"/>
      <c r="H24" s="18">
        <f>IF($G24="","",TODAY()-$G24)</f>
        <v>0</v>
      </c>
      <c r="I24" s="16" t="s">
        <v>26</v>
      </c>
    </row>
    <row r="25" spans="1:9">
      <c r="A25" s="16" t="s">
        <v>21</v>
      </c>
      <c r="B25" s="16" t="s">
        <v>22</v>
      </c>
      <c r="C25" s="16" t="s">
        <v>42</v>
      </c>
      <c r="D25" s="16" t="s">
        <v>24</v>
      </c>
      <c r="E25" s="16"/>
      <c r="F25" s="16" t="s">
        <v>25</v>
      </c>
      <c r="G25" s="17"/>
      <c r="H25" s="18">
        <f>IF($G25="","",TODAY()-$G25)</f>
        <v>0</v>
      </c>
      <c r="I25" s="16" t="s">
        <v>26</v>
      </c>
    </row>
    <row r="26" spans="1:9">
      <c r="A26" s="16" t="s">
        <v>21</v>
      </c>
      <c r="B26" s="16" t="s">
        <v>22</v>
      </c>
      <c r="C26" s="16" t="s">
        <v>43</v>
      </c>
      <c r="D26" s="16" t="s">
        <v>24</v>
      </c>
      <c r="E26" s="16"/>
      <c r="F26" s="16" t="s">
        <v>25</v>
      </c>
      <c r="G26" s="17"/>
      <c r="H26" s="18">
        <f>IF($G26="","",TODAY()-$G26)</f>
        <v>0</v>
      </c>
      <c r="I26" s="16" t="s">
        <v>26</v>
      </c>
    </row>
    <row r="27" spans="1:9">
      <c r="A27" s="16" t="s">
        <v>21</v>
      </c>
      <c r="B27" s="16" t="s">
        <v>22</v>
      </c>
      <c r="C27" s="16" t="s">
        <v>44</v>
      </c>
      <c r="D27" s="16" t="s">
        <v>24</v>
      </c>
      <c r="E27" s="16"/>
      <c r="F27" s="16" t="s">
        <v>25</v>
      </c>
      <c r="G27" s="17"/>
      <c r="H27" s="18">
        <f>IF($G27="","",TODAY()-$G27)</f>
        <v>0</v>
      </c>
      <c r="I27" s="16" t="s">
        <v>26</v>
      </c>
    </row>
    <row r="28" spans="1:9">
      <c r="A28" s="16" t="s">
        <v>21</v>
      </c>
      <c r="B28" s="16" t="s">
        <v>22</v>
      </c>
      <c r="C28" s="16" t="s">
        <v>45</v>
      </c>
      <c r="D28" s="16" t="s">
        <v>24</v>
      </c>
      <c r="E28" s="16"/>
      <c r="F28" s="16" t="s">
        <v>25</v>
      </c>
      <c r="G28" s="17"/>
      <c r="H28" s="18">
        <f>IF($G28="","",TODAY()-$G28)</f>
        <v>0</v>
      </c>
      <c r="I28" s="16" t="s">
        <v>26</v>
      </c>
    </row>
    <row r="29" spans="1:9">
      <c r="A29" s="19" t="s">
        <v>46</v>
      </c>
      <c r="B29" s="19" t="s">
        <v>47</v>
      </c>
      <c r="C29" s="19" t="s">
        <v>48</v>
      </c>
      <c r="D29" s="19" t="s">
        <v>49</v>
      </c>
      <c r="E29" s="19" t="s">
        <v>50</v>
      </c>
      <c r="F29" s="19" t="s">
        <v>51</v>
      </c>
      <c r="G29" s="20">
        <v>46209</v>
      </c>
      <c r="H29" s="21">
        <f>IF($G29="","",TODAY()-$G29)</f>
        <v>0</v>
      </c>
      <c r="I29" s="19" t="s">
        <v>52</v>
      </c>
    </row>
    <row r="30" spans="1:9">
      <c r="A30" s="19" t="s">
        <v>46</v>
      </c>
      <c r="B30" s="19" t="s">
        <v>53</v>
      </c>
      <c r="C30" s="19" t="s">
        <v>54</v>
      </c>
      <c r="D30" s="19" t="s">
        <v>49</v>
      </c>
      <c r="E30" s="19" t="s">
        <v>50</v>
      </c>
      <c r="F30" s="19" t="s">
        <v>51</v>
      </c>
      <c r="G30" s="20">
        <v>46216</v>
      </c>
      <c r="H30" s="21">
        <f>IF($G30="","",TODAY()-$G30)</f>
        <v>0</v>
      </c>
      <c r="I30" s="19" t="s">
        <v>55</v>
      </c>
    </row>
    <row r="31" spans="1:9">
      <c r="A31" s="16" t="s">
        <v>56</v>
      </c>
      <c r="B31" s="16" t="s">
        <v>57</v>
      </c>
      <c r="C31" s="16" t="s">
        <v>58</v>
      </c>
      <c r="D31" s="16" t="s">
        <v>59</v>
      </c>
      <c r="E31" s="16" t="s">
        <v>60</v>
      </c>
      <c r="F31" s="16" t="s">
        <v>61</v>
      </c>
      <c r="G31" s="17">
        <v>46217</v>
      </c>
      <c r="H31" s="18">
        <f>IF($G31="","",TODAY()-$G31)</f>
        <v>0</v>
      </c>
      <c r="I31" s="16" t="s">
        <v>62</v>
      </c>
    </row>
    <row r="32" spans="1:9">
      <c r="A32" s="16" t="s">
        <v>56</v>
      </c>
      <c r="B32" s="16" t="s">
        <v>57</v>
      </c>
      <c r="C32" s="16" t="s">
        <v>63</v>
      </c>
      <c r="D32" s="16" t="s">
        <v>59</v>
      </c>
      <c r="E32" s="16" t="s">
        <v>60</v>
      </c>
      <c r="F32" s="16" t="s">
        <v>61</v>
      </c>
      <c r="G32" s="17">
        <v>46217</v>
      </c>
      <c r="H32" s="18">
        <f>IF($G32="","",TODAY()-$G32)</f>
        <v>0</v>
      </c>
      <c r="I32" s="16" t="s">
        <v>62</v>
      </c>
    </row>
    <row r="33" spans="1:9">
      <c r="A33" s="16" t="s">
        <v>56</v>
      </c>
      <c r="B33" s="16" t="s">
        <v>64</v>
      </c>
      <c r="C33" s="16" t="s">
        <v>65</v>
      </c>
      <c r="D33" s="16" t="s">
        <v>59</v>
      </c>
      <c r="E33" s="16" t="s">
        <v>60</v>
      </c>
      <c r="F33" s="16" t="s">
        <v>61</v>
      </c>
      <c r="G33" s="17">
        <v>46217</v>
      </c>
      <c r="H33" s="18">
        <f>IF($G33="","",TODAY()-$G33)</f>
        <v>0</v>
      </c>
      <c r="I33" s="16" t="s">
        <v>62</v>
      </c>
    </row>
    <row r="34" spans="1:9">
      <c r="A34" s="16" t="s">
        <v>56</v>
      </c>
      <c r="B34" s="16" t="s">
        <v>66</v>
      </c>
      <c r="C34" s="16" t="s">
        <v>67</v>
      </c>
      <c r="D34" s="16" t="s">
        <v>59</v>
      </c>
      <c r="E34" s="16" t="s">
        <v>60</v>
      </c>
      <c r="F34" s="16" t="s">
        <v>61</v>
      </c>
      <c r="G34" s="17">
        <v>46217</v>
      </c>
      <c r="H34" s="18">
        <f>IF($G34="","",TODAY()-$G34)</f>
        <v>0</v>
      </c>
      <c r="I34" s="16" t="s">
        <v>62</v>
      </c>
    </row>
    <row r="35" spans="1:9">
      <c r="A35" s="16" t="s">
        <v>56</v>
      </c>
      <c r="B35" s="16" t="s">
        <v>68</v>
      </c>
      <c r="C35" s="16" t="s">
        <v>69</v>
      </c>
      <c r="D35" s="16" t="s">
        <v>59</v>
      </c>
      <c r="E35" s="16" t="s">
        <v>60</v>
      </c>
      <c r="F35" s="16" t="s">
        <v>61</v>
      </c>
      <c r="G35" s="17">
        <v>46217</v>
      </c>
      <c r="H35" s="18">
        <f>IF($G35="","",TODAY()-$G35)</f>
        <v>0</v>
      </c>
      <c r="I35" s="16" t="s">
        <v>62</v>
      </c>
    </row>
    <row r="36" spans="1:9">
      <c r="A36" s="16" t="s">
        <v>56</v>
      </c>
      <c r="B36" s="16" t="s">
        <v>68</v>
      </c>
      <c r="C36" s="16" t="s">
        <v>70</v>
      </c>
      <c r="D36" s="16" t="s">
        <v>59</v>
      </c>
      <c r="E36" s="16" t="s">
        <v>60</v>
      </c>
      <c r="F36" s="16" t="s">
        <v>61</v>
      </c>
      <c r="G36" s="17">
        <v>46217</v>
      </c>
      <c r="H36" s="18">
        <f>IF($G36="","",TODAY()-$G36)</f>
        <v>0</v>
      </c>
      <c r="I36" s="16" t="s">
        <v>62</v>
      </c>
    </row>
    <row r="37" spans="1:9">
      <c r="A37" s="16" t="s">
        <v>56</v>
      </c>
      <c r="B37" s="16" t="s">
        <v>68</v>
      </c>
      <c r="C37" s="16" t="s">
        <v>71</v>
      </c>
      <c r="D37" s="16" t="s">
        <v>59</v>
      </c>
      <c r="E37" s="16" t="s">
        <v>60</v>
      </c>
      <c r="F37" s="16" t="s">
        <v>61</v>
      </c>
      <c r="G37" s="17">
        <v>46217</v>
      </c>
      <c r="H37" s="18">
        <f>IF($G37="","",TODAY()-$G37)</f>
        <v>0</v>
      </c>
      <c r="I37" s="16" t="s">
        <v>62</v>
      </c>
    </row>
    <row r="38" spans="1:9">
      <c r="A38" s="16" t="s">
        <v>56</v>
      </c>
      <c r="B38" s="16" t="s">
        <v>68</v>
      </c>
      <c r="C38" s="16" t="s">
        <v>72</v>
      </c>
      <c r="D38" s="16" t="s">
        <v>59</v>
      </c>
      <c r="E38" s="16" t="s">
        <v>60</v>
      </c>
      <c r="F38" s="16" t="s">
        <v>61</v>
      </c>
      <c r="G38" s="17">
        <v>46217</v>
      </c>
      <c r="H38" s="18">
        <f>IF($G38="","",TODAY()-$G38)</f>
        <v>0</v>
      </c>
      <c r="I38" s="16" t="s">
        <v>62</v>
      </c>
    </row>
    <row r="39" spans="1:9">
      <c r="A39" s="16" t="s">
        <v>56</v>
      </c>
      <c r="B39" s="16" t="s">
        <v>68</v>
      </c>
      <c r="C39" s="16" t="s">
        <v>73</v>
      </c>
      <c r="D39" s="16" t="s">
        <v>59</v>
      </c>
      <c r="E39" s="16" t="s">
        <v>60</v>
      </c>
      <c r="F39" s="16" t="s">
        <v>61</v>
      </c>
      <c r="G39" s="17">
        <v>46217</v>
      </c>
      <c r="H39" s="18">
        <f>IF($G39="","",TODAY()-$G39)</f>
        <v>0</v>
      </c>
      <c r="I39" s="16" t="s">
        <v>62</v>
      </c>
    </row>
    <row r="40" spans="1:9">
      <c r="A40" s="16" t="s">
        <v>56</v>
      </c>
      <c r="B40" s="16" t="s">
        <v>68</v>
      </c>
      <c r="C40" s="16" t="s">
        <v>74</v>
      </c>
      <c r="D40" s="16" t="s">
        <v>59</v>
      </c>
      <c r="E40" s="16" t="s">
        <v>60</v>
      </c>
      <c r="F40" s="16" t="s">
        <v>61</v>
      </c>
      <c r="G40" s="17">
        <v>46217</v>
      </c>
      <c r="H40" s="18">
        <f>IF($G40="","",TODAY()-$G40)</f>
        <v>0</v>
      </c>
      <c r="I40" s="16" t="s">
        <v>62</v>
      </c>
    </row>
    <row r="41" spans="1:9">
      <c r="A41" s="16" t="s">
        <v>56</v>
      </c>
      <c r="B41" s="16" t="s">
        <v>75</v>
      </c>
      <c r="C41" s="16" t="s">
        <v>76</v>
      </c>
      <c r="D41" s="16" t="s">
        <v>59</v>
      </c>
      <c r="E41" s="16" t="s">
        <v>60</v>
      </c>
      <c r="F41" s="16" t="s">
        <v>61</v>
      </c>
      <c r="G41" s="17">
        <v>46217</v>
      </c>
      <c r="H41" s="18">
        <f>IF($G41="","",TODAY()-$G41)</f>
        <v>0</v>
      </c>
      <c r="I41" s="16" t="s">
        <v>62</v>
      </c>
    </row>
    <row r="42" spans="1:9">
      <c r="A42" s="16" t="s">
        <v>56</v>
      </c>
      <c r="B42" s="16" t="s">
        <v>77</v>
      </c>
      <c r="C42" s="16" t="s">
        <v>78</v>
      </c>
      <c r="D42" s="16" t="s">
        <v>59</v>
      </c>
      <c r="E42" s="16" t="s">
        <v>60</v>
      </c>
      <c r="F42" s="16" t="s">
        <v>61</v>
      </c>
      <c r="G42" s="17">
        <v>46217</v>
      </c>
      <c r="H42" s="18">
        <f>IF($G42="","",TODAY()-$G42)</f>
        <v>0</v>
      </c>
      <c r="I42" s="16" t="s">
        <v>62</v>
      </c>
    </row>
    <row r="43" spans="1:9">
      <c r="A43" s="16" t="s">
        <v>56</v>
      </c>
      <c r="B43" s="16" t="s">
        <v>77</v>
      </c>
      <c r="C43" s="16" t="s">
        <v>79</v>
      </c>
      <c r="D43" s="16" t="s">
        <v>59</v>
      </c>
      <c r="E43" s="16" t="s">
        <v>60</v>
      </c>
      <c r="F43" s="16" t="s">
        <v>61</v>
      </c>
      <c r="G43" s="17">
        <v>46217</v>
      </c>
      <c r="H43" s="18">
        <f>IF($G43="","",TODAY()-$G43)</f>
        <v>0</v>
      </c>
      <c r="I43" s="16" t="s">
        <v>62</v>
      </c>
    </row>
    <row r="44" spans="1:9">
      <c r="A44" s="16" t="s">
        <v>56</v>
      </c>
      <c r="B44" s="16" t="s">
        <v>77</v>
      </c>
      <c r="C44" s="16" t="s">
        <v>80</v>
      </c>
      <c r="D44" s="16" t="s">
        <v>59</v>
      </c>
      <c r="E44" s="16" t="s">
        <v>60</v>
      </c>
      <c r="F44" s="16" t="s">
        <v>61</v>
      </c>
      <c r="G44" s="17">
        <v>46217</v>
      </c>
      <c r="H44" s="18">
        <f>IF($G44="","",TODAY()-$G44)</f>
        <v>0</v>
      </c>
      <c r="I44" s="16" t="s">
        <v>62</v>
      </c>
    </row>
    <row r="45" spans="1:9">
      <c r="A45" s="19" t="s">
        <v>81</v>
      </c>
      <c r="B45" s="19" t="s">
        <v>82</v>
      </c>
      <c r="C45" s="19" t="s">
        <v>83</v>
      </c>
      <c r="D45" s="19" t="s">
        <v>84</v>
      </c>
      <c r="E45" s="19" t="s">
        <v>85</v>
      </c>
      <c r="F45" s="19" t="s">
        <v>86</v>
      </c>
      <c r="G45" s="20">
        <v>46225</v>
      </c>
      <c r="H45" s="21">
        <f>IF($G45="","",TODAY()-$G45)</f>
        <v>0</v>
      </c>
      <c r="I45" s="19" t="s">
        <v>87</v>
      </c>
    </row>
    <row r="46" spans="1:9">
      <c r="A46" s="19" t="s">
        <v>81</v>
      </c>
      <c r="B46" s="19" t="s">
        <v>82</v>
      </c>
      <c r="C46" s="19" t="s">
        <v>88</v>
      </c>
      <c r="D46" s="19" t="s">
        <v>84</v>
      </c>
      <c r="E46" s="19" t="s">
        <v>85</v>
      </c>
      <c r="F46" s="19" t="s">
        <v>86</v>
      </c>
      <c r="G46" s="20">
        <v>46225</v>
      </c>
      <c r="H46" s="21">
        <f>IF($G46="","",TODAY()-$G46)</f>
        <v>0</v>
      </c>
      <c r="I46" s="19" t="s">
        <v>87</v>
      </c>
    </row>
    <row r="47" spans="1:9">
      <c r="A47" s="19" t="s">
        <v>81</v>
      </c>
      <c r="B47" s="19" t="s">
        <v>82</v>
      </c>
      <c r="C47" s="19" t="s">
        <v>89</v>
      </c>
      <c r="D47" s="19" t="s">
        <v>84</v>
      </c>
      <c r="E47" s="19" t="s">
        <v>85</v>
      </c>
      <c r="F47" s="19" t="s">
        <v>86</v>
      </c>
      <c r="G47" s="20">
        <v>46225</v>
      </c>
      <c r="H47" s="21">
        <f>IF($G47="","",TODAY()-$G47)</f>
        <v>0</v>
      </c>
      <c r="I47" s="19" t="s">
        <v>87</v>
      </c>
    </row>
    <row r="48" spans="1:9">
      <c r="A48" s="19" t="s">
        <v>81</v>
      </c>
      <c r="B48" s="19" t="s">
        <v>90</v>
      </c>
      <c r="C48" s="19" t="s">
        <v>91</v>
      </c>
      <c r="D48" s="19" t="s">
        <v>84</v>
      </c>
      <c r="E48" s="19" t="s">
        <v>85</v>
      </c>
      <c r="F48" s="19" t="s">
        <v>86</v>
      </c>
      <c r="G48" s="20">
        <v>46225</v>
      </c>
      <c r="H48" s="21">
        <f>IF($G48="","",TODAY()-$G48)</f>
        <v>0</v>
      </c>
      <c r="I48" s="19" t="s">
        <v>87</v>
      </c>
    </row>
    <row r="49" spans="1:9">
      <c r="A49" s="19" t="s">
        <v>81</v>
      </c>
      <c r="B49" s="19" t="s">
        <v>90</v>
      </c>
      <c r="C49" s="19" t="s">
        <v>92</v>
      </c>
      <c r="D49" s="19" t="s">
        <v>84</v>
      </c>
      <c r="E49" s="19" t="s">
        <v>85</v>
      </c>
      <c r="F49" s="19" t="s">
        <v>86</v>
      </c>
      <c r="G49" s="20">
        <v>46225</v>
      </c>
      <c r="H49" s="21">
        <f>IF($G49="","",TODAY()-$G49)</f>
        <v>0</v>
      </c>
      <c r="I49" s="19" t="s">
        <v>87</v>
      </c>
    </row>
    <row r="50" spans="1:9">
      <c r="A50" s="16" t="s">
        <v>81</v>
      </c>
      <c r="B50" s="16" t="s">
        <v>93</v>
      </c>
      <c r="C50" s="16" t="s">
        <v>94</v>
      </c>
      <c r="D50" s="16" t="s">
        <v>84</v>
      </c>
      <c r="E50" s="16" t="s">
        <v>85</v>
      </c>
      <c r="F50" s="16" t="s">
        <v>86</v>
      </c>
      <c r="G50" s="17">
        <v>46227</v>
      </c>
      <c r="H50" s="18">
        <f>IF($G50="","",TODAY()-$G50)</f>
        <v>0</v>
      </c>
      <c r="I50" s="16"/>
    </row>
    <row r="51" spans="1:9">
      <c r="A51" s="16" t="s">
        <v>81</v>
      </c>
      <c r="B51" s="16" t="s">
        <v>93</v>
      </c>
      <c r="C51" s="16" t="s">
        <v>95</v>
      </c>
      <c r="D51" s="16" t="s">
        <v>84</v>
      </c>
      <c r="E51" s="16" t="s">
        <v>85</v>
      </c>
      <c r="F51" s="16" t="s">
        <v>86</v>
      </c>
      <c r="G51" s="17">
        <v>46227</v>
      </c>
      <c r="H51" s="18">
        <f>IF($G51="","",TODAY()-$G51)</f>
        <v>0</v>
      </c>
      <c r="I51" s="16"/>
    </row>
    <row r="52" spans="1:9">
      <c r="A52" s="16" t="s">
        <v>81</v>
      </c>
      <c r="B52" s="16" t="s">
        <v>93</v>
      </c>
      <c r="C52" s="16" t="s">
        <v>96</v>
      </c>
      <c r="D52" s="16" t="s">
        <v>84</v>
      </c>
      <c r="E52" s="16" t="s">
        <v>85</v>
      </c>
      <c r="F52" s="16" t="s">
        <v>86</v>
      </c>
      <c r="G52" s="17">
        <v>46227</v>
      </c>
      <c r="H52" s="18">
        <f>IF($G52="","",TODAY()-$G52)</f>
        <v>0</v>
      </c>
      <c r="I52" s="16"/>
    </row>
    <row r="53" spans="1:9">
      <c r="A53" s="16" t="s">
        <v>81</v>
      </c>
      <c r="B53" s="16" t="s">
        <v>93</v>
      </c>
      <c r="C53" s="16" t="s">
        <v>97</v>
      </c>
      <c r="D53" s="16" t="s">
        <v>84</v>
      </c>
      <c r="E53" s="16" t="s">
        <v>85</v>
      </c>
      <c r="F53" s="16" t="s">
        <v>86</v>
      </c>
      <c r="G53" s="17">
        <v>46227</v>
      </c>
      <c r="H53" s="18">
        <f>IF($G53="","",TODAY()-$G53)</f>
        <v>0</v>
      </c>
      <c r="I53" s="16"/>
    </row>
    <row r="54" spans="1:9">
      <c r="A54" s="16" t="s">
        <v>81</v>
      </c>
      <c r="B54" s="16" t="s">
        <v>93</v>
      </c>
      <c r="C54" s="16" t="s">
        <v>98</v>
      </c>
      <c r="D54" s="16" t="s">
        <v>84</v>
      </c>
      <c r="E54" s="16" t="s">
        <v>85</v>
      </c>
      <c r="F54" s="16" t="s">
        <v>86</v>
      </c>
      <c r="G54" s="17">
        <v>46227</v>
      </c>
      <c r="H54" s="18">
        <f>IF($G54="","",TODAY()-$G54)</f>
        <v>0</v>
      </c>
      <c r="I54" s="16"/>
    </row>
    <row r="55" spans="1:9">
      <c r="A55" s="16" t="s">
        <v>81</v>
      </c>
      <c r="B55" s="16" t="s">
        <v>99</v>
      </c>
      <c r="C55" s="16" t="s">
        <v>100</v>
      </c>
      <c r="D55" s="16" t="s">
        <v>84</v>
      </c>
      <c r="E55" s="16" t="s">
        <v>85</v>
      </c>
      <c r="F55" s="16" t="s">
        <v>86</v>
      </c>
      <c r="G55" s="17">
        <v>46227</v>
      </c>
      <c r="H55" s="18">
        <f>IF($G55="","",TODAY()-$G55)</f>
        <v>0</v>
      </c>
      <c r="I55" s="16"/>
    </row>
    <row r="56" spans="1:9">
      <c r="A56" s="16" t="s">
        <v>81</v>
      </c>
      <c r="B56" s="16" t="s">
        <v>93</v>
      </c>
      <c r="C56" s="16" t="s">
        <v>101</v>
      </c>
      <c r="D56" s="16" t="s">
        <v>84</v>
      </c>
      <c r="E56" s="16" t="s">
        <v>85</v>
      </c>
      <c r="F56" s="16" t="s">
        <v>86</v>
      </c>
      <c r="G56" s="17">
        <v>46227</v>
      </c>
      <c r="H56" s="18">
        <f>IF($G56="","",TODAY()-$G56)</f>
        <v>0</v>
      </c>
      <c r="I56" s="16"/>
    </row>
    <row r="57" spans="1:9">
      <c r="A57" s="16" t="s">
        <v>81</v>
      </c>
      <c r="B57" s="16" t="s">
        <v>99</v>
      </c>
      <c r="C57" s="16" t="s">
        <v>102</v>
      </c>
      <c r="D57" s="16" t="s">
        <v>84</v>
      </c>
      <c r="E57" s="16" t="s">
        <v>85</v>
      </c>
      <c r="F57" s="16" t="s">
        <v>86</v>
      </c>
      <c r="G57" s="17">
        <v>46227</v>
      </c>
      <c r="H57" s="18">
        <f>IF($G57="","",TODAY()-$G57)</f>
        <v>0</v>
      </c>
      <c r="I57" s="16"/>
    </row>
    <row r="58" spans="1:9">
      <c r="A58" s="16" t="s">
        <v>81</v>
      </c>
      <c r="B58" s="16" t="s">
        <v>93</v>
      </c>
      <c r="C58" s="16" t="s">
        <v>103</v>
      </c>
      <c r="D58" s="16" t="s">
        <v>84</v>
      </c>
      <c r="E58" s="16" t="s">
        <v>85</v>
      </c>
      <c r="F58" s="16" t="s">
        <v>86</v>
      </c>
      <c r="G58" s="17">
        <v>46227</v>
      </c>
      <c r="H58" s="18">
        <f>IF($G58="","",TODAY()-$G58)</f>
        <v>0</v>
      </c>
      <c r="I58" s="16"/>
    </row>
    <row r="59" spans="1:9">
      <c r="A59" s="16" t="s">
        <v>81</v>
      </c>
      <c r="B59" s="16" t="s">
        <v>93</v>
      </c>
      <c r="C59" s="16" t="s">
        <v>104</v>
      </c>
      <c r="D59" s="16" t="s">
        <v>84</v>
      </c>
      <c r="E59" s="16" t="s">
        <v>85</v>
      </c>
      <c r="F59" s="16" t="s">
        <v>86</v>
      </c>
      <c r="G59" s="17">
        <v>46227</v>
      </c>
      <c r="H59" s="18">
        <f>IF($G59="","",TODAY()-$G59)</f>
        <v>0</v>
      </c>
      <c r="I59" s="16"/>
    </row>
    <row r="60" spans="1:9">
      <c r="A60" s="16" t="s">
        <v>81</v>
      </c>
      <c r="B60" s="16" t="s">
        <v>93</v>
      </c>
      <c r="C60" s="16" t="s">
        <v>105</v>
      </c>
      <c r="D60" s="16" t="s">
        <v>84</v>
      </c>
      <c r="E60" s="16" t="s">
        <v>85</v>
      </c>
      <c r="F60" s="16" t="s">
        <v>86</v>
      </c>
      <c r="G60" s="17">
        <v>46227</v>
      </c>
      <c r="H60" s="18">
        <f>IF($G60="","",TODAY()-$G60)</f>
        <v>0</v>
      </c>
      <c r="I60" s="16"/>
    </row>
    <row r="61" spans="1:9">
      <c r="A61" s="16" t="s">
        <v>81</v>
      </c>
      <c r="B61" s="16" t="s">
        <v>93</v>
      </c>
      <c r="C61" s="16" t="s">
        <v>106</v>
      </c>
      <c r="D61" s="16" t="s">
        <v>84</v>
      </c>
      <c r="E61" s="16" t="s">
        <v>85</v>
      </c>
      <c r="F61" s="16" t="s">
        <v>86</v>
      </c>
      <c r="G61" s="17">
        <v>46227</v>
      </c>
      <c r="H61" s="18">
        <f>IF($G61="","",TODAY()-$G61)</f>
        <v>0</v>
      </c>
      <c r="I61" s="16"/>
    </row>
    <row r="62" spans="1:9">
      <c r="A62" s="16" t="s">
        <v>81</v>
      </c>
      <c r="B62" s="16" t="s">
        <v>99</v>
      </c>
      <c r="C62" s="16" t="s">
        <v>107</v>
      </c>
      <c r="D62" s="16" t="s">
        <v>84</v>
      </c>
      <c r="E62" s="16" t="s">
        <v>85</v>
      </c>
      <c r="F62" s="16" t="s">
        <v>86</v>
      </c>
      <c r="G62" s="17">
        <v>46227</v>
      </c>
      <c r="H62" s="18">
        <f>IF($G62="","",TODAY()-$G62)</f>
        <v>0</v>
      </c>
      <c r="I62" s="16"/>
    </row>
    <row r="63" spans="1:9">
      <c r="A63" s="16" t="s">
        <v>81</v>
      </c>
      <c r="B63" s="16" t="s">
        <v>99</v>
      </c>
      <c r="C63" s="16" t="s">
        <v>108</v>
      </c>
      <c r="D63" s="16" t="s">
        <v>84</v>
      </c>
      <c r="E63" s="16" t="s">
        <v>85</v>
      </c>
      <c r="F63" s="16" t="s">
        <v>86</v>
      </c>
      <c r="G63" s="17">
        <v>46227</v>
      </c>
      <c r="H63" s="18">
        <f>IF($G63="","",TODAY()-$G63)</f>
        <v>0</v>
      </c>
      <c r="I63" s="16"/>
    </row>
    <row r="64" spans="1:9">
      <c r="A64" s="16" t="s">
        <v>81</v>
      </c>
      <c r="B64" s="16" t="s">
        <v>93</v>
      </c>
      <c r="C64" s="16" t="s">
        <v>109</v>
      </c>
      <c r="D64" s="16" t="s">
        <v>84</v>
      </c>
      <c r="E64" s="16" t="s">
        <v>85</v>
      </c>
      <c r="F64" s="16" t="s">
        <v>86</v>
      </c>
      <c r="G64" s="17">
        <v>46227</v>
      </c>
      <c r="H64" s="18">
        <f>IF($G64="","",TODAY()-$G64)</f>
        <v>0</v>
      </c>
      <c r="I64" s="16"/>
    </row>
    <row r="65" spans="1:9">
      <c r="A65" s="16" t="s">
        <v>110</v>
      </c>
      <c r="B65" s="16" t="s">
        <v>111</v>
      </c>
      <c r="C65" s="16" t="s">
        <v>112</v>
      </c>
      <c r="D65" s="16" t="s">
        <v>113</v>
      </c>
      <c r="E65" s="16" t="s">
        <v>85</v>
      </c>
      <c r="F65" s="16" t="s">
        <v>114</v>
      </c>
      <c r="G65" s="17">
        <v>46234</v>
      </c>
      <c r="H65" s="18">
        <f>IF($G65="","",TODAY()-$G65)</f>
        <v>0</v>
      </c>
      <c r="I65" s="16"/>
    </row>
    <row r="66" spans="1:9">
      <c r="A66" s="16" t="s">
        <v>110</v>
      </c>
      <c r="B66" s="16" t="s">
        <v>111</v>
      </c>
      <c r="C66" s="16" t="s">
        <v>115</v>
      </c>
      <c r="D66" s="16" t="s">
        <v>113</v>
      </c>
      <c r="E66" s="16" t="s">
        <v>85</v>
      </c>
      <c r="F66" s="16" t="s">
        <v>114</v>
      </c>
      <c r="G66" s="17">
        <v>46234</v>
      </c>
      <c r="H66" s="18">
        <f>IF($G66="","",TODAY()-$G66)</f>
        <v>0</v>
      </c>
      <c r="I66" s="16"/>
    </row>
    <row r="67" spans="1:9">
      <c r="A67" s="16" t="s">
        <v>110</v>
      </c>
      <c r="B67" s="16" t="s">
        <v>111</v>
      </c>
      <c r="C67" s="16" t="s">
        <v>116</v>
      </c>
      <c r="D67" s="16" t="s">
        <v>113</v>
      </c>
      <c r="E67" s="16" t="s">
        <v>85</v>
      </c>
      <c r="F67" s="16" t="s">
        <v>114</v>
      </c>
      <c r="G67" s="17">
        <v>46234</v>
      </c>
      <c r="H67" s="18">
        <f>IF($G67="","",TODAY()-$G67)</f>
        <v>0</v>
      </c>
      <c r="I67" s="16"/>
    </row>
    <row r="68" spans="1:9">
      <c r="A68" s="16" t="s">
        <v>110</v>
      </c>
      <c r="B68" s="16" t="s">
        <v>111</v>
      </c>
      <c r="C68" s="16" t="s">
        <v>117</v>
      </c>
      <c r="D68" s="16" t="s">
        <v>113</v>
      </c>
      <c r="E68" s="16" t="s">
        <v>85</v>
      </c>
      <c r="F68" s="16" t="s">
        <v>114</v>
      </c>
      <c r="G68" s="17">
        <v>46234</v>
      </c>
      <c r="H68" s="18">
        <f>IF($G68="","",TODAY()-$G68)</f>
        <v>0</v>
      </c>
      <c r="I68" s="16"/>
    </row>
    <row r="69" spans="1:9">
      <c r="A69" s="16" t="s">
        <v>110</v>
      </c>
      <c r="B69" s="16" t="s">
        <v>111</v>
      </c>
      <c r="C69" s="16" t="s">
        <v>118</v>
      </c>
      <c r="D69" s="16" t="s">
        <v>113</v>
      </c>
      <c r="E69" s="16" t="s">
        <v>85</v>
      </c>
      <c r="F69" s="16" t="s">
        <v>114</v>
      </c>
      <c r="G69" s="17">
        <v>46234</v>
      </c>
      <c r="H69" s="18">
        <f>IF($G69="","",TODAY()-$G69)</f>
        <v>0</v>
      </c>
      <c r="I69" s="16"/>
    </row>
    <row r="70" spans="1:9">
      <c r="A70" s="16" t="s">
        <v>110</v>
      </c>
      <c r="B70" s="16" t="s">
        <v>111</v>
      </c>
      <c r="C70" s="16" t="s">
        <v>119</v>
      </c>
      <c r="D70" s="16" t="s">
        <v>113</v>
      </c>
      <c r="E70" s="16" t="s">
        <v>85</v>
      </c>
      <c r="F70" s="16" t="s">
        <v>114</v>
      </c>
      <c r="G70" s="17">
        <v>46234</v>
      </c>
      <c r="H70" s="18">
        <f>IF($G70="","",TODAY()-$G70)</f>
        <v>0</v>
      </c>
      <c r="I70" s="16"/>
    </row>
    <row r="71" spans="1:9">
      <c r="A71" s="16" t="s">
        <v>110</v>
      </c>
      <c r="B71" s="16" t="s">
        <v>111</v>
      </c>
      <c r="C71" s="16" t="s">
        <v>120</v>
      </c>
      <c r="D71" s="16" t="s">
        <v>113</v>
      </c>
      <c r="E71" s="16" t="s">
        <v>85</v>
      </c>
      <c r="F71" s="16" t="s">
        <v>114</v>
      </c>
      <c r="G71" s="17">
        <v>46234</v>
      </c>
      <c r="H71" s="18">
        <f>IF($G71="","",TODAY()-$G71)</f>
        <v>0</v>
      </c>
      <c r="I71" s="16"/>
    </row>
    <row r="72" spans="1:9">
      <c r="A72" s="16" t="s">
        <v>110</v>
      </c>
      <c r="B72" s="16" t="s">
        <v>111</v>
      </c>
      <c r="C72" s="16" t="s">
        <v>121</v>
      </c>
      <c r="D72" s="16" t="s">
        <v>113</v>
      </c>
      <c r="E72" s="16" t="s">
        <v>85</v>
      </c>
      <c r="F72" s="16" t="s">
        <v>114</v>
      </c>
      <c r="G72" s="17">
        <v>46234</v>
      </c>
      <c r="H72" s="18">
        <f>IF($G72="","",TODAY()-$G72)</f>
        <v>0</v>
      </c>
      <c r="I72" s="16"/>
    </row>
    <row r="73" spans="1:9">
      <c r="A73" s="16" t="s">
        <v>110</v>
      </c>
      <c r="B73" s="16" t="s">
        <v>111</v>
      </c>
      <c r="C73" s="16" t="s">
        <v>122</v>
      </c>
      <c r="D73" s="16" t="s">
        <v>113</v>
      </c>
      <c r="E73" s="16" t="s">
        <v>85</v>
      </c>
      <c r="F73" s="16" t="s">
        <v>114</v>
      </c>
      <c r="G73" s="17">
        <v>46234</v>
      </c>
      <c r="H73" s="18">
        <f>IF($G73="","",TODAY()-$G73)</f>
        <v>0</v>
      </c>
      <c r="I73" s="16"/>
    </row>
    <row r="74" spans="1:9">
      <c r="A74" s="16" t="s">
        <v>110</v>
      </c>
      <c r="B74" s="16" t="s">
        <v>111</v>
      </c>
      <c r="C74" s="16" t="s">
        <v>123</v>
      </c>
      <c r="D74" s="16" t="s">
        <v>113</v>
      </c>
      <c r="E74" s="16" t="s">
        <v>85</v>
      </c>
      <c r="F74" s="16" t="s">
        <v>114</v>
      </c>
      <c r="G74" s="17">
        <v>46234</v>
      </c>
      <c r="H74" s="18">
        <f>IF($G74="","",TODAY()-$G74)</f>
        <v>0</v>
      </c>
      <c r="I74" s="16"/>
    </row>
    <row r="75" spans="1:9">
      <c r="A75" s="16" t="s">
        <v>110</v>
      </c>
      <c r="B75" s="16" t="s">
        <v>111</v>
      </c>
      <c r="C75" s="16" t="s">
        <v>124</v>
      </c>
      <c r="D75" s="16" t="s">
        <v>113</v>
      </c>
      <c r="E75" s="16" t="s">
        <v>85</v>
      </c>
      <c r="F75" s="16" t="s">
        <v>114</v>
      </c>
      <c r="G75" s="17">
        <v>46234</v>
      </c>
      <c r="H75" s="18">
        <f>IF($G75="","",TODAY()-$G75)</f>
        <v>0</v>
      </c>
      <c r="I75" s="16"/>
    </row>
  </sheetData>
  <autoFilter ref="A8:I3000"/>
  <mergeCells count="2">
    <mergeCell ref="A1:H1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D5">
      <formula1>Listy!$B$2:$B$33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3.7109375" customWidth="1"/>
    <col min="2" max="2" width="18.7109375" customWidth="1"/>
    <col min="3" max="3" width="21.7109375" customWidth="1"/>
    <col min="4" max="5" width="15.7109375" customWidth="1"/>
    <col min="6" max="6" width="14.7109375" customWidth="1"/>
    <col min="7" max="7" width="13.7109375" customWidth="1"/>
    <col min="8" max="8" width="30.7109375" customWidth="1"/>
    <col min="9" max="9" width="2.7109375" customWidth="1"/>
    <col min="10" max="10" width="26.7109375" customWidth="1"/>
  </cols>
  <sheetData>
    <row r="1" spans="1:8" ht="40" customHeight="1">
      <c r="A1" s="1" t="s">
        <v>125</v>
      </c>
      <c r="B1" s="1"/>
      <c r="C1" s="1"/>
      <c r="D1" s="1"/>
      <c r="E1" s="1"/>
      <c r="F1" s="1"/>
      <c r="G1" s="1"/>
      <c r="H1" s="2" t="s">
        <v>1</v>
      </c>
    </row>
    <row r="3" spans="1:8">
      <c r="A3" s="10" t="s">
        <v>126</v>
      </c>
      <c r="B3" s="10"/>
      <c r="C3" s="10"/>
      <c r="D3" s="10"/>
      <c r="E3" s="10"/>
      <c r="F3" s="10"/>
      <c r="G3" s="10"/>
      <c r="H3" s="10"/>
    </row>
    <row r="4" spans="1:8">
      <c r="A4" s="5" t="s">
        <v>127</v>
      </c>
      <c r="B4" s="5"/>
      <c r="C4" s="5"/>
      <c r="D4" s="5"/>
      <c r="E4" s="5"/>
      <c r="F4" s="5"/>
      <c r="G4" s="5"/>
      <c r="H4" s="5"/>
    </row>
    <row r="5" spans="1:8">
      <c r="A5" s="5"/>
      <c r="B5" s="5"/>
      <c r="C5" s="5"/>
      <c r="D5" s="5"/>
      <c r="E5" s="5"/>
      <c r="F5" s="5"/>
      <c r="G5" s="5"/>
      <c r="H5" s="5"/>
    </row>
    <row r="6" spans="1:8">
      <c r="A6" s="5"/>
      <c r="B6" s="5"/>
      <c r="C6" s="5"/>
      <c r="D6" s="5"/>
      <c r="E6" s="5"/>
      <c r="F6" s="5"/>
      <c r="G6" s="5"/>
      <c r="H6" s="5"/>
    </row>
    <row r="8" spans="1:8" ht="28" customHeight="1">
      <c r="A8" s="15" t="s">
        <v>10</v>
      </c>
      <c r="B8" s="15" t="s">
        <v>11</v>
      </c>
      <c r="C8" s="15" t="s">
        <v>12</v>
      </c>
      <c r="D8" s="15" t="s">
        <v>13</v>
      </c>
      <c r="E8" s="15" t="s">
        <v>14</v>
      </c>
      <c r="F8" s="15" t="s">
        <v>15</v>
      </c>
      <c r="G8" s="15" t="s">
        <v>16</v>
      </c>
      <c r="H8" s="15" t="s">
        <v>18</v>
      </c>
    </row>
    <row r="9" spans="1:8">
      <c r="A9" s="22"/>
      <c r="B9" s="22"/>
      <c r="C9" s="22"/>
      <c r="D9" s="22"/>
      <c r="E9" s="22"/>
      <c r="F9" s="22"/>
      <c r="G9" s="23"/>
      <c r="H9" s="22"/>
    </row>
    <row r="10" spans="1:8">
      <c r="A10" s="22"/>
      <c r="B10" s="22"/>
      <c r="C10" s="22"/>
      <c r="D10" s="22"/>
      <c r="E10" s="22"/>
      <c r="F10" s="22"/>
      <c r="G10" s="23"/>
      <c r="H10" s="22"/>
    </row>
    <row r="11" spans="1:8">
      <c r="A11" s="22"/>
      <c r="B11" s="22"/>
      <c r="C11" s="22"/>
      <c r="D11" s="22"/>
      <c r="E11" s="22"/>
      <c r="F11" s="22"/>
      <c r="G11" s="23"/>
      <c r="H11" s="22"/>
    </row>
    <row r="12" spans="1:8">
      <c r="A12" s="22"/>
      <c r="B12" s="22"/>
      <c r="C12" s="22"/>
      <c r="D12" s="22"/>
      <c r="E12" s="22"/>
      <c r="F12" s="22"/>
      <c r="G12" s="23"/>
      <c r="H12" s="22"/>
    </row>
    <row r="13" spans="1:8">
      <c r="A13" s="22"/>
      <c r="B13" s="22"/>
      <c r="C13" s="22"/>
      <c r="D13" s="22"/>
      <c r="E13" s="22"/>
      <c r="F13" s="22"/>
      <c r="G13" s="23"/>
      <c r="H13" s="22"/>
    </row>
    <row r="14" spans="1:8">
      <c r="A14" s="22"/>
      <c r="B14" s="22"/>
      <c r="C14" s="22"/>
      <c r="D14" s="22"/>
      <c r="E14" s="22"/>
      <c r="F14" s="22"/>
      <c r="G14" s="23"/>
      <c r="H14" s="22"/>
    </row>
    <row r="15" spans="1:8">
      <c r="A15" s="22"/>
      <c r="B15" s="22"/>
      <c r="C15" s="22"/>
      <c r="D15" s="22"/>
      <c r="E15" s="22"/>
      <c r="F15" s="22"/>
      <c r="G15" s="23"/>
      <c r="H15" s="22"/>
    </row>
    <row r="16" spans="1:8">
      <c r="A16" s="22"/>
      <c r="B16" s="22"/>
      <c r="C16" s="22"/>
      <c r="D16" s="22"/>
      <c r="E16" s="22"/>
      <c r="F16" s="22"/>
      <c r="G16" s="23"/>
      <c r="H16" s="22"/>
    </row>
    <row r="17" spans="1:8">
      <c r="A17" s="22"/>
      <c r="B17" s="22"/>
      <c r="C17" s="22"/>
      <c r="D17" s="22"/>
      <c r="E17" s="22"/>
      <c r="F17" s="22"/>
      <c r="G17" s="23"/>
      <c r="H17" s="22"/>
    </row>
    <row r="18" spans="1:8">
      <c r="A18" s="22"/>
      <c r="B18" s="22"/>
      <c r="C18" s="22"/>
      <c r="D18" s="22"/>
      <c r="E18" s="22"/>
      <c r="F18" s="22"/>
      <c r="G18" s="23"/>
      <c r="H18" s="22"/>
    </row>
    <row r="19" spans="1:8">
      <c r="A19" s="22"/>
      <c r="B19" s="22"/>
      <c r="C19" s="22"/>
      <c r="D19" s="22"/>
      <c r="E19" s="22"/>
      <c r="F19" s="22"/>
      <c r="G19" s="23"/>
      <c r="H19" s="22"/>
    </row>
    <row r="20" spans="1:8">
      <c r="A20" s="22"/>
      <c r="B20" s="22"/>
      <c r="C20" s="22"/>
      <c r="D20" s="22"/>
      <c r="E20" s="22"/>
      <c r="F20" s="22"/>
      <c r="G20" s="23"/>
      <c r="H20" s="22"/>
    </row>
    <row r="21" spans="1:8">
      <c r="A21" s="22"/>
      <c r="B21" s="22"/>
      <c r="C21" s="22"/>
      <c r="D21" s="22"/>
      <c r="E21" s="22"/>
      <c r="F21" s="22"/>
      <c r="G21" s="23"/>
      <c r="H21" s="22"/>
    </row>
    <row r="22" spans="1:8">
      <c r="A22" s="22"/>
      <c r="B22" s="22"/>
      <c r="C22" s="22"/>
      <c r="D22" s="22"/>
      <c r="E22" s="22"/>
      <c r="F22" s="22"/>
      <c r="G22" s="23"/>
      <c r="H22" s="22"/>
    </row>
    <row r="23" spans="1:8">
      <c r="A23" s="22"/>
      <c r="B23" s="22"/>
      <c r="C23" s="22"/>
      <c r="D23" s="22"/>
      <c r="E23" s="22"/>
      <c r="F23" s="22"/>
      <c r="G23" s="23"/>
      <c r="H23" s="22"/>
    </row>
    <row r="24" spans="1:8">
      <c r="A24" s="22"/>
      <c r="B24" s="22"/>
      <c r="C24" s="22"/>
      <c r="D24" s="22"/>
      <c r="E24" s="22"/>
      <c r="F24" s="22"/>
      <c r="G24" s="23"/>
      <c r="H24" s="22"/>
    </row>
    <row r="25" spans="1:8">
      <c r="A25" s="22"/>
      <c r="B25" s="22"/>
      <c r="C25" s="22"/>
      <c r="D25" s="22"/>
      <c r="E25" s="22"/>
      <c r="F25" s="22"/>
      <c r="G25" s="23"/>
      <c r="H25" s="22"/>
    </row>
    <row r="26" spans="1:8">
      <c r="A26" s="22"/>
      <c r="B26" s="22"/>
      <c r="C26" s="22"/>
      <c r="D26" s="22"/>
      <c r="E26" s="22"/>
      <c r="F26" s="22"/>
      <c r="G26" s="23"/>
      <c r="H26" s="22"/>
    </row>
    <row r="27" spans="1:8">
      <c r="A27" s="22"/>
      <c r="B27" s="22"/>
      <c r="C27" s="22"/>
      <c r="D27" s="22"/>
      <c r="E27" s="22"/>
      <c r="F27" s="22"/>
      <c r="G27" s="23"/>
      <c r="H27" s="22"/>
    </row>
    <row r="28" spans="1:8">
      <c r="A28" s="22"/>
      <c r="B28" s="22"/>
      <c r="C28" s="22"/>
      <c r="D28" s="22"/>
      <c r="E28" s="22"/>
      <c r="F28" s="22"/>
      <c r="G28" s="23"/>
      <c r="H28" s="22"/>
    </row>
    <row r="29" spans="1:8">
      <c r="A29" s="22"/>
      <c r="B29" s="22"/>
      <c r="C29" s="22"/>
      <c r="D29" s="22"/>
      <c r="E29" s="22"/>
      <c r="F29" s="22"/>
      <c r="G29" s="23"/>
      <c r="H29" s="22"/>
    </row>
    <row r="30" spans="1:8">
      <c r="A30" s="22"/>
      <c r="B30" s="22"/>
      <c r="C30" s="22"/>
      <c r="D30" s="22"/>
      <c r="E30" s="22"/>
      <c r="F30" s="22"/>
      <c r="G30" s="23"/>
      <c r="H30" s="22"/>
    </row>
    <row r="31" spans="1:8">
      <c r="A31" s="22"/>
      <c r="B31" s="22"/>
      <c r="C31" s="22"/>
      <c r="D31" s="22"/>
      <c r="E31" s="22"/>
      <c r="F31" s="22"/>
      <c r="G31" s="23"/>
      <c r="H31" s="22"/>
    </row>
    <row r="32" spans="1:8">
      <c r="A32" s="22"/>
      <c r="B32" s="22"/>
      <c r="C32" s="22"/>
      <c r="D32" s="22"/>
      <c r="E32" s="22"/>
      <c r="F32" s="22"/>
      <c r="G32" s="23"/>
      <c r="H32" s="22"/>
    </row>
    <row r="33" spans="1:8">
      <c r="A33" s="22"/>
      <c r="B33" s="22"/>
      <c r="C33" s="22"/>
      <c r="D33" s="22"/>
      <c r="E33" s="22"/>
      <c r="F33" s="22"/>
      <c r="G33" s="23"/>
      <c r="H33" s="22"/>
    </row>
    <row r="34" spans="1:8">
      <c r="A34" s="22"/>
      <c r="B34" s="22"/>
      <c r="C34" s="22"/>
      <c r="D34" s="22"/>
      <c r="E34" s="22"/>
      <c r="F34" s="22"/>
      <c r="G34" s="23"/>
      <c r="H34" s="22"/>
    </row>
    <row r="35" spans="1:8">
      <c r="A35" s="22"/>
      <c r="B35" s="22"/>
      <c r="C35" s="22"/>
      <c r="D35" s="22"/>
      <c r="E35" s="22"/>
      <c r="F35" s="22"/>
      <c r="G35" s="23"/>
      <c r="H35" s="22"/>
    </row>
    <row r="36" spans="1:8">
      <c r="A36" s="22"/>
      <c r="B36" s="22"/>
      <c r="C36" s="22"/>
      <c r="D36" s="22"/>
      <c r="E36" s="22"/>
      <c r="F36" s="22"/>
      <c r="G36" s="23"/>
      <c r="H36" s="22"/>
    </row>
    <row r="37" spans="1:8">
      <c r="A37" s="22"/>
      <c r="B37" s="22"/>
      <c r="C37" s="22"/>
      <c r="D37" s="22"/>
      <c r="E37" s="22"/>
      <c r="F37" s="22"/>
      <c r="G37" s="23"/>
      <c r="H37" s="22"/>
    </row>
    <row r="38" spans="1:8">
      <c r="A38" s="22"/>
      <c r="B38" s="22"/>
      <c r="C38" s="22"/>
      <c r="D38" s="22"/>
      <c r="E38" s="22"/>
      <c r="F38" s="22"/>
      <c r="G38" s="23"/>
      <c r="H38" s="22"/>
    </row>
    <row r="39" spans="1:8">
      <c r="A39" s="22"/>
      <c r="B39" s="22"/>
      <c r="C39" s="22"/>
      <c r="D39" s="22"/>
      <c r="E39" s="22"/>
      <c r="F39" s="22"/>
      <c r="G39" s="23"/>
      <c r="H39" s="22"/>
    </row>
    <row r="40" spans="1:8">
      <c r="A40" s="22"/>
      <c r="B40" s="22"/>
      <c r="C40" s="22"/>
      <c r="D40" s="22"/>
      <c r="E40" s="22"/>
      <c r="F40" s="22"/>
      <c r="G40" s="23"/>
      <c r="H40" s="22"/>
    </row>
    <row r="41" spans="1:8">
      <c r="A41" s="22"/>
      <c r="B41" s="22"/>
      <c r="C41" s="22"/>
      <c r="D41" s="22"/>
      <c r="E41" s="22"/>
      <c r="F41" s="22"/>
      <c r="G41" s="23"/>
      <c r="H41" s="22"/>
    </row>
    <row r="42" spans="1:8">
      <c r="A42" s="22"/>
      <c r="B42" s="22"/>
      <c r="C42" s="22"/>
      <c r="D42" s="22"/>
      <c r="E42" s="22"/>
      <c r="F42" s="22"/>
      <c r="G42" s="23"/>
      <c r="H42" s="22"/>
    </row>
    <row r="43" spans="1:8">
      <c r="A43" s="22"/>
      <c r="B43" s="22"/>
      <c r="C43" s="22"/>
      <c r="D43" s="22"/>
      <c r="E43" s="22"/>
      <c r="F43" s="22"/>
      <c r="G43" s="23"/>
      <c r="H43" s="22"/>
    </row>
    <row r="44" spans="1:8">
      <c r="A44" s="22"/>
      <c r="B44" s="22"/>
      <c r="C44" s="22"/>
      <c r="D44" s="22"/>
      <c r="E44" s="22"/>
      <c r="F44" s="22"/>
      <c r="G44" s="23"/>
      <c r="H44" s="22"/>
    </row>
    <row r="45" spans="1:8">
      <c r="A45" s="22"/>
      <c r="B45" s="22"/>
      <c r="C45" s="22"/>
      <c r="D45" s="22"/>
      <c r="E45" s="22"/>
      <c r="F45" s="22"/>
      <c r="G45" s="23"/>
      <c r="H45" s="22"/>
    </row>
    <row r="46" spans="1:8">
      <c r="A46" s="22"/>
      <c r="B46" s="22"/>
      <c r="C46" s="22"/>
      <c r="D46" s="22"/>
      <c r="E46" s="22"/>
      <c r="F46" s="22"/>
      <c r="G46" s="23"/>
      <c r="H46" s="22"/>
    </row>
    <row r="47" spans="1:8">
      <c r="A47" s="22"/>
      <c r="B47" s="22"/>
      <c r="C47" s="22"/>
      <c r="D47" s="22"/>
      <c r="E47" s="22"/>
      <c r="F47" s="22"/>
      <c r="G47" s="23"/>
      <c r="H47" s="22"/>
    </row>
    <row r="48" spans="1:8">
      <c r="A48" s="22"/>
      <c r="B48" s="22"/>
      <c r="C48" s="22"/>
      <c r="D48" s="22"/>
      <c r="E48" s="22"/>
      <c r="F48" s="22"/>
      <c r="G48" s="23"/>
      <c r="H48" s="22"/>
    </row>
    <row r="49" spans="1:8">
      <c r="A49" s="22"/>
      <c r="B49" s="22"/>
      <c r="C49" s="22"/>
      <c r="D49" s="22"/>
      <c r="E49" s="22"/>
      <c r="F49" s="22"/>
      <c r="G49" s="23"/>
      <c r="H49" s="22"/>
    </row>
    <row r="50" spans="1:8">
      <c r="A50" s="22"/>
      <c r="B50" s="22"/>
      <c r="C50" s="22"/>
      <c r="D50" s="22"/>
      <c r="E50" s="22"/>
      <c r="F50" s="22"/>
      <c r="G50" s="23"/>
      <c r="H50" s="22"/>
    </row>
    <row r="51" spans="1:8">
      <c r="A51" s="22"/>
      <c r="B51" s="22"/>
      <c r="C51" s="22"/>
      <c r="D51" s="22"/>
      <c r="E51" s="22"/>
      <c r="F51" s="22"/>
      <c r="G51" s="23"/>
      <c r="H51" s="22"/>
    </row>
    <row r="52" spans="1:8">
      <c r="A52" s="22"/>
      <c r="B52" s="22"/>
      <c r="C52" s="22"/>
      <c r="D52" s="22"/>
      <c r="E52" s="22"/>
      <c r="F52" s="22"/>
      <c r="G52" s="23"/>
      <c r="H52" s="22"/>
    </row>
    <row r="53" spans="1:8">
      <c r="A53" s="22"/>
      <c r="B53" s="22"/>
      <c r="C53" s="22"/>
      <c r="D53" s="22"/>
      <c r="E53" s="22"/>
      <c r="F53" s="22"/>
      <c r="G53" s="23"/>
      <c r="H53" s="22"/>
    </row>
    <row r="54" spans="1:8">
      <c r="A54" s="22"/>
      <c r="B54" s="22"/>
      <c r="C54" s="22"/>
      <c r="D54" s="22"/>
      <c r="E54" s="22"/>
      <c r="F54" s="22"/>
      <c r="G54" s="23"/>
      <c r="H54" s="22"/>
    </row>
    <row r="55" spans="1:8">
      <c r="A55" s="22"/>
      <c r="B55" s="22"/>
      <c r="C55" s="22"/>
      <c r="D55" s="22"/>
      <c r="E55" s="22"/>
      <c r="F55" s="22"/>
      <c r="G55" s="23"/>
      <c r="H55" s="22"/>
    </row>
    <row r="56" spans="1:8">
      <c r="A56" s="22"/>
      <c r="B56" s="22"/>
      <c r="C56" s="22"/>
      <c r="D56" s="22"/>
      <c r="E56" s="22"/>
      <c r="F56" s="22"/>
      <c r="G56" s="23"/>
      <c r="H56" s="22"/>
    </row>
    <row r="57" spans="1:8">
      <c r="A57" s="22"/>
      <c r="B57" s="22"/>
      <c r="C57" s="22"/>
      <c r="D57" s="22"/>
      <c r="E57" s="22"/>
      <c r="F57" s="22"/>
      <c r="G57" s="23"/>
      <c r="H57" s="22"/>
    </row>
    <row r="58" spans="1:8">
      <c r="A58" s="22"/>
      <c r="B58" s="22"/>
      <c r="C58" s="22"/>
      <c r="D58" s="22"/>
      <c r="E58" s="22"/>
      <c r="F58" s="22"/>
      <c r="G58" s="23"/>
      <c r="H58" s="22"/>
    </row>
    <row r="59" spans="1:8">
      <c r="A59" s="22"/>
      <c r="B59" s="22"/>
      <c r="C59" s="22"/>
      <c r="D59" s="22"/>
      <c r="E59" s="22"/>
      <c r="F59" s="22"/>
      <c r="G59" s="23"/>
      <c r="H59" s="22"/>
    </row>
    <row r="60" spans="1:8">
      <c r="A60" s="22"/>
      <c r="B60" s="22"/>
      <c r="C60" s="22"/>
      <c r="D60" s="22"/>
      <c r="E60" s="22"/>
      <c r="F60" s="22"/>
      <c r="G60" s="23"/>
      <c r="H60" s="22"/>
    </row>
    <row r="61" spans="1:8">
      <c r="A61" s="22"/>
      <c r="B61" s="22"/>
      <c r="C61" s="22"/>
      <c r="D61" s="22"/>
      <c r="E61" s="22"/>
      <c r="F61" s="22"/>
      <c r="G61" s="23"/>
      <c r="H61" s="22"/>
    </row>
    <row r="62" spans="1:8">
      <c r="A62" s="22"/>
      <c r="B62" s="22"/>
      <c r="C62" s="22"/>
      <c r="D62" s="22"/>
      <c r="E62" s="22"/>
      <c r="F62" s="22"/>
      <c r="G62" s="23"/>
      <c r="H62" s="22"/>
    </row>
    <row r="63" spans="1:8">
      <c r="A63" s="22"/>
      <c r="B63" s="22"/>
      <c r="C63" s="22"/>
      <c r="D63" s="22"/>
      <c r="E63" s="22"/>
      <c r="F63" s="22"/>
      <c r="G63" s="23"/>
      <c r="H63" s="22"/>
    </row>
    <row r="64" spans="1:8">
      <c r="A64" s="22"/>
      <c r="B64" s="22"/>
      <c r="C64" s="22"/>
      <c r="D64" s="22"/>
      <c r="E64" s="22"/>
      <c r="F64" s="22"/>
      <c r="G64" s="23"/>
      <c r="H64" s="22"/>
    </row>
    <row r="65" spans="1:8">
      <c r="A65" s="22"/>
      <c r="B65" s="22"/>
      <c r="C65" s="22"/>
      <c r="D65" s="22"/>
      <c r="E65" s="22"/>
      <c r="F65" s="22"/>
      <c r="G65" s="23"/>
      <c r="H65" s="22"/>
    </row>
    <row r="66" spans="1:8">
      <c r="A66" s="22"/>
      <c r="B66" s="22"/>
      <c r="C66" s="22"/>
      <c r="D66" s="22"/>
      <c r="E66" s="22"/>
      <c r="F66" s="22"/>
      <c r="G66" s="23"/>
      <c r="H66" s="22"/>
    </row>
    <row r="67" spans="1:8">
      <c r="A67" s="22"/>
      <c r="B67" s="22"/>
      <c r="C67" s="22"/>
      <c r="D67" s="22"/>
      <c r="E67" s="22"/>
      <c r="F67" s="22"/>
      <c r="G67" s="23"/>
      <c r="H67" s="22"/>
    </row>
    <row r="68" spans="1:8">
      <c r="A68" s="22"/>
      <c r="B68" s="22"/>
      <c r="C68" s="22"/>
      <c r="D68" s="22"/>
      <c r="E68" s="22"/>
      <c r="F68" s="22"/>
      <c r="G68" s="23"/>
      <c r="H68" s="22"/>
    </row>
    <row r="69" spans="1:8">
      <c r="A69" s="22"/>
      <c r="B69" s="22"/>
      <c r="C69" s="22"/>
      <c r="D69" s="22"/>
      <c r="E69" s="22"/>
      <c r="F69" s="22"/>
      <c r="G69" s="23"/>
      <c r="H69" s="22"/>
    </row>
    <row r="70" spans="1:8">
      <c r="A70" s="22"/>
      <c r="B70" s="22"/>
      <c r="C70" s="22"/>
      <c r="D70" s="22"/>
      <c r="E70" s="22"/>
      <c r="F70" s="22"/>
      <c r="G70" s="23"/>
      <c r="H70" s="22"/>
    </row>
    <row r="71" spans="1:8">
      <c r="A71" s="22"/>
      <c r="B71" s="22"/>
      <c r="C71" s="22"/>
      <c r="D71" s="22"/>
      <c r="E71" s="22"/>
      <c r="F71" s="22"/>
      <c r="G71" s="23"/>
      <c r="H71" s="22"/>
    </row>
    <row r="72" spans="1:8">
      <c r="A72" s="22"/>
      <c r="B72" s="22"/>
      <c r="C72" s="22"/>
      <c r="D72" s="22"/>
      <c r="E72" s="22"/>
      <c r="F72" s="22"/>
      <c r="G72" s="23"/>
      <c r="H72" s="22"/>
    </row>
    <row r="73" spans="1:8">
      <c r="A73" s="22"/>
      <c r="B73" s="22"/>
      <c r="C73" s="22"/>
      <c r="D73" s="22"/>
      <c r="E73" s="22"/>
      <c r="F73" s="22"/>
      <c r="G73" s="23"/>
      <c r="H73" s="22"/>
    </row>
    <row r="74" spans="1:8">
      <c r="A74" s="22"/>
      <c r="B74" s="22"/>
      <c r="C74" s="22"/>
      <c r="D74" s="22"/>
      <c r="E74" s="22"/>
      <c r="F74" s="22"/>
      <c r="G74" s="23"/>
      <c r="H74" s="22"/>
    </row>
    <row r="75" spans="1:8">
      <c r="A75" s="22"/>
      <c r="B75" s="22"/>
      <c r="C75" s="22"/>
      <c r="D75" s="22"/>
      <c r="E75" s="22"/>
      <c r="F75" s="22"/>
      <c r="G75" s="23"/>
      <c r="H75" s="22"/>
    </row>
    <row r="76" spans="1:8">
      <c r="A76" s="22"/>
      <c r="B76" s="22"/>
      <c r="C76" s="22"/>
      <c r="D76" s="22"/>
      <c r="E76" s="22"/>
      <c r="F76" s="22"/>
      <c r="G76" s="23"/>
      <c r="H76" s="22"/>
    </row>
    <row r="77" spans="1:8">
      <c r="A77" s="22"/>
      <c r="B77" s="22"/>
      <c r="C77" s="22"/>
      <c r="D77" s="22"/>
      <c r="E77" s="22"/>
      <c r="F77" s="22"/>
      <c r="G77" s="23"/>
      <c r="H77" s="22"/>
    </row>
    <row r="78" spans="1:8">
      <c r="A78" s="22"/>
      <c r="B78" s="22"/>
      <c r="C78" s="22"/>
      <c r="D78" s="22"/>
      <c r="E78" s="22"/>
      <c r="F78" s="22"/>
      <c r="G78" s="23"/>
      <c r="H78" s="22"/>
    </row>
    <row r="79" spans="1:8">
      <c r="A79" s="22"/>
      <c r="B79" s="22"/>
      <c r="C79" s="22"/>
      <c r="D79" s="22"/>
      <c r="E79" s="22"/>
      <c r="F79" s="22"/>
      <c r="G79" s="23"/>
      <c r="H79" s="22"/>
    </row>
    <row r="80" spans="1:8">
      <c r="A80" s="22"/>
      <c r="B80" s="22"/>
      <c r="C80" s="22"/>
      <c r="D80" s="22"/>
      <c r="E80" s="22"/>
      <c r="F80" s="22"/>
      <c r="G80" s="23"/>
      <c r="H80" s="22"/>
    </row>
    <row r="81" spans="1:8">
      <c r="A81" s="22"/>
      <c r="B81" s="22"/>
      <c r="C81" s="22"/>
      <c r="D81" s="22"/>
      <c r="E81" s="22"/>
      <c r="F81" s="22"/>
      <c r="G81" s="23"/>
      <c r="H81" s="22"/>
    </row>
    <row r="82" spans="1:8">
      <c r="A82" s="22"/>
      <c r="B82" s="22"/>
      <c r="C82" s="22"/>
      <c r="D82" s="22"/>
      <c r="E82" s="22"/>
      <c r="F82" s="22"/>
      <c r="G82" s="23"/>
      <c r="H82" s="22"/>
    </row>
    <row r="83" spans="1:8">
      <c r="A83" s="22"/>
      <c r="B83" s="22"/>
      <c r="C83" s="22"/>
      <c r="D83" s="22"/>
      <c r="E83" s="22"/>
      <c r="F83" s="22"/>
      <c r="G83" s="23"/>
      <c r="H83" s="22"/>
    </row>
    <row r="84" spans="1:8">
      <c r="A84" s="22"/>
      <c r="B84" s="22"/>
      <c r="C84" s="22"/>
      <c r="D84" s="22"/>
      <c r="E84" s="22"/>
      <c r="F84" s="22"/>
      <c r="G84" s="23"/>
      <c r="H84" s="22"/>
    </row>
    <row r="85" spans="1:8">
      <c r="A85" s="22"/>
      <c r="B85" s="22"/>
      <c r="C85" s="22"/>
      <c r="D85" s="22"/>
      <c r="E85" s="22"/>
      <c r="F85" s="22"/>
      <c r="G85" s="23"/>
      <c r="H85" s="22"/>
    </row>
    <row r="86" spans="1:8">
      <c r="A86" s="22"/>
      <c r="B86" s="22"/>
      <c r="C86" s="22"/>
      <c r="D86" s="22"/>
      <c r="E86" s="22"/>
      <c r="F86" s="22"/>
      <c r="G86" s="23"/>
      <c r="H86" s="22"/>
    </row>
    <row r="87" spans="1:8">
      <c r="A87" s="22"/>
      <c r="B87" s="22"/>
      <c r="C87" s="22"/>
      <c r="D87" s="22"/>
      <c r="E87" s="22"/>
      <c r="F87" s="22"/>
      <c r="G87" s="23"/>
      <c r="H87" s="22"/>
    </row>
    <row r="88" spans="1:8">
      <c r="A88" s="22"/>
      <c r="B88" s="22"/>
      <c r="C88" s="22"/>
      <c r="D88" s="22"/>
      <c r="E88" s="22"/>
      <c r="F88" s="22"/>
      <c r="G88" s="23"/>
      <c r="H88" s="22"/>
    </row>
    <row r="89" spans="1:8">
      <c r="A89" s="22"/>
      <c r="B89" s="22"/>
      <c r="C89" s="22"/>
      <c r="D89" s="22"/>
      <c r="E89" s="22"/>
      <c r="F89" s="22"/>
      <c r="G89" s="23"/>
      <c r="H89" s="22"/>
    </row>
    <row r="90" spans="1:8">
      <c r="A90" s="22"/>
      <c r="B90" s="22"/>
      <c r="C90" s="22"/>
      <c r="D90" s="22"/>
      <c r="E90" s="22"/>
      <c r="F90" s="22"/>
      <c r="G90" s="23"/>
      <c r="H90" s="22"/>
    </row>
    <row r="91" spans="1:8">
      <c r="A91" s="22"/>
      <c r="B91" s="22"/>
      <c r="C91" s="22"/>
      <c r="D91" s="22"/>
      <c r="E91" s="22"/>
      <c r="F91" s="22"/>
      <c r="G91" s="23"/>
      <c r="H91" s="22"/>
    </row>
    <row r="92" spans="1:8">
      <c r="A92" s="22"/>
      <c r="B92" s="22"/>
      <c r="C92" s="22"/>
      <c r="D92" s="22"/>
      <c r="E92" s="22"/>
      <c r="F92" s="22"/>
      <c r="G92" s="23"/>
      <c r="H92" s="22"/>
    </row>
    <row r="93" spans="1:8">
      <c r="A93" s="22"/>
      <c r="B93" s="22"/>
      <c r="C93" s="22"/>
      <c r="D93" s="22"/>
      <c r="E93" s="22"/>
      <c r="F93" s="22"/>
      <c r="G93" s="23"/>
      <c r="H93" s="22"/>
    </row>
    <row r="94" spans="1:8">
      <c r="A94" s="22"/>
      <c r="B94" s="22"/>
      <c r="C94" s="22"/>
      <c r="D94" s="22"/>
      <c r="E94" s="22"/>
      <c r="F94" s="22"/>
      <c r="G94" s="23"/>
      <c r="H94" s="22"/>
    </row>
    <row r="95" spans="1:8">
      <c r="A95" s="22"/>
      <c r="B95" s="22"/>
      <c r="C95" s="22"/>
      <c r="D95" s="22"/>
      <c r="E95" s="22"/>
      <c r="F95" s="22"/>
      <c r="G95" s="23"/>
      <c r="H95" s="22"/>
    </row>
    <row r="96" spans="1:8">
      <c r="A96" s="22"/>
      <c r="B96" s="22"/>
      <c r="C96" s="22"/>
      <c r="D96" s="22"/>
      <c r="E96" s="22"/>
      <c r="F96" s="22"/>
      <c r="G96" s="23"/>
      <c r="H96" s="22"/>
    </row>
    <row r="97" spans="1:8">
      <c r="A97" s="22"/>
      <c r="B97" s="22"/>
      <c r="C97" s="22"/>
      <c r="D97" s="22"/>
      <c r="E97" s="22"/>
      <c r="F97" s="22"/>
      <c r="G97" s="23"/>
      <c r="H97" s="22"/>
    </row>
    <row r="98" spans="1:8">
      <c r="A98" s="22"/>
      <c r="B98" s="22"/>
      <c r="C98" s="22"/>
      <c r="D98" s="22"/>
      <c r="E98" s="22"/>
      <c r="F98" s="22"/>
      <c r="G98" s="23"/>
      <c r="H98" s="22"/>
    </row>
    <row r="99" spans="1:8">
      <c r="A99" s="22"/>
      <c r="B99" s="22"/>
      <c r="C99" s="22"/>
      <c r="D99" s="22"/>
      <c r="E99" s="22"/>
      <c r="F99" s="22"/>
      <c r="G99" s="23"/>
      <c r="H99" s="22"/>
    </row>
    <row r="100" spans="1:8">
      <c r="A100" s="22"/>
      <c r="B100" s="22"/>
      <c r="C100" s="22"/>
      <c r="D100" s="22"/>
      <c r="E100" s="22"/>
      <c r="F100" s="22"/>
      <c r="G100" s="23"/>
      <c r="H100" s="22"/>
    </row>
    <row r="101" spans="1:8">
      <c r="A101" s="22"/>
      <c r="B101" s="22"/>
      <c r="C101" s="22"/>
      <c r="D101" s="22"/>
      <c r="E101" s="22"/>
      <c r="F101" s="22"/>
      <c r="G101" s="23"/>
      <c r="H101" s="22"/>
    </row>
    <row r="102" spans="1:8">
      <c r="A102" s="22"/>
      <c r="B102" s="22"/>
      <c r="C102" s="22"/>
      <c r="D102" s="22"/>
      <c r="E102" s="22"/>
      <c r="F102" s="22"/>
      <c r="G102" s="23"/>
      <c r="H102" s="22"/>
    </row>
    <row r="103" spans="1:8">
      <c r="A103" s="22"/>
      <c r="B103" s="22"/>
      <c r="C103" s="22"/>
      <c r="D103" s="22"/>
      <c r="E103" s="22"/>
      <c r="F103" s="22"/>
      <c r="G103" s="23"/>
      <c r="H103" s="22"/>
    </row>
    <row r="104" spans="1:8">
      <c r="A104" s="22"/>
      <c r="B104" s="22"/>
      <c r="C104" s="22"/>
      <c r="D104" s="22"/>
      <c r="E104" s="22"/>
      <c r="F104" s="22"/>
      <c r="G104" s="23"/>
      <c r="H104" s="22"/>
    </row>
    <row r="105" spans="1:8">
      <c r="A105" s="22"/>
      <c r="B105" s="22"/>
      <c r="C105" s="22"/>
      <c r="D105" s="22"/>
      <c r="E105" s="22"/>
      <c r="F105" s="22"/>
      <c r="G105" s="23"/>
      <c r="H105" s="22"/>
    </row>
    <row r="106" spans="1:8">
      <c r="A106" s="22"/>
      <c r="B106" s="22"/>
      <c r="C106" s="22"/>
      <c r="D106" s="22"/>
      <c r="E106" s="22"/>
      <c r="F106" s="22"/>
      <c r="G106" s="23"/>
      <c r="H106" s="22"/>
    </row>
    <row r="107" spans="1:8">
      <c r="A107" s="22"/>
      <c r="B107" s="22"/>
      <c r="C107" s="22"/>
      <c r="D107" s="22"/>
      <c r="E107" s="22"/>
      <c r="F107" s="22"/>
      <c r="G107" s="23"/>
      <c r="H107" s="22"/>
    </row>
    <row r="108" spans="1:8">
      <c r="A108" s="22"/>
      <c r="B108" s="22"/>
      <c r="C108" s="22"/>
      <c r="D108" s="22"/>
      <c r="E108" s="22"/>
      <c r="F108" s="22"/>
      <c r="G108" s="23"/>
      <c r="H108" s="22"/>
    </row>
    <row r="109" spans="1:8">
      <c r="A109" s="22"/>
      <c r="B109" s="22"/>
      <c r="C109" s="22"/>
      <c r="D109" s="22"/>
      <c r="E109" s="22"/>
      <c r="F109" s="22"/>
      <c r="G109" s="23"/>
      <c r="H109" s="22"/>
    </row>
    <row r="110" spans="1:8">
      <c r="A110" s="22"/>
      <c r="B110" s="22"/>
      <c r="C110" s="22"/>
      <c r="D110" s="22"/>
      <c r="E110" s="22"/>
      <c r="F110" s="22"/>
      <c r="G110" s="23"/>
      <c r="H110" s="22"/>
    </row>
    <row r="111" spans="1:8">
      <c r="A111" s="22"/>
      <c r="B111" s="22"/>
      <c r="C111" s="22"/>
      <c r="D111" s="22"/>
      <c r="E111" s="22"/>
      <c r="F111" s="22"/>
      <c r="G111" s="23"/>
      <c r="H111" s="22"/>
    </row>
    <row r="112" spans="1:8">
      <c r="A112" s="22"/>
      <c r="B112" s="22"/>
      <c r="C112" s="22"/>
      <c r="D112" s="22"/>
      <c r="E112" s="22"/>
      <c r="F112" s="22"/>
      <c r="G112" s="23"/>
      <c r="H112" s="22"/>
    </row>
    <row r="113" spans="1:8">
      <c r="A113" s="22"/>
      <c r="B113" s="22"/>
      <c r="C113" s="22"/>
      <c r="D113" s="22"/>
      <c r="E113" s="22"/>
      <c r="F113" s="22"/>
      <c r="G113" s="23"/>
      <c r="H113" s="22"/>
    </row>
    <row r="114" spans="1:8">
      <c r="A114" s="22"/>
      <c r="B114" s="22"/>
      <c r="C114" s="22"/>
      <c r="D114" s="22"/>
      <c r="E114" s="22"/>
      <c r="F114" s="22"/>
      <c r="G114" s="23"/>
      <c r="H114" s="22"/>
    </row>
    <row r="115" spans="1:8">
      <c r="A115" s="22"/>
      <c r="B115" s="22"/>
      <c r="C115" s="22"/>
      <c r="D115" s="22"/>
      <c r="E115" s="22"/>
      <c r="F115" s="22"/>
      <c r="G115" s="23"/>
      <c r="H115" s="22"/>
    </row>
    <row r="116" spans="1:8">
      <c r="A116" s="22"/>
      <c r="B116" s="22"/>
      <c r="C116" s="22"/>
      <c r="D116" s="22"/>
      <c r="E116" s="22"/>
      <c r="F116" s="22"/>
      <c r="G116" s="23"/>
      <c r="H116" s="22"/>
    </row>
    <row r="117" spans="1:8">
      <c r="A117" s="22"/>
      <c r="B117" s="22"/>
      <c r="C117" s="22"/>
      <c r="D117" s="22"/>
      <c r="E117" s="22"/>
      <c r="F117" s="22"/>
      <c r="G117" s="23"/>
      <c r="H117" s="22"/>
    </row>
    <row r="118" spans="1:8">
      <c r="A118" s="22"/>
      <c r="B118" s="22"/>
      <c r="C118" s="22"/>
      <c r="D118" s="22"/>
      <c r="E118" s="22"/>
      <c r="F118" s="22"/>
      <c r="G118" s="23"/>
      <c r="H118" s="22"/>
    </row>
    <row r="119" spans="1:8">
      <c r="A119" s="22"/>
      <c r="B119" s="22"/>
      <c r="C119" s="22"/>
      <c r="D119" s="22"/>
      <c r="E119" s="22"/>
      <c r="F119" s="22"/>
      <c r="G119" s="23"/>
      <c r="H119" s="22"/>
    </row>
    <row r="120" spans="1:8">
      <c r="A120" s="22"/>
      <c r="B120" s="22"/>
      <c r="C120" s="22"/>
      <c r="D120" s="22"/>
      <c r="E120" s="22"/>
      <c r="F120" s="22"/>
      <c r="G120" s="23"/>
      <c r="H120" s="22"/>
    </row>
    <row r="121" spans="1:8">
      <c r="A121" s="22"/>
      <c r="B121" s="22"/>
      <c r="C121" s="22"/>
      <c r="D121" s="22"/>
      <c r="E121" s="22"/>
      <c r="F121" s="22"/>
      <c r="G121" s="23"/>
      <c r="H121" s="22"/>
    </row>
    <row r="122" spans="1:8">
      <c r="A122" s="22"/>
      <c r="B122" s="22"/>
      <c r="C122" s="22"/>
      <c r="D122" s="22"/>
      <c r="E122" s="22"/>
      <c r="F122" s="22"/>
      <c r="G122" s="23"/>
      <c r="H122" s="22"/>
    </row>
    <row r="123" spans="1:8">
      <c r="A123" s="22"/>
      <c r="B123" s="22"/>
      <c r="C123" s="22"/>
      <c r="D123" s="22"/>
      <c r="E123" s="22"/>
      <c r="F123" s="22"/>
      <c r="G123" s="23"/>
      <c r="H123" s="22"/>
    </row>
    <row r="124" spans="1:8">
      <c r="A124" s="22"/>
      <c r="B124" s="22"/>
      <c r="C124" s="22"/>
      <c r="D124" s="22"/>
      <c r="E124" s="22"/>
      <c r="F124" s="22"/>
      <c r="G124" s="23"/>
      <c r="H124" s="22"/>
    </row>
    <row r="125" spans="1:8">
      <c r="A125" s="22"/>
      <c r="B125" s="22"/>
      <c r="C125" s="22"/>
      <c r="D125" s="22"/>
      <c r="E125" s="22"/>
      <c r="F125" s="22"/>
      <c r="G125" s="23"/>
      <c r="H125" s="22"/>
    </row>
    <row r="126" spans="1:8">
      <c r="A126" s="22"/>
      <c r="B126" s="22"/>
      <c r="C126" s="22"/>
      <c r="D126" s="22"/>
      <c r="E126" s="22"/>
      <c r="F126" s="22"/>
      <c r="G126" s="23"/>
      <c r="H126" s="22"/>
    </row>
    <row r="127" spans="1:8">
      <c r="A127" s="22"/>
      <c r="B127" s="22"/>
      <c r="C127" s="22"/>
      <c r="D127" s="22"/>
      <c r="E127" s="22"/>
      <c r="F127" s="22"/>
      <c r="G127" s="23"/>
      <c r="H127" s="22"/>
    </row>
    <row r="128" spans="1:8">
      <c r="A128" s="22"/>
      <c r="B128" s="22"/>
      <c r="C128" s="22"/>
      <c r="D128" s="22"/>
      <c r="E128" s="22"/>
      <c r="F128" s="22"/>
      <c r="G128" s="23"/>
      <c r="H128" s="22"/>
    </row>
    <row r="129" spans="1:8">
      <c r="A129" s="22"/>
      <c r="B129" s="22"/>
      <c r="C129" s="22"/>
      <c r="D129" s="22"/>
      <c r="E129" s="22"/>
      <c r="F129" s="22"/>
      <c r="G129" s="23"/>
      <c r="H129" s="22"/>
    </row>
    <row r="130" spans="1:8">
      <c r="A130" s="22"/>
      <c r="B130" s="22"/>
      <c r="C130" s="22"/>
      <c r="D130" s="22"/>
      <c r="E130" s="22"/>
      <c r="F130" s="22"/>
      <c r="G130" s="23"/>
      <c r="H130" s="22"/>
    </row>
    <row r="131" spans="1:8">
      <c r="A131" s="22"/>
      <c r="B131" s="22"/>
      <c r="C131" s="22"/>
      <c r="D131" s="22"/>
      <c r="E131" s="22"/>
      <c r="F131" s="22"/>
      <c r="G131" s="23"/>
      <c r="H131" s="22"/>
    </row>
    <row r="132" spans="1:8">
      <c r="A132" s="22"/>
      <c r="B132" s="22"/>
      <c r="C132" s="22"/>
      <c r="D132" s="22"/>
      <c r="E132" s="22"/>
      <c r="F132" s="22"/>
      <c r="G132" s="23"/>
      <c r="H132" s="22"/>
    </row>
    <row r="133" spans="1:8">
      <c r="A133" s="22"/>
      <c r="B133" s="22"/>
      <c r="C133" s="22"/>
      <c r="D133" s="22"/>
      <c r="E133" s="22"/>
      <c r="F133" s="22"/>
      <c r="G133" s="23"/>
      <c r="H133" s="22"/>
    </row>
    <row r="134" spans="1:8">
      <c r="A134" s="22"/>
      <c r="B134" s="22"/>
      <c r="C134" s="22"/>
      <c r="D134" s="22"/>
      <c r="E134" s="22"/>
      <c r="F134" s="22"/>
      <c r="G134" s="23"/>
      <c r="H134" s="22"/>
    </row>
    <row r="135" spans="1:8">
      <c r="A135" s="22"/>
      <c r="B135" s="22"/>
      <c r="C135" s="22"/>
      <c r="D135" s="22"/>
      <c r="E135" s="22"/>
      <c r="F135" s="22"/>
      <c r="G135" s="23"/>
      <c r="H135" s="22"/>
    </row>
    <row r="136" spans="1:8">
      <c r="A136" s="22"/>
      <c r="B136" s="22"/>
      <c r="C136" s="22"/>
      <c r="D136" s="22"/>
      <c r="E136" s="22"/>
      <c r="F136" s="22"/>
      <c r="G136" s="23"/>
      <c r="H136" s="22"/>
    </row>
    <row r="137" spans="1:8">
      <c r="A137" s="22"/>
      <c r="B137" s="22"/>
      <c r="C137" s="22"/>
      <c r="D137" s="22"/>
      <c r="E137" s="22"/>
      <c r="F137" s="22"/>
      <c r="G137" s="23"/>
      <c r="H137" s="22"/>
    </row>
    <row r="138" spans="1:8">
      <c r="A138" s="22"/>
      <c r="B138" s="22"/>
      <c r="C138" s="22"/>
      <c r="D138" s="22"/>
      <c r="E138" s="22"/>
      <c r="F138" s="22"/>
      <c r="G138" s="23"/>
      <c r="H138" s="22"/>
    </row>
    <row r="139" spans="1:8">
      <c r="A139" s="22"/>
      <c r="B139" s="22"/>
      <c r="C139" s="22"/>
      <c r="D139" s="22"/>
      <c r="E139" s="22"/>
      <c r="F139" s="22"/>
      <c r="G139" s="23"/>
      <c r="H139" s="22"/>
    </row>
    <row r="140" spans="1:8">
      <c r="A140" s="22"/>
      <c r="B140" s="22"/>
      <c r="C140" s="22"/>
      <c r="D140" s="22"/>
      <c r="E140" s="22"/>
      <c r="F140" s="22"/>
      <c r="G140" s="23"/>
      <c r="H140" s="22"/>
    </row>
    <row r="141" spans="1:8">
      <c r="A141" s="22"/>
      <c r="B141" s="22"/>
      <c r="C141" s="22"/>
      <c r="D141" s="22"/>
      <c r="E141" s="22"/>
      <c r="F141" s="22"/>
      <c r="G141" s="23"/>
      <c r="H141" s="22"/>
    </row>
    <row r="142" spans="1:8">
      <c r="A142" s="22"/>
      <c r="B142" s="22"/>
      <c r="C142" s="22"/>
      <c r="D142" s="22"/>
      <c r="E142" s="22"/>
      <c r="F142" s="22"/>
      <c r="G142" s="23"/>
      <c r="H142" s="22"/>
    </row>
    <row r="143" spans="1:8">
      <c r="A143" s="22"/>
      <c r="B143" s="22"/>
      <c r="C143" s="22"/>
      <c r="D143" s="22"/>
      <c r="E143" s="22"/>
      <c r="F143" s="22"/>
      <c r="G143" s="23"/>
      <c r="H143" s="22"/>
    </row>
    <row r="144" spans="1:8">
      <c r="A144" s="22"/>
      <c r="B144" s="22"/>
      <c r="C144" s="22"/>
      <c r="D144" s="22"/>
      <c r="E144" s="22"/>
      <c r="F144" s="22"/>
      <c r="G144" s="23"/>
      <c r="H144" s="22"/>
    </row>
    <row r="145" spans="1:8">
      <c r="A145" s="22"/>
      <c r="B145" s="22"/>
      <c r="C145" s="22"/>
      <c r="D145" s="22"/>
      <c r="E145" s="22"/>
      <c r="F145" s="22"/>
      <c r="G145" s="23"/>
      <c r="H145" s="22"/>
    </row>
    <row r="146" spans="1:8">
      <c r="A146" s="22"/>
      <c r="B146" s="22"/>
      <c r="C146" s="22"/>
      <c r="D146" s="22"/>
      <c r="E146" s="22"/>
      <c r="F146" s="22"/>
      <c r="G146" s="23"/>
      <c r="H146" s="22"/>
    </row>
    <row r="147" spans="1:8">
      <c r="A147" s="22"/>
      <c r="B147" s="22"/>
      <c r="C147" s="22"/>
      <c r="D147" s="22"/>
      <c r="E147" s="22"/>
      <c r="F147" s="22"/>
      <c r="G147" s="23"/>
      <c r="H147" s="22"/>
    </row>
    <row r="148" spans="1:8">
      <c r="A148" s="22"/>
      <c r="B148" s="22"/>
      <c r="C148" s="22"/>
      <c r="D148" s="22"/>
      <c r="E148" s="22"/>
      <c r="F148" s="22"/>
      <c r="G148" s="23"/>
      <c r="H148" s="22"/>
    </row>
    <row r="149" spans="1:8">
      <c r="A149" s="22"/>
      <c r="B149" s="22"/>
      <c r="C149" s="22"/>
      <c r="D149" s="22"/>
      <c r="E149" s="22"/>
      <c r="F149" s="22"/>
      <c r="G149" s="23"/>
      <c r="H149" s="22"/>
    </row>
    <row r="150" spans="1:8">
      <c r="A150" s="22"/>
      <c r="B150" s="22"/>
      <c r="C150" s="22"/>
      <c r="D150" s="22"/>
      <c r="E150" s="22"/>
      <c r="F150" s="22"/>
      <c r="G150" s="23"/>
      <c r="H150" s="22"/>
    </row>
    <row r="151" spans="1:8">
      <c r="A151" s="22"/>
      <c r="B151" s="22"/>
      <c r="C151" s="22"/>
      <c r="D151" s="22"/>
      <c r="E151" s="22"/>
      <c r="F151" s="22"/>
      <c r="G151" s="23"/>
      <c r="H151" s="22"/>
    </row>
    <row r="152" spans="1:8">
      <c r="A152" s="22"/>
      <c r="B152" s="22"/>
      <c r="C152" s="22"/>
      <c r="D152" s="22"/>
      <c r="E152" s="22"/>
      <c r="F152" s="22"/>
      <c r="G152" s="23"/>
      <c r="H152" s="22"/>
    </row>
    <row r="153" spans="1:8">
      <c r="A153" s="22"/>
      <c r="B153" s="22"/>
      <c r="C153" s="22"/>
      <c r="D153" s="22"/>
      <c r="E153" s="22"/>
      <c r="F153" s="22"/>
      <c r="G153" s="23"/>
      <c r="H153" s="22"/>
    </row>
    <row r="154" spans="1:8">
      <c r="A154" s="22"/>
      <c r="B154" s="22"/>
      <c r="C154" s="22"/>
      <c r="D154" s="22"/>
      <c r="E154" s="22"/>
      <c r="F154" s="22"/>
      <c r="G154" s="23"/>
      <c r="H154" s="22"/>
    </row>
    <row r="155" spans="1:8">
      <c r="A155" s="22"/>
      <c r="B155" s="22"/>
      <c r="C155" s="22"/>
      <c r="D155" s="22"/>
      <c r="E155" s="22"/>
      <c r="F155" s="22"/>
      <c r="G155" s="23"/>
      <c r="H155" s="22"/>
    </row>
    <row r="156" spans="1:8">
      <c r="A156" s="22"/>
      <c r="B156" s="22"/>
      <c r="C156" s="22"/>
      <c r="D156" s="22"/>
      <c r="E156" s="22"/>
      <c r="F156" s="22"/>
      <c r="G156" s="23"/>
      <c r="H156" s="22"/>
    </row>
    <row r="157" spans="1:8">
      <c r="A157" s="22"/>
      <c r="B157" s="22"/>
      <c r="C157" s="22"/>
      <c r="D157" s="22"/>
      <c r="E157" s="22"/>
      <c r="F157" s="22"/>
      <c r="G157" s="23"/>
      <c r="H157" s="22"/>
    </row>
    <row r="158" spans="1:8">
      <c r="A158" s="22"/>
      <c r="B158" s="22"/>
      <c r="C158" s="22"/>
      <c r="D158" s="22"/>
      <c r="E158" s="22"/>
      <c r="F158" s="22"/>
      <c r="G158" s="23"/>
      <c r="H158" s="22"/>
    </row>
    <row r="159" spans="1:8">
      <c r="A159" s="22"/>
      <c r="B159" s="22"/>
      <c r="C159" s="22"/>
      <c r="D159" s="22"/>
      <c r="E159" s="22"/>
      <c r="F159" s="22"/>
      <c r="G159" s="23"/>
      <c r="H159" s="22"/>
    </row>
    <row r="160" spans="1:8">
      <c r="A160" s="22"/>
      <c r="B160" s="22"/>
      <c r="C160" s="22"/>
      <c r="D160" s="22"/>
      <c r="E160" s="22"/>
      <c r="F160" s="22"/>
      <c r="G160" s="23"/>
      <c r="H160" s="22"/>
    </row>
    <row r="161" spans="1:8">
      <c r="A161" s="22"/>
      <c r="B161" s="22"/>
      <c r="C161" s="22"/>
      <c r="D161" s="22"/>
      <c r="E161" s="22"/>
      <c r="F161" s="22"/>
      <c r="G161" s="23"/>
      <c r="H161" s="22"/>
    </row>
    <row r="162" spans="1:8">
      <c r="A162" s="22"/>
      <c r="B162" s="22"/>
      <c r="C162" s="22"/>
      <c r="D162" s="22"/>
      <c r="E162" s="22"/>
      <c r="F162" s="22"/>
      <c r="G162" s="23"/>
      <c r="H162" s="22"/>
    </row>
    <row r="163" spans="1:8">
      <c r="A163" s="22"/>
      <c r="B163" s="22"/>
      <c r="C163" s="22"/>
      <c r="D163" s="22"/>
      <c r="E163" s="22"/>
      <c r="F163" s="22"/>
      <c r="G163" s="23"/>
      <c r="H163" s="22"/>
    </row>
    <row r="164" spans="1:8">
      <c r="A164" s="22"/>
      <c r="B164" s="22"/>
      <c r="C164" s="22"/>
      <c r="D164" s="22"/>
      <c r="E164" s="22"/>
      <c r="F164" s="22"/>
      <c r="G164" s="23"/>
      <c r="H164" s="22"/>
    </row>
    <row r="165" spans="1:8">
      <c r="A165" s="22"/>
      <c r="B165" s="22"/>
      <c r="C165" s="22"/>
      <c r="D165" s="22"/>
      <c r="E165" s="22"/>
      <c r="F165" s="22"/>
      <c r="G165" s="23"/>
      <c r="H165" s="22"/>
    </row>
    <row r="166" spans="1:8">
      <c r="A166" s="22"/>
      <c r="B166" s="22"/>
      <c r="C166" s="22"/>
      <c r="D166" s="22"/>
      <c r="E166" s="22"/>
      <c r="F166" s="22"/>
      <c r="G166" s="23"/>
      <c r="H166" s="22"/>
    </row>
    <row r="167" spans="1:8">
      <c r="A167" s="22"/>
      <c r="B167" s="22"/>
      <c r="C167" s="22"/>
      <c r="D167" s="22"/>
      <c r="E167" s="22"/>
      <c r="F167" s="22"/>
      <c r="G167" s="23"/>
      <c r="H167" s="22"/>
    </row>
    <row r="168" spans="1:8">
      <c r="A168" s="22"/>
      <c r="B168" s="22"/>
      <c r="C168" s="22"/>
      <c r="D168" s="22"/>
      <c r="E168" s="22"/>
      <c r="F168" s="22"/>
      <c r="G168" s="23"/>
      <c r="H168" s="22"/>
    </row>
    <row r="169" spans="1:8">
      <c r="A169" s="22"/>
      <c r="B169" s="22"/>
      <c r="C169" s="22"/>
      <c r="D169" s="22"/>
      <c r="E169" s="22"/>
      <c r="F169" s="22"/>
      <c r="G169" s="23"/>
      <c r="H169" s="22"/>
    </row>
    <row r="170" spans="1:8">
      <c r="A170" s="22"/>
      <c r="B170" s="22"/>
      <c r="C170" s="22"/>
      <c r="D170" s="22"/>
      <c r="E170" s="22"/>
      <c r="F170" s="22"/>
      <c r="G170" s="23"/>
      <c r="H170" s="22"/>
    </row>
    <row r="171" spans="1:8">
      <c r="A171" s="22"/>
      <c r="B171" s="22"/>
      <c r="C171" s="22"/>
      <c r="D171" s="22"/>
      <c r="E171" s="22"/>
      <c r="F171" s="22"/>
      <c r="G171" s="23"/>
      <c r="H171" s="22"/>
    </row>
    <row r="172" spans="1:8">
      <c r="A172" s="22"/>
      <c r="B172" s="22"/>
      <c r="C172" s="22"/>
      <c r="D172" s="22"/>
      <c r="E172" s="22"/>
      <c r="F172" s="22"/>
      <c r="G172" s="23"/>
      <c r="H172" s="22"/>
    </row>
    <row r="173" spans="1:8">
      <c r="A173" s="22"/>
      <c r="B173" s="22"/>
      <c r="C173" s="22"/>
      <c r="D173" s="22"/>
      <c r="E173" s="22"/>
      <c r="F173" s="22"/>
      <c r="G173" s="23"/>
      <c r="H173" s="22"/>
    </row>
    <row r="174" spans="1:8">
      <c r="A174" s="22"/>
      <c r="B174" s="22"/>
      <c r="C174" s="22"/>
      <c r="D174" s="22"/>
      <c r="E174" s="22"/>
      <c r="F174" s="22"/>
      <c r="G174" s="23"/>
      <c r="H174" s="22"/>
    </row>
    <row r="175" spans="1:8">
      <c r="A175" s="22"/>
      <c r="B175" s="22"/>
      <c r="C175" s="22"/>
      <c r="D175" s="22"/>
      <c r="E175" s="22"/>
      <c r="F175" s="22"/>
      <c r="G175" s="23"/>
      <c r="H175" s="22"/>
    </row>
    <row r="176" spans="1:8">
      <c r="A176" s="22"/>
      <c r="B176" s="22"/>
      <c r="C176" s="22"/>
      <c r="D176" s="22"/>
      <c r="E176" s="22"/>
      <c r="F176" s="22"/>
      <c r="G176" s="23"/>
      <c r="H176" s="22"/>
    </row>
    <row r="177" spans="1:8">
      <c r="A177" s="22"/>
      <c r="B177" s="22"/>
      <c r="C177" s="22"/>
      <c r="D177" s="22"/>
      <c r="E177" s="22"/>
      <c r="F177" s="22"/>
      <c r="G177" s="23"/>
      <c r="H177" s="22"/>
    </row>
    <row r="178" spans="1:8">
      <c r="A178" s="22"/>
      <c r="B178" s="22"/>
      <c r="C178" s="22"/>
      <c r="D178" s="22"/>
      <c r="E178" s="22"/>
      <c r="F178" s="22"/>
      <c r="G178" s="23"/>
      <c r="H178" s="22"/>
    </row>
    <row r="179" spans="1:8">
      <c r="A179" s="22"/>
      <c r="B179" s="22"/>
      <c r="C179" s="22"/>
      <c r="D179" s="22"/>
      <c r="E179" s="22"/>
      <c r="F179" s="22"/>
      <c r="G179" s="23"/>
      <c r="H179" s="22"/>
    </row>
    <row r="180" spans="1:8">
      <c r="A180" s="22"/>
      <c r="B180" s="22"/>
      <c r="C180" s="22"/>
      <c r="D180" s="22"/>
      <c r="E180" s="22"/>
      <c r="F180" s="22"/>
      <c r="G180" s="23"/>
      <c r="H180" s="22"/>
    </row>
    <row r="181" spans="1:8">
      <c r="A181" s="22"/>
      <c r="B181" s="22"/>
      <c r="C181" s="22"/>
      <c r="D181" s="22"/>
      <c r="E181" s="22"/>
      <c r="F181" s="22"/>
      <c r="G181" s="23"/>
      <c r="H181" s="22"/>
    </row>
    <row r="182" spans="1:8">
      <c r="A182" s="22"/>
      <c r="B182" s="22"/>
      <c r="C182" s="22"/>
      <c r="D182" s="22"/>
      <c r="E182" s="22"/>
      <c r="F182" s="22"/>
      <c r="G182" s="23"/>
      <c r="H182" s="22"/>
    </row>
    <row r="183" spans="1:8">
      <c r="A183" s="22"/>
      <c r="B183" s="22"/>
      <c r="C183" s="22"/>
      <c r="D183" s="22"/>
      <c r="E183" s="22"/>
      <c r="F183" s="22"/>
      <c r="G183" s="23"/>
      <c r="H183" s="22"/>
    </row>
    <row r="184" spans="1:8">
      <c r="A184" s="22"/>
      <c r="B184" s="22"/>
      <c r="C184" s="22"/>
      <c r="D184" s="22"/>
      <c r="E184" s="22"/>
      <c r="F184" s="22"/>
      <c r="G184" s="23"/>
      <c r="H184" s="22"/>
    </row>
    <row r="185" spans="1:8">
      <c r="A185" s="22"/>
      <c r="B185" s="22"/>
      <c r="C185" s="22"/>
      <c r="D185" s="22"/>
      <c r="E185" s="22"/>
      <c r="F185" s="22"/>
      <c r="G185" s="23"/>
      <c r="H185" s="22"/>
    </row>
    <row r="186" spans="1:8">
      <c r="A186" s="22"/>
      <c r="B186" s="22"/>
      <c r="C186" s="22"/>
      <c r="D186" s="22"/>
      <c r="E186" s="22"/>
      <c r="F186" s="22"/>
      <c r="G186" s="23"/>
      <c r="H186" s="22"/>
    </row>
    <row r="187" spans="1:8">
      <c r="A187" s="22"/>
      <c r="B187" s="22"/>
      <c r="C187" s="22"/>
      <c r="D187" s="22"/>
      <c r="E187" s="22"/>
      <c r="F187" s="22"/>
      <c r="G187" s="23"/>
      <c r="H187" s="22"/>
    </row>
    <row r="188" spans="1:8">
      <c r="A188" s="22"/>
      <c r="B188" s="22"/>
      <c r="C188" s="22"/>
      <c r="D188" s="22"/>
      <c r="E188" s="22"/>
      <c r="F188" s="22"/>
      <c r="G188" s="23"/>
      <c r="H188" s="22"/>
    </row>
    <row r="189" spans="1:8">
      <c r="A189" s="22"/>
      <c r="B189" s="22"/>
      <c r="C189" s="22"/>
      <c r="D189" s="22"/>
      <c r="E189" s="22"/>
      <c r="F189" s="22"/>
      <c r="G189" s="23"/>
      <c r="H189" s="22"/>
    </row>
    <row r="190" spans="1:8">
      <c r="A190" s="22"/>
      <c r="B190" s="22"/>
      <c r="C190" s="22"/>
      <c r="D190" s="22"/>
      <c r="E190" s="22"/>
      <c r="F190" s="22"/>
      <c r="G190" s="23"/>
      <c r="H190" s="22"/>
    </row>
    <row r="191" spans="1:8">
      <c r="A191" s="22"/>
      <c r="B191" s="22"/>
      <c r="C191" s="22"/>
      <c r="D191" s="22"/>
      <c r="E191" s="22"/>
      <c r="F191" s="22"/>
      <c r="G191" s="23"/>
      <c r="H191" s="22"/>
    </row>
    <row r="192" spans="1:8">
      <c r="A192" s="22"/>
      <c r="B192" s="22"/>
      <c r="C192" s="22"/>
      <c r="D192" s="22"/>
      <c r="E192" s="22"/>
      <c r="F192" s="22"/>
      <c r="G192" s="23"/>
      <c r="H192" s="22"/>
    </row>
    <row r="193" spans="1:8">
      <c r="A193" s="22"/>
      <c r="B193" s="22"/>
      <c r="C193" s="22"/>
      <c r="D193" s="22"/>
      <c r="E193" s="22"/>
      <c r="F193" s="22"/>
      <c r="G193" s="23"/>
      <c r="H193" s="22"/>
    </row>
    <row r="194" spans="1:8">
      <c r="A194" s="22"/>
      <c r="B194" s="22"/>
      <c r="C194" s="22"/>
      <c r="D194" s="22"/>
      <c r="E194" s="22"/>
      <c r="F194" s="22"/>
      <c r="G194" s="23"/>
      <c r="H194" s="22"/>
    </row>
    <row r="195" spans="1:8">
      <c r="A195" s="22"/>
      <c r="B195" s="22"/>
      <c r="C195" s="22"/>
      <c r="D195" s="22"/>
      <c r="E195" s="22"/>
      <c r="F195" s="22"/>
      <c r="G195" s="23"/>
      <c r="H195" s="22"/>
    </row>
    <row r="196" spans="1:8">
      <c r="A196" s="22"/>
      <c r="B196" s="22"/>
      <c r="C196" s="22"/>
      <c r="D196" s="22"/>
      <c r="E196" s="22"/>
      <c r="F196" s="22"/>
      <c r="G196" s="23"/>
      <c r="H196" s="22"/>
    </row>
    <row r="197" spans="1:8">
      <c r="A197" s="22"/>
      <c r="B197" s="22"/>
      <c r="C197" s="22"/>
      <c r="D197" s="22"/>
      <c r="E197" s="22"/>
      <c r="F197" s="22"/>
      <c r="G197" s="23"/>
      <c r="H197" s="22"/>
    </row>
    <row r="198" spans="1:8">
      <c r="A198" s="22"/>
      <c r="B198" s="22"/>
      <c r="C198" s="22"/>
      <c r="D198" s="22"/>
      <c r="E198" s="22"/>
      <c r="F198" s="22"/>
      <c r="G198" s="23"/>
      <c r="H198" s="22"/>
    </row>
    <row r="199" spans="1:8">
      <c r="A199" s="22"/>
      <c r="B199" s="22"/>
      <c r="C199" s="22"/>
      <c r="D199" s="22"/>
      <c r="E199" s="22"/>
      <c r="F199" s="22"/>
      <c r="G199" s="23"/>
      <c r="H199" s="22"/>
    </row>
    <row r="200" spans="1:8">
      <c r="A200" s="22"/>
      <c r="B200" s="22"/>
      <c r="C200" s="22"/>
      <c r="D200" s="22"/>
      <c r="E200" s="22"/>
      <c r="F200" s="22"/>
      <c r="G200" s="23"/>
      <c r="H200" s="22"/>
    </row>
    <row r="201" spans="1:8">
      <c r="A201" s="22"/>
      <c r="B201" s="22"/>
      <c r="C201" s="22"/>
      <c r="D201" s="22"/>
      <c r="E201" s="22"/>
      <c r="F201" s="22"/>
      <c r="G201" s="23"/>
      <c r="H201" s="22"/>
    </row>
    <row r="202" spans="1:8">
      <c r="A202" s="22"/>
      <c r="B202" s="22"/>
      <c r="C202" s="22"/>
      <c r="D202" s="22"/>
      <c r="E202" s="22"/>
      <c r="F202" s="22"/>
      <c r="G202" s="23"/>
      <c r="H202" s="22"/>
    </row>
    <row r="203" spans="1:8">
      <c r="A203" s="22"/>
      <c r="B203" s="22"/>
      <c r="C203" s="22"/>
      <c r="D203" s="22"/>
      <c r="E203" s="22"/>
      <c r="F203" s="22"/>
      <c r="G203" s="23"/>
      <c r="H203" s="22"/>
    </row>
    <row r="204" spans="1:8">
      <c r="A204" s="22"/>
      <c r="B204" s="22"/>
      <c r="C204" s="22"/>
      <c r="D204" s="22"/>
      <c r="E204" s="22"/>
      <c r="F204" s="22"/>
      <c r="G204" s="23"/>
      <c r="H204" s="22"/>
    </row>
    <row r="205" spans="1:8">
      <c r="A205" s="22"/>
      <c r="B205" s="22"/>
      <c r="C205" s="22"/>
      <c r="D205" s="22"/>
      <c r="E205" s="22"/>
      <c r="F205" s="22"/>
      <c r="G205" s="23"/>
      <c r="H205" s="22"/>
    </row>
    <row r="206" spans="1:8">
      <c r="A206" s="22"/>
      <c r="B206" s="22"/>
      <c r="C206" s="22"/>
      <c r="D206" s="22"/>
      <c r="E206" s="22"/>
      <c r="F206" s="22"/>
      <c r="G206" s="23"/>
      <c r="H206" s="22"/>
    </row>
    <row r="207" spans="1:8">
      <c r="A207" s="22"/>
      <c r="B207" s="22"/>
      <c r="C207" s="22"/>
      <c r="D207" s="22"/>
      <c r="E207" s="22"/>
      <c r="F207" s="22"/>
      <c r="G207" s="23"/>
      <c r="H207" s="22"/>
    </row>
    <row r="208" spans="1:8">
      <c r="A208" s="22"/>
      <c r="B208" s="22"/>
      <c r="C208" s="22"/>
      <c r="D208" s="22"/>
      <c r="E208" s="22"/>
      <c r="F208" s="22"/>
      <c r="G208" s="23"/>
      <c r="H208" s="22"/>
    </row>
    <row r="209" spans="1:8">
      <c r="A209" s="22"/>
      <c r="B209" s="22"/>
      <c r="C209" s="22"/>
      <c r="D209" s="22"/>
      <c r="E209" s="22"/>
      <c r="F209" s="22"/>
      <c r="G209" s="23"/>
      <c r="H209" s="22"/>
    </row>
    <row r="210" spans="1:8">
      <c r="A210" s="22"/>
      <c r="B210" s="22"/>
      <c r="C210" s="22"/>
      <c r="D210" s="22"/>
      <c r="E210" s="22"/>
      <c r="F210" s="22"/>
      <c r="G210" s="23"/>
      <c r="H210" s="22"/>
    </row>
    <row r="211" spans="1:8">
      <c r="A211" s="22"/>
      <c r="B211" s="22"/>
      <c r="C211" s="22"/>
      <c r="D211" s="22"/>
      <c r="E211" s="22"/>
      <c r="F211" s="22"/>
      <c r="G211" s="23"/>
      <c r="H211" s="22"/>
    </row>
    <row r="212" spans="1:8">
      <c r="A212" s="22"/>
      <c r="B212" s="22"/>
      <c r="C212" s="22"/>
      <c r="D212" s="22"/>
      <c r="E212" s="22"/>
      <c r="F212" s="22"/>
      <c r="G212" s="23"/>
      <c r="H212" s="22"/>
    </row>
    <row r="213" spans="1:8">
      <c r="A213" s="22"/>
      <c r="B213" s="22"/>
      <c r="C213" s="22"/>
      <c r="D213" s="22"/>
      <c r="E213" s="22"/>
      <c r="F213" s="22"/>
      <c r="G213" s="23"/>
      <c r="H213" s="22"/>
    </row>
    <row r="214" spans="1:8">
      <c r="A214" s="22"/>
      <c r="B214" s="22"/>
      <c r="C214" s="22"/>
      <c r="D214" s="22"/>
      <c r="E214" s="22"/>
      <c r="F214" s="22"/>
      <c r="G214" s="23"/>
      <c r="H214" s="22"/>
    </row>
    <row r="215" spans="1:8">
      <c r="A215" s="22"/>
      <c r="B215" s="22"/>
      <c r="C215" s="22"/>
      <c r="D215" s="22"/>
      <c r="E215" s="22"/>
      <c r="F215" s="22"/>
      <c r="G215" s="23"/>
      <c r="H215" s="22"/>
    </row>
    <row r="216" spans="1:8">
      <c r="A216" s="22"/>
      <c r="B216" s="22"/>
      <c r="C216" s="22"/>
      <c r="D216" s="22"/>
      <c r="E216" s="22"/>
      <c r="F216" s="22"/>
      <c r="G216" s="23"/>
      <c r="H216" s="22"/>
    </row>
    <row r="217" spans="1:8">
      <c r="A217" s="22"/>
      <c r="B217" s="22"/>
      <c r="C217" s="22"/>
      <c r="D217" s="22"/>
      <c r="E217" s="22"/>
      <c r="F217" s="22"/>
      <c r="G217" s="23"/>
      <c r="H217" s="22"/>
    </row>
    <row r="218" spans="1:8">
      <c r="A218" s="22"/>
      <c r="B218" s="22"/>
      <c r="C218" s="22"/>
      <c r="D218" s="22"/>
      <c r="E218" s="22"/>
      <c r="F218" s="22"/>
      <c r="G218" s="23"/>
      <c r="H218" s="22"/>
    </row>
    <row r="219" spans="1:8">
      <c r="A219" s="22"/>
      <c r="B219" s="22"/>
      <c r="C219" s="22"/>
      <c r="D219" s="22"/>
      <c r="E219" s="22"/>
      <c r="F219" s="22"/>
      <c r="G219" s="23"/>
      <c r="H219" s="22"/>
    </row>
    <row r="220" spans="1:8">
      <c r="A220" s="22"/>
      <c r="B220" s="22"/>
      <c r="C220" s="22"/>
      <c r="D220" s="22"/>
      <c r="E220" s="22"/>
      <c r="F220" s="22"/>
      <c r="G220" s="23"/>
      <c r="H220" s="22"/>
    </row>
    <row r="221" spans="1:8">
      <c r="A221" s="22"/>
      <c r="B221" s="22"/>
      <c r="C221" s="22"/>
      <c r="D221" s="22"/>
      <c r="E221" s="22"/>
      <c r="F221" s="22"/>
      <c r="G221" s="23"/>
      <c r="H221" s="22"/>
    </row>
    <row r="222" spans="1:8">
      <c r="A222" s="22"/>
      <c r="B222" s="22"/>
      <c r="C222" s="22"/>
      <c r="D222" s="22"/>
      <c r="E222" s="22"/>
      <c r="F222" s="22"/>
      <c r="G222" s="23"/>
      <c r="H222" s="22"/>
    </row>
    <row r="223" spans="1:8">
      <c r="A223" s="22"/>
      <c r="B223" s="22"/>
      <c r="C223" s="22"/>
      <c r="D223" s="22"/>
      <c r="E223" s="22"/>
      <c r="F223" s="22"/>
      <c r="G223" s="23"/>
      <c r="H223" s="22"/>
    </row>
    <row r="224" spans="1:8">
      <c r="A224" s="22"/>
      <c r="B224" s="22"/>
      <c r="C224" s="22"/>
      <c r="D224" s="22"/>
      <c r="E224" s="22"/>
      <c r="F224" s="22"/>
      <c r="G224" s="23"/>
      <c r="H224" s="22"/>
    </row>
    <row r="225" spans="1:8">
      <c r="A225" s="22"/>
      <c r="B225" s="22"/>
      <c r="C225" s="22"/>
      <c r="D225" s="22"/>
      <c r="E225" s="22"/>
      <c r="F225" s="22"/>
      <c r="G225" s="23"/>
      <c r="H225" s="22"/>
    </row>
    <row r="226" spans="1:8">
      <c r="A226" s="22"/>
      <c r="B226" s="22"/>
      <c r="C226" s="22"/>
      <c r="D226" s="22"/>
      <c r="E226" s="22"/>
      <c r="F226" s="22"/>
      <c r="G226" s="23"/>
      <c r="H226" s="22"/>
    </row>
    <row r="227" spans="1:8">
      <c r="A227" s="22"/>
      <c r="B227" s="22"/>
      <c r="C227" s="22"/>
      <c r="D227" s="22"/>
      <c r="E227" s="22"/>
      <c r="F227" s="22"/>
      <c r="G227" s="23"/>
      <c r="H227" s="22"/>
    </row>
    <row r="228" spans="1:8">
      <c r="A228" s="22"/>
      <c r="B228" s="22"/>
      <c r="C228" s="22"/>
      <c r="D228" s="22"/>
      <c r="E228" s="22"/>
      <c r="F228" s="22"/>
      <c r="G228" s="23"/>
      <c r="H228" s="22"/>
    </row>
    <row r="229" spans="1:8">
      <c r="A229" s="22"/>
      <c r="B229" s="22"/>
      <c r="C229" s="22"/>
      <c r="D229" s="22"/>
      <c r="E229" s="22"/>
      <c r="F229" s="22"/>
      <c r="G229" s="23"/>
      <c r="H229" s="22"/>
    </row>
    <row r="230" spans="1:8">
      <c r="A230" s="22"/>
      <c r="B230" s="22"/>
      <c r="C230" s="22"/>
      <c r="D230" s="22"/>
      <c r="E230" s="22"/>
      <c r="F230" s="22"/>
      <c r="G230" s="23"/>
      <c r="H230" s="22"/>
    </row>
    <row r="231" spans="1:8">
      <c r="A231" s="22"/>
      <c r="B231" s="22"/>
      <c r="C231" s="22"/>
      <c r="D231" s="22"/>
      <c r="E231" s="22"/>
      <c r="F231" s="22"/>
      <c r="G231" s="23"/>
      <c r="H231" s="22"/>
    </row>
    <row r="232" spans="1:8">
      <c r="A232" s="22"/>
      <c r="B232" s="22"/>
      <c r="C232" s="22"/>
      <c r="D232" s="22"/>
      <c r="E232" s="22"/>
      <c r="F232" s="22"/>
      <c r="G232" s="23"/>
      <c r="H232" s="22"/>
    </row>
    <row r="233" spans="1:8">
      <c r="A233" s="22"/>
      <c r="B233" s="22"/>
      <c r="C233" s="22"/>
      <c r="D233" s="22"/>
      <c r="E233" s="22"/>
      <c r="F233" s="22"/>
      <c r="G233" s="23"/>
      <c r="H233" s="22"/>
    </row>
    <row r="234" spans="1:8">
      <c r="A234" s="22"/>
      <c r="B234" s="22"/>
      <c r="C234" s="22"/>
      <c r="D234" s="22"/>
      <c r="E234" s="22"/>
      <c r="F234" s="22"/>
      <c r="G234" s="23"/>
      <c r="H234" s="22"/>
    </row>
    <row r="235" spans="1:8">
      <c r="A235" s="22"/>
      <c r="B235" s="22"/>
      <c r="C235" s="22"/>
      <c r="D235" s="22"/>
      <c r="E235" s="22"/>
      <c r="F235" s="22"/>
      <c r="G235" s="23"/>
      <c r="H235" s="22"/>
    </row>
    <row r="236" spans="1:8">
      <c r="A236" s="22"/>
      <c r="B236" s="22"/>
      <c r="C236" s="22"/>
      <c r="D236" s="22"/>
      <c r="E236" s="22"/>
      <c r="F236" s="22"/>
      <c r="G236" s="23"/>
      <c r="H236" s="22"/>
    </row>
    <row r="237" spans="1:8">
      <c r="A237" s="22"/>
      <c r="B237" s="22"/>
      <c r="C237" s="22"/>
      <c r="D237" s="22"/>
      <c r="E237" s="22"/>
      <c r="F237" s="22"/>
      <c r="G237" s="23"/>
      <c r="H237" s="22"/>
    </row>
    <row r="238" spans="1:8">
      <c r="A238" s="22"/>
      <c r="B238" s="22"/>
      <c r="C238" s="22"/>
      <c r="D238" s="22"/>
      <c r="E238" s="22"/>
      <c r="F238" s="22"/>
      <c r="G238" s="23"/>
      <c r="H238" s="22"/>
    </row>
    <row r="239" spans="1:8">
      <c r="A239" s="22"/>
      <c r="B239" s="22"/>
      <c r="C239" s="22"/>
      <c r="D239" s="22"/>
      <c r="E239" s="22"/>
      <c r="F239" s="22"/>
      <c r="G239" s="23"/>
      <c r="H239" s="22"/>
    </row>
    <row r="240" spans="1:8">
      <c r="A240" s="22"/>
      <c r="B240" s="22"/>
      <c r="C240" s="22"/>
      <c r="D240" s="22"/>
      <c r="E240" s="22"/>
      <c r="F240" s="22"/>
      <c r="G240" s="23"/>
      <c r="H240" s="22"/>
    </row>
    <row r="241" spans="1:8">
      <c r="A241" s="22"/>
      <c r="B241" s="22"/>
      <c r="C241" s="22"/>
      <c r="D241" s="22"/>
      <c r="E241" s="22"/>
      <c r="F241" s="22"/>
      <c r="G241" s="23"/>
      <c r="H241" s="22"/>
    </row>
    <row r="242" spans="1:8">
      <c r="A242" s="22"/>
      <c r="B242" s="22"/>
      <c r="C242" s="22"/>
      <c r="D242" s="22"/>
      <c r="E242" s="22"/>
      <c r="F242" s="22"/>
      <c r="G242" s="23"/>
      <c r="H242" s="22"/>
    </row>
    <row r="243" spans="1:8">
      <c r="A243" s="22"/>
      <c r="B243" s="22"/>
      <c r="C243" s="22"/>
      <c r="D243" s="22"/>
      <c r="E243" s="22"/>
      <c r="F243" s="22"/>
      <c r="G243" s="23"/>
      <c r="H243" s="22"/>
    </row>
    <row r="244" spans="1:8">
      <c r="A244" s="22"/>
      <c r="B244" s="22"/>
      <c r="C244" s="22"/>
      <c r="D244" s="22"/>
      <c r="E244" s="22"/>
      <c r="F244" s="22"/>
      <c r="G244" s="23"/>
      <c r="H244" s="22"/>
    </row>
    <row r="245" spans="1:8">
      <c r="A245" s="22"/>
      <c r="B245" s="22"/>
      <c r="C245" s="22"/>
      <c r="D245" s="22"/>
      <c r="E245" s="22"/>
      <c r="F245" s="22"/>
      <c r="G245" s="23"/>
      <c r="H245" s="22"/>
    </row>
    <row r="246" spans="1:8">
      <c r="A246" s="22"/>
      <c r="B246" s="22"/>
      <c r="C246" s="22"/>
      <c r="D246" s="22"/>
      <c r="E246" s="22"/>
      <c r="F246" s="22"/>
      <c r="G246" s="23"/>
      <c r="H246" s="22"/>
    </row>
    <row r="247" spans="1:8">
      <c r="A247" s="22"/>
      <c r="B247" s="22"/>
      <c r="C247" s="22"/>
      <c r="D247" s="22"/>
      <c r="E247" s="22"/>
      <c r="F247" s="22"/>
      <c r="G247" s="23"/>
      <c r="H247" s="22"/>
    </row>
    <row r="248" spans="1:8">
      <c r="A248" s="22"/>
      <c r="B248" s="22"/>
      <c r="C248" s="22"/>
      <c r="D248" s="22"/>
      <c r="E248" s="22"/>
      <c r="F248" s="22"/>
      <c r="G248" s="23"/>
      <c r="H248" s="22"/>
    </row>
    <row r="249" spans="1:8">
      <c r="A249" s="22"/>
      <c r="B249" s="22"/>
      <c r="C249" s="22"/>
      <c r="D249" s="22"/>
      <c r="E249" s="22"/>
      <c r="F249" s="22"/>
      <c r="G249" s="23"/>
      <c r="H249" s="22"/>
    </row>
    <row r="250" spans="1:8">
      <c r="A250" s="22"/>
      <c r="B250" s="22"/>
      <c r="C250" s="22"/>
      <c r="D250" s="22"/>
      <c r="E250" s="22"/>
      <c r="F250" s="22"/>
      <c r="G250" s="23"/>
      <c r="H250" s="22"/>
    </row>
    <row r="251" spans="1:8">
      <c r="A251" s="22"/>
      <c r="B251" s="22"/>
      <c r="C251" s="22"/>
      <c r="D251" s="22"/>
      <c r="E251" s="22"/>
      <c r="F251" s="22"/>
      <c r="G251" s="23"/>
      <c r="H251" s="22"/>
    </row>
    <row r="252" spans="1:8">
      <c r="A252" s="22"/>
      <c r="B252" s="22"/>
      <c r="C252" s="22"/>
      <c r="D252" s="22"/>
      <c r="E252" s="22"/>
      <c r="F252" s="22"/>
      <c r="G252" s="23"/>
      <c r="H252" s="22"/>
    </row>
    <row r="253" spans="1:8">
      <c r="A253" s="22"/>
      <c r="B253" s="22"/>
      <c r="C253" s="22"/>
      <c r="D253" s="22"/>
      <c r="E253" s="22"/>
      <c r="F253" s="22"/>
      <c r="G253" s="23"/>
      <c r="H253" s="22"/>
    </row>
    <row r="254" spans="1:8">
      <c r="A254" s="22"/>
      <c r="B254" s="22"/>
      <c r="C254" s="22"/>
      <c r="D254" s="22"/>
      <c r="E254" s="22"/>
      <c r="F254" s="22"/>
      <c r="G254" s="23"/>
      <c r="H254" s="22"/>
    </row>
    <row r="255" spans="1:8">
      <c r="A255" s="22"/>
      <c r="B255" s="22"/>
      <c r="C255" s="22"/>
      <c r="D255" s="22"/>
      <c r="E255" s="22"/>
      <c r="F255" s="22"/>
      <c r="G255" s="23"/>
      <c r="H255" s="22"/>
    </row>
    <row r="256" spans="1:8">
      <c r="A256" s="22"/>
      <c r="B256" s="22"/>
      <c r="C256" s="22"/>
      <c r="D256" s="22"/>
      <c r="E256" s="22"/>
      <c r="F256" s="22"/>
      <c r="G256" s="23"/>
      <c r="H256" s="22"/>
    </row>
    <row r="257" spans="1:8">
      <c r="A257" s="22"/>
      <c r="B257" s="22"/>
      <c r="C257" s="22"/>
      <c r="D257" s="22"/>
      <c r="E257" s="22"/>
      <c r="F257" s="22"/>
      <c r="G257" s="23"/>
      <c r="H257" s="22"/>
    </row>
    <row r="258" spans="1:8">
      <c r="A258" s="22"/>
      <c r="B258" s="22"/>
      <c r="C258" s="22"/>
      <c r="D258" s="22"/>
      <c r="E258" s="22"/>
      <c r="F258" s="22"/>
      <c r="G258" s="23"/>
      <c r="H258" s="22"/>
    </row>
    <row r="259" spans="1:8">
      <c r="A259" s="22"/>
      <c r="B259" s="22"/>
      <c r="C259" s="22"/>
      <c r="D259" s="22"/>
      <c r="E259" s="22"/>
      <c r="F259" s="22"/>
      <c r="G259" s="23"/>
      <c r="H259" s="22"/>
    </row>
    <row r="260" spans="1:8">
      <c r="A260" s="22"/>
      <c r="B260" s="22"/>
      <c r="C260" s="22"/>
      <c r="D260" s="22"/>
      <c r="E260" s="22"/>
      <c r="F260" s="22"/>
      <c r="G260" s="23"/>
      <c r="H260" s="22"/>
    </row>
    <row r="261" spans="1:8">
      <c r="A261" s="22"/>
      <c r="B261" s="22"/>
      <c r="C261" s="22"/>
      <c r="D261" s="22"/>
      <c r="E261" s="22"/>
      <c r="F261" s="22"/>
      <c r="G261" s="23"/>
      <c r="H261" s="22"/>
    </row>
    <row r="262" spans="1:8">
      <c r="A262" s="22"/>
      <c r="B262" s="22"/>
      <c r="C262" s="22"/>
      <c r="D262" s="22"/>
      <c r="E262" s="22"/>
      <c r="F262" s="22"/>
      <c r="G262" s="23"/>
      <c r="H262" s="22"/>
    </row>
    <row r="263" spans="1:8">
      <c r="A263" s="22"/>
      <c r="B263" s="22"/>
      <c r="C263" s="22"/>
      <c r="D263" s="22"/>
      <c r="E263" s="22"/>
      <c r="F263" s="22"/>
      <c r="G263" s="23"/>
      <c r="H263" s="22"/>
    </row>
    <row r="264" spans="1:8">
      <c r="A264" s="22"/>
      <c r="B264" s="22"/>
      <c r="C264" s="22"/>
      <c r="D264" s="22"/>
      <c r="E264" s="22"/>
      <c r="F264" s="22"/>
      <c r="G264" s="23"/>
      <c r="H264" s="22"/>
    </row>
    <row r="265" spans="1:8">
      <c r="A265" s="22"/>
      <c r="B265" s="22"/>
      <c r="C265" s="22"/>
      <c r="D265" s="22"/>
      <c r="E265" s="22"/>
      <c r="F265" s="22"/>
      <c r="G265" s="23"/>
      <c r="H265" s="22"/>
    </row>
    <row r="266" spans="1:8">
      <c r="A266" s="22"/>
      <c r="B266" s="22"/>
      <c r="C266" s="22"/>
      <c r="D266" s="22"/>
      <c r="E266" s="22"/>
      <c r="F266" s="22"/>
      <c r="G266" s="23"/>
      <c r="H266" s="22"/>
    </row>
    <row r="267" spans="1:8">
      <c r="A267" s="22"/>
      <c r="B267" s="22"/>
      <c r="C267" s="22"/>
      <c r="D267" s="22"/>
      <c r="E267" s="22"/>
      <c r="F267" s="22"/>
      <c r="G267" s="23"/>
      <c r="H267" s="22"/>
    </row>
    <row r="268" spans="1:8">
      <c r="A268" s="22"/>
      <c r="B268" s="22"/>
      <c r="C268" s="22"/>
      <c r="D268" s="22"/>
      <c r="E268" s="22"/>
      <c r="F268" s="22"/>
      <c r="G268" s="23"/>
      <c r="H268" s="22"/>
    </row>
    <row r="269" spans="1:8">
      <c r="A269" s="22"/>
      <c r="B269" s="22"/>
      <c r="C269" s="22"/>
      <c r="D269" s="22"/>
      <c r="E269" s="22"/>
      <c r="F269" s="22"/>
      <c r="G269" s="23"/>
      <c r="H269" s="22"/>
    </row>
    <row r="270" spans="1:8">
      <c r="A270" s="22"/>
      <c r="B270" s="22"/>
      <c r="C270" s="22"/>
      <c r="D270" s="22"/>
      <c r="E270" s="22"/>
      <c r="F270" s="22"/>
      <c r="G270" s="23"/>
      <c r="H270" s="22"/>
    </row>
    <row r="271" spans="1:8">
      <c r="A271" s="22"/>
      <c r="B271" s="22"/>
      <c r="C271" s="22"/>
      <c r="D271" s="22"/>
      <c r="E271" s="22"/>
      <c r="F271" s="22"/>
      <c r="G271" s="23"/>
      <c r="H271" s="22"/>
    </row>
    <row r="272" spans="1:8">
      <c r="A272" s="22"/>
      <c r="B272" s="22"/>
      <c r="C272" s="22"/>
      <c r="D272" s="22"/>
      <c r="E272" s="22"/>
      <c r="F272" s="22"/>
      <c r="G272" s="23"/>
      <c r="H272" s="22"/>
    </row>
    <row r="273" spans="1:8">
      <c r="A273" s="22"/>
      <c r="B273" s="22"/>
      <c r="C273" s="22"/>
      <c r="D273" s="22"/>
      <c r="E273" s="22"/>
      <c r="F273" s="22"/>
      <c r="G273" s="23"/>
      <c r="H273" s="22"/>
    </row>
    <row r="274" spans="1:8">
      <c r="A274" s="22"/>
      <c r="B274" s="22"/>
      <c r="C274" s="22"/>
      <c r="D274" s="22"/>
      <c r="E274" s="22"/>
      <c r="F274" s="22"/>
      <c r="G274" s="23"/>
      <c r="H274" s="22"/>
    </row>
    <row r="275" spans="1:8">
      <c r="A275" s="22"/>
      <c r="B275" s="22"/>
      <c r="C275" s="22"/>
      <c r="D275" s="22"/>
      <c r="E275" s="22"/>
      <c r="F275" s="22"/>
      <c r="G275" s="23"/>
      <c r="H275" s="22"/>
    </row>
    <row r="276" spans="1:8">
      <c r="A276" s="22"/>
      <c r="B276" s="22"/>
      <c r="C276" s="22"/>
      <c r="D276" s="22"/>
      <c r="E276" s="22"/>
      <c r="F276" s="22"/>
      <c r="G276" s="23"/>
      <c r="H276" s="22"/>
    </row>
    <row r="277" spans="1:8">
      <c r="A277" s="22"/>
      <c r="B277" s="22"/>
      <c r="C277" s="22"/>
      <c r="D277" s="22"/>
      <c r="E277" s="22"/>
      <c r="F277" s="22"/>
      <c r="G277" s="23"/>
      <c r="H277" s="22"/>
    </row>
    <row r="278" spans="1:8">
      <c r="A278" s="22"/>
      <c r="B278" s="22"/>
      <c r="C278" s="22"/>
      <c r="D278" s="22"/>
      <c r="E278" s="22"/>
      <c r="F278" s="22"/>
      <c r="G278" s="23"/>
      <c r="H278" s="22"/>
    </row>
    <row r="279" spans="1:8">
      <c r="A279" s="22"/>
      <c r="B279" s="22"/>
      <c r="C279" s="22"/>
      <c r="D279" s="22"/>
      <c r="E279" s="22"/>
      <c r="F279" s="22"/>
      <c r="G279" s="23"/>
      <c r="H279" s="22"/>
    </row>
    <row r="280" spans="1:8">
      <c r="A280" s="22"/>
      <c r="B280" s="22"/>
      <c r="C280" s="22"/>
      <c r="D280" s="22"/>
      <c r="E280" s="22"/>
      <c r="F280" s="22"/>
      <c r="G280" s="23"/>
      <c r="H280" s="22"/>
    </row>
    <row r="281" spans="1:8">
      <c r="A281" s="22"/>
      <c r="B281" s="22"/>
      <c r="C281" s="22"/>
      <c r="D281" s="22"/>
      <c r="E281" s="22"/>
      <c r="F281" s="22"/>
      <c r="G281" s="23"/>
      <c r="H281" s="22"/>
    </row>
    <row r="282" spans="1:8">
      <c r="A282" s="22"/>
      <c r="B282" s="22"/>
      <c r="C282" s="22"/>
      <c r="D282" s="22"/>
      <c r="E282" s="22"/>
      <c r="F282" s="22"/>
      <c r="G282" s="23"/>
      <c r="H282" s="22"/>
    </row>
    <row r="283" spans="1:8">
      <c r="A283" s="22"/>
      <c r="B283" s="22"/>
      <c r="C283" s="22"/>
      <c r="D283" s="22"/>
      <c r="E283" s="22"/>
      <c r="F283" s="22"/>
      <c r="G283" s="23"/>
      <c r="H283" s="22"/>
    </row>
    <row r="284" spans="1:8">
      <c r="A284" s="22"/>
      <c r="B284" s="22"/>
      <c r="C284" s="22"/>
      <c r="D284" s="22"/>
      <c r="E284" s="22"/>
      <c r="F284" s="22"/>
      <c r="G284" s="23"/>
      <c r="H284" s="22"/>
    </row>
    <row r="285" spans="1:8">
      <c r="A285" s="22"/>
      <c r="B285" s="22"/>
      <c r="C285" s="22"/>
      <c r="D285" s="22"/>
      <c r="E285" s="22"/>
      <c r="F285" s="22"/>
      <c r="G285" s="23"/>
      <c r="H285" s="22"/>
    </row>
    <row r="286" spans="1:8">
      <c r="A286" s="22"/>
      <c r="B286" s="22"/>
      <c r="C286" s="22"/>
      <c r="D286" s="22"/>
      <c r="E286" s="22"/>
      <c r="F286" s="22"/>
      <c r="G286" s="23"/>
      <c r="H286" s="22"/>
    </row>
    <row r="287" spans="1:8">
      <c r="A287" s="22"/>
      <c r="B287" s="22"/>
      <c r="C287" s="22"/>
      <c r="D287" s="22"/>
      <c r="E287" s="22"/>
      <c r="F287" s="22"/>
      <c r="G287" s="23"/>
      <c r="H287" s="22"/>
    </row>
    <row r="288" spans="1:8">
      <c r="A288" s="22"/>
      <c r="B288" s="22"/>
      <c r="C288" s="22"/>
      <c r="D288" s="22"/>
      <c r="E288" s="22"/>
      <c r="F288" s="22"/>
      <c r="G288" s="23"/>
      <c r="H288" s="22"/>
    </row>
    <row r="289" spans="1:8">
      <c r="A289" s="22"/>
      <c r="B289" s="22"/>
      <c r="C289" s="22"/>
      <c r="D289" s="22"/>
      <c r="E289" s="22"/>
      <c r="F289" s="22"/>
      <c r="G289" s="23"/>
      <c r="H289" s="22"/>
    </row>
    <row r="290" spans="1:8">
      <c r="A290" s="22"/>
      <c r="B290" s="22"/>
      <c r="C290" s="22"/>
      <c r="D290" s="22"/>
      <c r="E290" s="22"/>
      <c r="F290" s="22"/>
      <c r="G290" s="23"/>
      <c r="H290" s="22"/>
    </row>
    <row r="291" spans="1:8">
      <c r="A291" s="22"/>
      <c r="B291" s="22"/>
      <c r="C291" s="22"/>
      <c r="D291" s="22"/>
      <c r="E291" s="22"/>
      <c r="F291" s="22"/>
      <c r="G291" s="23"/>
      <c r="H291" s="22"/>
    </row>
    <row r="292" spans="1:8">
      <c r="A292" s="22"/>
      <c r="B292" s="22"/>
      <c r="C292" s="22"/>
      <c r="D292" s="22"/>
      <c r="E292" s="22"/>
      <c r="F292" s="22"/>
      <c r="G292" s="23"/>
      <c r="H292" s="22"/>
    </row>
    <row r="293" spans="1:8">
      <c r="A293" s="22"/>
      <c r="B293" s="22"/>
      <c r="C293" s="22"/>
      <c r="D293" s="22"/>
      <c r="E293" s="22"/>
      <c r="F293" s="22"/>
      <c r="G293" s="23"/>
      <c r="H293" s="22"/>
    </row>
    <row r="294" spans="1:8">
      <c r="A294" s="22"/>
      <c r="B294" s="22"/>
      <c r="C294" s="22"/>
      <c r="D294" s="22"/>
      <c r="E294" s="22"/>
      <c r="F294" s="22"/>
      <c r="G294" s="23"/>
      <c r="H294" s="22"/>
    </row>
    <row r="295" spans="1:8">
      <c r="A295" s="22"/>
      <c r="B295" s="22"/>
      <c r="C295" s="22"/>
      <c r="D295" s="22"/>
      <c r="E295" s="22"/>
      <c r="F295" s="22"/>
      <c r="G295" s="23"/>
      <c r="H295" s="22"/>
    </row>
    <row r="296" spans="1:8">
      <c r="A296" s="22"/>
      <c r="B296" s="22"/>
      <c r="C296" s="22"/>
      <c r="D296" s="22"/>
      <c r="E296" s="22"/>
      <c r="F296" s="22"/>
      <c r="G296" s="23"/>
      <c r="H296" s="22"/>
    </row>
    <row r="297" spans="1:8">
      <c r="A297" s="22"/>
      <c r="B297" s="22"/>
      <c r="C297" s="22"/>
      <c r="D297" s="22"/>
      <c r="E297" s="22"/>
      <c r="F297" s="22"/>
      <c r="G297" s="23"/>
      <c r="H297" s="22"/>
    </row>
    <row r="298" spans="1:8">
      <c r="A298" s="22"/>
      <c r="B298" s="22"/>
      <c r="C298" s="22"/>
      <c r="D298" s="22"/>
      <c r="E298" s="22"/>
      <c r="F298" s="22"/>
      <c r="G298" s="23"/>
      <c r="H298" s="22"/>
    </row>
    <row r="299" spans="1:8">
      <c r="A299" s="22"/>
      <c r="B299" s="22"/>
      <c r="C299" s="22"/>
      <c r="D299" s="22"/>
      <c r="E299" s="22"/>
      <c r="F299" s="22"/>
      <c r="G299" s="23"/>
      <c r="H299" s="22"/>
    </row>
    <row r="300" spans="1:8">
      <c r="A300" s="22"/>
      <c r="B300" s="22"/>
      <c r="C300" s="22"/>
      <c r="D300" s="22"/>
      <c r="E300" s="22"/>
      <c r="F300" s="22"/>
      <c r="G300" s="23"/>
      <c r="H300" s="22"/>
    </row>
    <row r="301" spans="1:8">
      <c r="A301" s="22"/>
      <c r="B301" s="22"/>
      <c r="C301" s="22"/>
      <c r="D301" s="22"/>
      <c r="E301" s="22"/>
      <c r="F301" s="22"/>
      <c r="G301" s="23"/>
      <c r="H301" s="22"/>
    </row>
    <row r="302" spans="1:8">
      <c r="A302" s="22"/>
      <c r="B302" s="22"/>
      <c r="C302" s="22"/>
      <c r="D302" s="22"/>
      <c r="E302" s="22"/>
      <c r="F302" s="22"/>
      <c r="G302" s="23"/>
      <c r="H302" s="22"/>
    </row>
    <row r="303" spans="1:8">
      <c r="A303" s="22"/>
      <c r="B303" s="22"/>
      <c r="C303" s="22"/>
      <c r="D303" s="22"/>
      <c r="E303" s="22"/>
      <c r="F303" s="22"/>
      <c r="G303" s="23"/>
      <c r="H303" s="22"/>
    </row>
    <row r="304" spans="1:8">
      <c r="A304" s="22"/>
      <c r="B304" s="22"/>
      <c r="C304" s="22"/>
      <c r="D304" s="22"/>
      <c r="E304" s="22"/>
      <c r="F304" s="22"/>
      <c r="G304" s="23"/>
      <c r="H304" s="22"/>
    </row>
    <row r="305" spans="1:8">
      <c r="A305" s="22"/>
      <c r="B305" s="22"/>
      <c r="C305" s="22"/>
      <c r="D305" s="22"/>
      <c r="E305" s="22"/>
      <c r="F305" s="22"/>
      <c r="G305" s="23"/>
      <c r="H305" s="22"/>
    </row>
    <row r="306" spans="1:8">
      <c r="A306" s="22"/>
      <c r="B306" s="22"/>
      <c r="C306" s="22"/>
      <c r="D306" s="22"/>
      <c r="E306" s="22"/>
      <c r="F306" s="22"/>
      <c r="G306" s="23"/>
      <c r="H306" s="22"/>
    </row>
    <row r="307" spans="1:8">
      <c r="A307" s="22"/>
      <c r="B307" s="22"/>
      <c r="C307" s="22"/>
      <c r="D307" s="22"/>
      <c r="E307" s="22"/>
      <c r="F307" s="22"/>
      <c r="G307" s="23"/>
      <c r="H307" s="22"/>
    </row>
    <row r="308" spans="1:8">
      <c r="A308" s="22"/>
      <c r="B308" s="22"/>
      <c r="C308" s="22"/>
      <c r="D308" s="22"/>
      <c r="E308" s="22"/>
      <c r="F308" s="22"/>
      <c r="G308" s="23"/>
      <c r="H308" s="22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J87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3.7109375" style="7" customWidth="1"/>
    <col min="2" max="2" width="15.7109375" style="7" customWidth="1"/>
    <col min="3" max="3" width="21.7109375" style="7" customWidth="1"/>
    <col min="4" max="4" width="16.7109375" style="7" customWidth="1"/>
    <col min="5" max="5" width="15.7109375" style="7" customWidth="1"/>
    <col min="6" max="6" width="14.7109375" style="7" customWidth="1"/>
    <col min="7" max="7" width="13.7109375" style="8" customWidth="1"/>
    <col min="8" max="8" width="14.7109375" style="8" customWidth="1"/>
    <col min="9" max="9" width="14.7109375" style="9" customWidth="1"/>
    <col min="10" max="10" width="28.7109375" style="7" customWidth="1"/>
    <col min="11" max="11" width="2.7109375" customWidth="1"/>
    <col min="12" max="12" width="24.7109375" customWidth="1"/>
  </cols>
  <sheetData>
    <row r="1" spans="1:10" ht="40" customHeight="1">
      <c r="A1" s="1" t="s">
        <v>128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spans="1:10">
      <c r="A3" s="10" t="s">
        <v>129</v>
      </c>
      <c r="B3" s="10"/>
      <c r="C3" s="10"/>
      <c r="D3" s="10"/>
      <c r="E3" s="10"/>
      <c r="F3" s="10"/>
      <c r="G3" s="10"/>
      <c r="H3" s="10"/>
      <c r="I3" s="10"/>
      <c r="J3" s="10"/>
    </row>
    <row r="4" spans="1:10">
      <c r="A4" s="11" t="s">
        <v>10</v>
      </c>
      <c r="B4" s="11" t="s">
        <v>11</v>
      </c>
      <c r="C4" s="11" t="s">
        <v>12</v>
      </c>
      <c r="D4" s="11" t="s">
        <v>130</v>
      </c>
      <c r="E4" s="11" t="s">
        <v>13</v>
      </c>
      <c r="F4" s="11" t="s">
        <v>15</v>
      </c>
      <c r="G4" s="11" t="s">
        <v>16</v>
      </c>
      <c r="H4" s="11" t="s">
        <v>131</v>
      </c>
      <c r="I4" s="11" t="s">
        <v>132</v>
      </c>
      <c r="J4" s="11" t="s">
        <v>18</v>
      </c>
    </row>
    <row r="5" spans="1:10" ht="22" customHeight="1">
      <c r="A5" s="12"/>
      <c r="B5" s="12"/>
      <c r="C5" s="12"/>
      <c r="D5" s="12"/>
      <c r="E5" s="12"/>
      <c r="F5" s="12"/>
      <c r="G5" s="13"/>
      <c r="H5" s="13"/>
      <c r="I5" s="14" t="s">
        <v>19</v>
      </c>
      <c r="J5" s="12"/>
    </row>
    <row r="8" spans="1:10" ht="28" customHeight="1">
      <c r="A8" s="15" t="s">
        <v>10</v>
      </c>
      <c r="B8" s="15" t="s">
        <v>11</v>
      </c>
      <c r="C8" s="15" t="s">
        <v>12</v>
      </c>
      <c r="D8" s="15" t="s">
        <v>130</v>
      </c>
      <c r="E8" s="15" t="s">
        <v>13</v>
      </c>
      <c r="F8" s="15" t="s">
        <v>15</v>
      </c>
      <c r="G8" s="15" t="s">
        <v>16</v>
      </c>
      <c r="H8" s="15" t="s">
        <v>131</v>
      </c>
      <c r="I8" s="15" t="s">
        <v>132</v>
      </c>
      <c r="J8" s="15" t="s">
        <v>18</v>
      </c>
    </row>
    <row r="9" spans="1:10">
      <c r="A9" s="7" t="s">
        <v>133</v>
      </c>
      <c r="B9" s="7" t="s">
        <v>134</v>
      </c>
      <c r="C9" s="7" t="s">
        <v>135</v>
      </c>
      <c r="E9" s="7" t="s">
        <v>136</v>
      </c>
      <c r="F9" s="7" t="s">
        <v>25</v>
      </c>
      <c r="G9" s="8">
        <v>46178</v>
      </c>
      <c r="I9" s="9">
        <f>IF(OR($G9="",$H9=""),"",$H9-$G9)</f>
        <v>0</v>
      </c>
    </row>
    <row r="10" spans="1:10">
      <c r="A10" s="7" t="s">
        <v>133</v>
      </c>
      <c r="B10" s="7" t="s">
        <v>134</v>
      </c>
      <c r="C10" s="7" t="s">
        <v>137</v>
      </c>
      <c r="E10" s="7" t="s">
        <v>136</v>
      </c>
      <c r="F10" s="7" t="s">
        <v>25</v>
      </c>
      <c r="G10" s="8">
        <v>46178</v>
      </c>
      <c r="I10" s="9">
        <f>IF(OR($G10="",$H10=""),"",$H10-$G10)</f>
        <v>0</v>
      </c>
    </row>
    <row r="11" spans="1:10">
      <c r="A11" s="7" t="s">
        <v>133</v>
      </c>
      <c r="B11" s="7" t="s">
        <v>134</v>
      </c>
      <c r="C11" s="7" t="s">
        <v>138</v>
      </c>
      <c r="E11" s="7" t="s">
        <v>136</v>
      </c>
      <c r="F11" s="7" t="s">
        <v>25</v>
      </c>
      <c r="G11" s="8">
        <v>46178</v>
      </c>
      <c r="I11" s="9">
        <f>IF(OR($G11="",$H11=""),"",$H11-$G11)</f>
        <v>0</v>
      </c>
    </row>
    <row r="12" spans="1:10">
      <c r="A12" s="7" t="s">
        <v>133</v>
      </c>
      <c r="B12" s="7" t="s">
        <v>134</v>
      </c>
      <c r="C12" s="7" t="s">
        <v>139</v>
      </c>
      <c r="E12" s="7" t="s">
        <v>136</v>
      </c>
      <c r="F12" s="7" t="s">
        <v>25</v>
      </c>
      <c r="G12" s="8">
        <v>46178</v>
      </c>
      <c r="I12" s="9">
        <f>IF(OR($G12="",$H12=""),"",$H12-$G12)</f>
        <v>0</v>
      </c>
    </row>
    <row r="13" spans="1:10">
      <c r="A13" s="7" t="s">
        <v>133</v>
      </c>
      <c r="B13" s="7" t="s">
        <v>134</v>
      </c>
      <c r="C13" s="7" t="s">
        <v>140</v>
      </c>
      <c r="E13" s="7" t="s">
        <v>136</v>
      </c>
      <c r="F13" s="7" t="s">
        <v>25</v>
      </c>
      <c r="G13" s="8">
        <v>46178</v>
      </c>
      <c r="I13" s="9">
        <f>IF(OR($G13="",$H13=""),"",$H13-$G13)</f>
        <v>0</v>
      </c>
    </row>
    <row r="14" spans="1:10">
      <c r="A14" s="7" t="s">
        <v>133</v>
      </c>
      <c r="B14" s="7" t="s">
        <v>134</v>
      </c>
      <c r="C14" s="7" t="s">
        <v>141</v>
      </c>
      <c r="E14" s="7" t="s">
        <v>136</v>
      </c>
      <c r="F14" s="7" t="s">
        <v>25</v>
      </c>
      <c r="G14" s="8">
        <v>46178</v>
      </c>
      <c r="I14" s="9">
        <f>IF(OR($G14="",$H14=""),"",$H14-$G14)</f>
        <v>0</v>
      </c>
    </row>
    <row r="15" spans="1:10">
      <c r="A15" s="7" t="s">
        <v>133</v>
      </c>
      <c r="B15" s="7" t="s">
        <v>134</v>
      </c>
      <c r="C15" s="7" t="s">
        <v>142</v>
      </c>
      <c r="E15" s="7" t="s">
        <v>136</v>
      </c>
      <c r="F15" s="7" t="s">
        <v>25</v>
      </c>
      <c r="G15" s="8">
        <v>46178</v>
      </c>
      <c r="I15" s="9">
        <f>IF(OR($G15="",$H15=""),"",$H15-$G15)</f>
        <v>0</v>
      </c>
    </row>
    <row r="16" spans="1:10">
      <c r="A16" s="7" t="s">
        <v>133</v>
      </c>
      <c r="B16" s="7" t="s">
        <v>134</v>
      </c>
      <c r="C16" s="7" t="s">
        <v>143</v>
      </c>
      <c r="E16" s="7" t="s">
        <v>136</v>
      </c>
      <c r="F16" s="7" t="s">
        <v>25</v>
      </c>
      <c r="G16" s="8">
        <v>46178</v>
      </c>
      <c r="I16" s="9">
        <f>IF(OR($G16="",$H16=""),"",$H16-$G16)</f>
        <v>0</v>
      </c>
    </row>
    <row r="17" spans="1:9">
      <c r="A17" s="7" t="s">
        <v>133</v>
      </c>
      <c r="B17" s="7" t="s">
        <v>134</v>
      </c>
      <c r="C17" s="7" t="s">
        <v>144</v>
      </c>
      <c r="E17" s="7" t="s">
        <v>136</v>
      </c>
      <c r="F17" s="7" t="s">
        <v>25</v>
      </c>
      <c r="G17" s="8">
        <v>46178</v>
      </c>
      <c r="I17" s="9">
        <f>IF(OR($G17="",$H17=""),"",$H17-$G17)</f>
        <v>0</v>
      </c>
    </row>
    <row r="18" spans="1:9">
      <c r="A18" s="7" t="s">
        <v>133</v>
      </c>
      <c r="B18" s="7" t="s">
        <v>134</v>
      </c>
      <c r="C18" s="7" t="s">
        <v>145</v>
      </c>
      <c r="E18" s="7" t="s">
        <v>136</v>
      </c>
      <c r="F18" s="7" t="s">
        <v>25</v>
      </c>
      <c r="G18" s="8">
        <v>46178</v>
      </c>
      <c r="I18" s="9">
        <f>IF(OR($G18="",$H18=""),"",$H18-$G18)</f>
        <v>0</v>
      </c>
    </row>
    <row r="19" spans="1:9">
      <c r="A19" s="7" t="s">
        <v>133</v>
      </c>
      <c r="B19" s="7" t="s">
        <v>134</v>
      </c>
      <c r="C19" s="7" t="s">
        <v>146</v>
      </c>
      <c r="E19" s="7" t="s">
        <v>136</v>
      </c>
      <c r="F19" s="7" t="s">
        <v>25</v>
      </c>
      <c r="G19" s="8">
        <v>46178</v>
      </c>
      <c r="I19" s="9">
        <f>IF(OR($G19="",$H19=""),"",$H19-$G19)</f>
        <v>0</v>
      </c>
    </row>
    <row r="20" spans="1:9">
      <c r="A20" s="7" t="s">
        <v>133</v>
      </c>
      <c r="B20" s="7" t="s">
        <v>134</v>
      </c>
      <c r="C20" s="7" t="s">
        <v>147</v>
      </c>
      <c r="E20" s="7" t="s">
        <v>136</v>
      </c>
      <c r="F20" s="7" t="s">
        <v>25</v>
      </c>
      <c r="G20" s="8">
        <v>46178</v>
      </c>
      <c r="I20" s="9">
        <f>IF(OR($G20="",$H20=""),"",$H20-$G20)</f>
        <v>0</v>
      </c>
    </row>
    <row r="21" spans="1:9">
      <c r="A21" s="7" t="s">
        <v>133</v>
      </c>
      <c r="B21" s="7" t="s">
        <v>134</v>
      </c>
      <c r="C21" s="7" t="s">
        <v>148</v>
      </c>
      <c r="E21" s="7" t="s">
        <v>136</v>
      </c>
      <c r="F21" s="7" t="s">
        <v>25</v>
      </c>
      <c r="G21" s="8">
        <v>46178</v>
      </c>
      <c r="I21" s="9">
        <f>IF(OR($G21="",$H21=""),"",$H21-$G21)</f>
        <v>0</v>
      </c>
    </row>
    <row r="22" spans="1:9">
      <c r="A22" s="7" t="s">
        <v>133</v>
      </c>
      <c r="B22" s="7" t="s">
        <v>134</v>
      </c>
      <c r="C22" s="7" t="s">
        <v>149</v>
      </c>
      <c r="E22" s="7" t="s">
        <v>136</v>
      </c>
      <c r="F22" s="7" t="s">
        <v>25</v>
      </c>
      <c r="G22" s="8">
        <v>46178</v>
      </c>
      <c r="I22" s="9">
        <f>IF(OR($G22="",$H22=""),"",$H22-$G22)</f>
        <v>0</v>
      </c>
    </row>
    <row r="23" spans="1:9">
      <c r="A23" s="7" t="s">
        <v>133</v>
      </c>
      <c r="B23" s="7" t="s">
        <v>134</v>
      </c>
      <c r="C23" s="7" t="s">
        <v>150</v>
      </c>
      <c r="E23" s="7" t="s">
        <v>136</v>
      </c>
      <c r="F23" s="7" t="s">
        <v>25</v>
      </c>
      <c r="G23" s="8">
        <v>46178</v>
      </c>
      <c r="I23" s="9">
        <f>IF(OR($G23="",$H23=""),"",$H23-$G23)</f>
        <v>0</v>
      </c>
    </row>
    <row r="24" spans="1:9">
      <c r="A24" s="7" t="s">
        <v>133</v>
      </c>
      <c r="B24" s="7" t="s">
        <v>134</v>
      </c>
      <c r="C24" s="7" t="s">
        <v>151</v>
      </c>
      <c r="E24" s="7" t="s">
        <v>136</v>
      </c>
      <c r="F24" s="7" t="s">
        <v>25</v>
      </c>
      <c r="G24" s="8">
        <v>46178</v>
      </c>
      <c r="I24" s="9">
        <f>IF(OR($G24="",$H24=""),"",$H24-$G24)</f>
        <v>0</v>
      </c>
    </row>
    <row r="25" spans="1:9">
      <c r="A25" s="7" t="s">
        <v>133</v>
      </c>
      <c r="B25" s="7" t="s">
        <v>134</v>
      </c>
      <c r="C25" s="7" t="s">
        <v>152</v>
      </c>
      <c r="E25" s="7" t="s">
        <v>136</v>
      </c>
      <c r="F25" s="7" t="s">
        <v>25</v>
      </c>
      <c r="G25" s="8">
        <v>46178</v>
      </c>
      <c r="I25" s="9">
        <f>IF(OR($G25="",$H25=""),"",$H25-$G25)</f>
        <v>0</v>
      </c>
    </row>
    <row r="26" spans="1:9">
      <c r="A26" s="7" t="s">
        <v>133</v>
      </c>
      <c r="B26" s="7" t="s">
        <v>134</v>
      </c>
      <c r="C26" s="7" t="s">
        <v>153</v>
      </c>
      <c r="E26" s="7" t="s">
        <v>136</v>
      </c>
      <c r="F26" s="7" t="s">
        <v>25</v>
      </c>
      <c r="G26" s="8">
        <v>46178</v>
      </c>
      <c r="I26" s="9">
        <f>IF(OR($G26="",$H26=""),"",$H26-$G26)</f>
        <v>0</v>
      </c>
    </row>
    <row r="27" spans="1:9">
      <c r="A27" s="7" t="s">
        <v>133</v>
      </c>
      <c r="B27" s="7" t="s">
        <v>134</v>
      </c>
      <c r="C27" s="7" t="s">
        <v>154</v>
      </c>
      <c r="E27" s="7" t="s">
        <v>136</v>
      </c>
      <c r="F27" s="7" t="s">
        <v>25</v>
      </c>
      <c r="G27" s="8">
        <v>46178</v>
      </c>
      <c r="I27" s="9">
        <f>IF(OR($G27="",$H27=""),"",$H27-$G27)</f>
        <v>0</v>
      </c>
    </row>
    <row r="28" spans="1:9">
      <c r="A28" s="7" t="s">
        <v>133</v>
      </c>
      <c r="B28" s="7" t="s">
        <v>134</v>
      </c>
      <c r="C28" s="7" t="s">
        <v>155</v>
      </c>
      <c r="E28" s="7" t="s">
        <v>136</v>
      </c>
      <c r="F28" s="7" t="s">
        <v>25</v>
      </c>
      <c r="G28" s="8">
        <v>46178</v>
      </c>
      <c r="I28" s="9">
        <f>IF(OR($G28="",$H28=""),"",$H28-$G28)</f>
        <v>0</v>
      </c>
    </row>
    <row r="29" spans="1:9">
      <c r="A29" s="7" t="s">
        <v>156</v>
      </c>
      <c r="B29" s="7" t="s">
        <v>157</v>
      </c>
      <c r="C29" s="7" t="s">
        <v>158</v>
      </c>
      <c r="E29" s="7" t="s">
        <v>159</v>
      </c>
      <c r="F29" s="7" t="s">
        <v>25</v>
      </c>
      <c r="G29" s="8">
        <v>46178</v>
      </c>
      <c r="I29" s="9">
        <f>IF(OR($G29="",$H29=""),"",$H29-$G29)</f>
        <v>0</v>
      </c>
    </row>
    <row r="30" spans="1:9">
      <c r="A30" s="7" t="s">
        <v>156</v>
      </c>
      <c r="B30" s="7" t="s">
        <v>157</v>
      </c>
      <c r="C30" s="7" t="s">
        <v>160</v>
      </c>
      <c r="E30" s="7" t="s">
        <v>159</v>
      </c>
      <c r="F30" s="7" t="s">
        <v>25</v>
      </c>
      <c r="G30" s="8">
        <v>46178</v>
      </c>
      <c r="I30" s="9">
        <f>IF(OR($G30="",$H30=""),"",$H30-$G30)</f>
        <v>0</v>
      </c>
    </row>
    <row r="31" spans="1:9">
      <c r="A31" s="7" t="s">
        <v>161</v>
      </c>
      <c r="B31" s="7" t="s">
        <v>161</v>
      </c>
      <c r="C31" s="7" t="s">
        <v>162</v>
      </c>
      <c r="E31" s="7" t="s">
        <v>163</v>
      </c>
      <c r="F31" s="7" t="s">
        <v>25</v>
      </c>
      <c r="G31" s="8">
        <v>46184</v>
      </c>
      <c r="I31" s="9">
        <f>IF(OR($G31="",$H31=""),"",$H31-$G31)</f>
        <v>0</v>
      </c>
    </row>
    <row r="32" spans="1:9">
      <c r="A32" s="7" t="s">
        <v>161</v>
      </c>
      <c r="B32" s="7" t="s">
        <v>161</v>
      </c>
      <c r="C32" s="7" t="s">
        <v>164</v>
      </c>
      <c r="E32" s="7" t="s">
        <v>163</v>
      </c>
      <c r="F32" s="7" t="s">
        <v>25</v>
      </c>
      <c r="G32" s="8">
        <v>46184</v>
      </c>
      <c r="I32" s="9">
        <f>IF(OR($G32="",$H32=""),"",$H32-$G32)</f>
        <v>0</v>
      </c>
    </row>
    <row r="33" spans="1:9">
      <c r="A33" s="7" t="s">
        <v>161</v>
      </c>
      <c r="B33" s="7" t="s">
        <v>161</v>
      </c>
      <c r="C33" s="7" t="s">
        <v>165</v>
      </c>
      <c r="E33" s="7" t="s">
        <v>163</v>
      </c>
      <c r="F33" s="7" t="s">
        <v>25</v>
      </c>
      <c r="G33" s="8">
        <v>46184</v>
      </c>
      <c r="I33" s="9">
        <f>IF(OR($G33="",$H33=""),"",$H33-$G33)</f>
        <v>0</v>
      </c>
    </row>
    <row r="34" spans="1:9">
      <c r="A34" s="7" t="s">
        <v>161</v>
      </c>
      <c r="B34" s="7" t="s">
        <v>161</v>
      </c>
      <c r="C34" s="7" t="s">
        <v>166</v>
      </c>
      <c r="E34" s="7" t="s">
        <v>163</v>
      </c>
      <c r="F34" s="7" t="s">
        <v>25</v>
      </c>
      <c r="G34" s="8">
        <v>46184</v>
      </c>
      <c r="I34" s="9">
        <f>IF(OR($G34="",$H34=""),"",$H34-$G34)</f>
        <v>0</v>
      </c>
    </row>
    <row r="35" spans="1:9">
      <c r="A35" s="7" t="s">
        <v>161</v>
      </c>
      <c r="B35" s="7" t="s">
        <v>161</v>
      </c>
      <c r="C35" s="7" t="s">
        <v>167</v>
      </c>
      <c r="E35" s="7" t="s">
        <v>163</v>
      </c>
      <c r="F35" s="7" t="s">
        <v>25</v>
      </c>
      <c r="G35" s="8">
        <v>46184</v>
      </c>
      <c r="I35" s="9">
        <f>IF(OR($G35="",$H35=""),"",$H35-$G35)</f>
        <v>0</v>
      </c>
    </row>
    <row r="36" spans="1:9">
      <c r="A36" s="7" t="s">
        <v>168</v>
      </c>
      <c r="B36" s="7" t="s">
        <v>169</v>
      </c>
      <c r="C36" s="7" t="s">
        <v>170</v>
      </c>
      <c r="E36" s="7" t="s">
        <v>171</v>
      </c>
      <c r="F36" s="7" t="s">
        <v>25</v>
      </c>
      <c r="G36" s="8">
        <v>46178</v>
      </c>
      <c r="I36" s="9">
        <f>IF(OR($G36="",$H36=""),"",$H36-$G36)</f>
        <v>0</v>
      </c>
    </row>
    <row r="37" spans="1:9">
      <c r="A37" s="7" t="s">
        <v>168</v>
      </c>
      <c r="B37" s="7" t="s">
        <v>169</v>
      </c>
      <c r="C37" s="7" t="s">
        <v>172</v>
      </c>
      <c r="E37" s="7" t="s">
        <v>171</v>
      </c>
      <c r="F37" s="7" t="s">
        <v>25</v>
      </c>
      <c r="G37" s="8">
        <v>46178</v>
      </c>
      <c r="I37" s="9">
        <f>IF(OR($G37="",$H37=""),"",$H37-$G37)</f>
        <v>0</v>
      </c>
    </row>
    <row r="38" spans="1:9">
      <c r="A38" s="7" t="s">
        <v>168</v>
      </c>
      <c r="B38" s="7" t="s">
        <v>169</v>
      </c>
      <c r="C38" s="7" t="s">
        <v>173</v>
      </c>
      <c r="E38" s="7" t="s">
        <v>171</v>
      </c>
      <c r="F38" s="7" t="s">
        <v>25</v>
      </c>
      <c r="G38" s="8">
        <v>46178</v>
      </c>
      <c r="I38" s="9">
        <f>IF(OR($G38="",$H38=""),"",$H38-$G38)</f>
        <v>0</v>
      </c>
    </row>
    <row r="39" spans="1:9">
      <c r="A39" s="7" t="s">
        <v>168</v>
      </c>
      <c r="B39" s="7" t="s">
        <v>169</v>
      </c>
      <c r="C39" s="7" t="s">
        <v>174</v>
      </c>
      <c r="E39" s="7" t="s">
        <v>171</v>
      </c>
      <c r="F39" s="7" t="s">
        <v>25</v>
      </c>
      <c r="G39" s="8">
        <v>46178</v>
      </c>
      <c r="I39" s="9">
        <f>IF(OR($G39="",$H39=""),"",$H39-$G39)</f>
        <v>0</v>
      </c>
    </row>
    <row r="40" spans="1:9">
      <c r="A40" s="7" t="s">
        <v>168</v>
      </c>
      <c r="B40" s="7" t="s">
        <v>169</v>
      </c>
      <c r="C40" s="7" t="s">
        <v>175</v>
      </c>
      <c r="E40" s="7" t="s">
        <v>171</v>
      </c>
      <c r="F40" s="7" t="s">
        <v>25</v>
      </c>
      <c r="G40" s="8">
        <v>46178</v>
      </c>
      <c r="I40" s="9">
        <f>IF(OR($G40="",$H40=""),"",$H40-$G40)</f>
        <v>0</v>
      </c>
    </row>
    <row r="41" spans="1:9">
      <c r="A41" s="7" t="s">
        <v>176</v>
      </c>
      <c r="B41" s="7" t="s">
        <v>177</v>
      </c>
      <c r="C41" s="7" t="s">
        <v>178</v>
      </c>
      <c r="E41" s="7" t="s">
        <v>179</v>
      </c>
      <c r="F41" s="7" t="s">
        <v>61</v>
      </c>
      <c r="G41" s="8">
        <v>46171</v>
      </c>
      <c r="I41" s="9">
        <f>IF(OR($G41="",$H41=""),"",$H41-$G41)</f>
        <v>0</v>
      </c>
    </row>
    <row r="42" spans="1:9">
      <c r="A42" s="7" t="s">
        <v>176</v>
      </c>
      <c r="B42" s="7" t="s">
        <v>177</v>
      </c>
      <c r="C42" s="7" t="s">
        <v>180</v>
      </c>
      <c r="E42" s="7" t="s">
        <v>179</v>
      </c>
      <c r="F42" s="7" t="s">
        <v>61</v>
      </c>
      <c r="G42" s="8">
        <v>46171</v>
      </c>
      <c r="I42" s="9">
        <f>IF(OR($G42="",$H42=""),"",$H42-$G42)</f>
        <v>0</v>
      </c>
    </row>
    <row r="43" spans="1:9">
      <c r="A43" s="7" t="s">
        <v>176</v>
      </c>
      <c r="B43" s="7" t="s">
        <v>177</v>
      </c>
      <c r="C43" s="7" t="s">
        <v>181</v>
      </c>
      <c r="E43" s="7" t="s">
        <v>179</v>
      </c>
      <c r="F43" s="7" t="s">
        <v>61</v>
      </c>
      <c r="G43" s="8">
        <v>46171</v>
      </c>
      <c r="I43" s="9">
        <f>IF(OR($G43="",$H43=""),"",$H43-$G43)</f>
        <v>0</v>
      </c>
    </row>
    <row r="44" spans="1:9">
      <c r="A44" s="7" t="s">
        <v>176</v>
      </c>
      <c r="B44" s="7" t="s">
        <v>177</v>
      </c>
      <c r="C44" s="7" t="s">
        <v>182</v>
      </c>
      <c r="E44" s="7" t="s">
        <v>179</v>
      </c>
      <c r="F44" s="7" t="s">
        <v>61</v>
      </c>
      <c r="G44" s="8">
        <v>46171</v>
      </c>
      <c r="I44" s="9">
        <f>IF(OR($G44="",$H44=""),"",$H44-$G44)</f>
        <v>0</v>
      </c>
    </row>
    <row r="45" spans="1:9">
      <c r="A45" s="7" t="s">
        <v>176</v>
      </c>
      <c r="B45" s="7" t="s">
        <v>177</v>
      </c>
      <c r="C45" s="7" t="s">
        <v>183</v>
      </c>
      <c r="E45" s="7" t="s">
        <v>179</v>
      </c>
      <c r="F45" s="7" t="s">
        <v>61</v>
      </c>
      <c r="G45" s="8">
        <v>46171</v>
      </c>
      <c r="I45" s="9">
        <f>IF(OR($G45="",$H45=""),"",$H45-$G45)</f>
        <v>0</v>
      </c>
    </row>
    <row r="46" spans="1:9">
      <c r="A46" s="7" t="s">
        <v>176</v>
      </c>
      <c r="B46" s="7" t="s">
        <v>177</v>
      </c>
      <c r="C46" s="7" t="s">
        <v>184</v>
      </c>
      <c r="E46" s="7" t="s">
        <v>179</v>
      </c>
      <c r="F46" s="7" t="s">
        <v>61</v>
      </c>
      <c r="G46" s="8">
        <v>46171</v>
      </c>
      <c r="I46" s="9">
        <f>IF(OR($G46="",$H46=""),"",$H46-$G46)</f>
        <v>0</v>
      </c>
    </row>
    <row r="47" spans="1:9">
      <c r="A47" s="7" t="s">
        <v>176</v>
      </c>
      <c r="B47" s="7" t="s">
        <v>177</v>
      </c>
      <c r="C47" s="7" t="s">
        <v>185</v>
      </c>
      <c r="E47" s="7" t="s">
        <v>179</v>
      </c>
      <c r="F47" s="7" t="s">
        <v>61</v>
      </c>
      <c r="G47" s="8">
        <v>46171</v>
      </c>
      <c r="I47" s="9">
        <f>IF(OR($G47="",$H47=""),"",$H47-$G47)</f>
        <v>0</v>
      </c>
    </row>
    <row r="48" spans="1:9">
      <c r="A48" s="7" t="s">
        <v>176</v>
      </c>
      <c r="B48" s="7" t="s">
        <v>177</v>
      </c>
      <c r="C48" s="7" t="s">
        <v>186</v>
      </c>
      <c r="E48" s="7" t="s">
        <v>179</v>
      </c>
      <c r="F48" s="7" t="s">
        <v>61</v>
      </c>
      <c r="G48" s="8">
        <v>46171</v>
      </c>
      <c r="I48" s="9">
        <f>IF(OR($G48="",$H48=""),"",$H48-$G48)</f>
        <v>0</v>
      </c>
    </row>
    <row r="49" spans="1:9">
      <c r="A49" s="7" t="s">
        <v>176</v>
      </c>
      <c r="B49" s="7" t="s">
        <v>177</v>
      </c>
      <c r="C49" s="7" t="s">
        <v>187</v>
      </c>
      <c r="E49" s="7" t="s">
        <v>179</v>
      </c>
      <c r="F49" s="7" t="s">
        <v>61</v>
      </c>
      <c r="G49" s="8">
        <v>46171</v>
      </c>
      <c r="I49" s="9">
        <f>IF(OR($G49="",$H49=""),"",$H49-$G49)</f>
        <v>0</v>
      </c>
    </row>
    <row r="50" spans="1:9">
      <c r="A50" s="7" t="s">
        <v>176</v>
      </c>
      <c r="B50" s="7" t="s">
        <v>177</v>
      </c>
      <c r="C50" s="7" t="s">
        <v>188</v>
      </c>
      <c r="E50" s="7" t="s">
        <v>179</v>
      </c>
      <c r="F50" s="7" t="s">
        <v>61</v>
      </c>
      <c r="G50" s="8">
        <v>46171</v>
      </c>
      <c r="I50" s="9">
        <f>IF(OR($G50="",$H50=""),"",$H50-$G50)</f>
        <v>0</v>
      </c>
    </row>
    <row r="51" spans="1:9">
      <c r="A51" s="7" t="s">
        <v>176</v>
      </c>
      <c r="B51" s="7" t="s">
        <v>177</v>
      </c>
      <c r="C51" s="7" t="s">
        <v>189</v>
      </c>
      <c r="E51" s="7" t="s">
        <v>179</v>
      </c>
      <c r="F51" s="7" t="s">
        <v>61</v>
      </c>
      <c r="G51" s="8">
        <v>46171</v>
      </c>
      <c r="I51" s="9">
        <f>IF(OR($G51="",$H51=""),"",$H51-$G51)</f>
        <v>0</v>
      </c>
    </row>
    <row r="52" spans="1:9">
      <c r="A52" s="7" t="s">
        <v>176</v>
      </c>
      <c r="B52" s="7" t="s">
        <v>177</v>
      </c>
      <c r="C52" s="7" t="s">
        <v>190</v>
      </c>
      <c r="E52" s="7" t="s">
        <v>179</v>
      </c>
      <c r="F52" s="7" t="s">
        <v>61</v>
      </c>
      <c r="G52" s="8">
        <v>46171</v>
      </c>
      <c r="I52" s="9">
        <f>IF(OR($G52="",$H52=""),"",$H52-$G52)</f>
        <v>0</v>
      </c>
    </row>
    <row r="53" spans="1:9">
      <c r="A53" s="7" t="s">
        <v>176</v>
      </c>
      <c r="B53" s="7" t="s">
        <v>177</v>
      </c>
      <c r="C53" s="7" t="s">
        <v>191</v>
      </c>
      <c r="E53" s="7" t="s">
        <v>179</v>
      </c>
      <c r="F53" s="7" t="s">
        <v>61</v>
      </c>
      <c r="G53" s="8">
        <v>46171</v>
      </c>
      <c r="I53" s="9">
        <f>IF(OR($G53="",$H53=""),"",$H53-$G53)</f>
        <v>0</v>
      </c>
    </row>
    <row r="54" spans="1:9">
      <c r="A54" s="7" t="s">
        <v>176</v>
      </c>
      <c r="B54" s="7" t="s">
        <v>177</v>
      </c>
      <c r="C54" s="7" t="s">
        <v>192</v>
      </c>
      <c r="E54" s="7" t="s">
        <v>179</v>
      </c>
      <c r="F54" s="7" t="s">
        <v>61</v>
      </c>
      <c r="G54" s="8">
        <v>46171</v>
      </c>
      <c r="I54" s="9">
        <f>IF(OR($G54="",$H54=""),"",$H54-$G54)</f>
        <v>0</v>
      </c>
    </row>
    <row r="55" spans="1:9">
      <c r="A55" s="7" t="s">
        <v>176</v>
      </c>
      <c r="B55" s="7" t="s">
        <v>177</v>
      </c>
      <c r="C55" s="7" t="s">
        <v>193</v>
      </c>
      <c r="E55" s="7" t="s">
        <v>179</v>
      </c>
      <c r="F55" s="7" t="s">
        <v>61</v>
      </c>
      <c r="G55" s="8">
        <v>46171</v>
      </c>
      <c r="I55" s="9">
        <f>IF(OR($G55="",$H55=""),"",$H55-$G55)</f>
        <v>0</v>
      </c>
    </row>
    <row r="56" spans="1:9">
      <c r="A56" s="7" t="s">
        <v>176</v>
      </c>
      <c r="B56" s="7" t="s">
        <v>177</v>
      </c>
      <c r="C56" s="7" t="s">
        <v>194</v>
      </c>
      <c r="E56" s="7" t="s">
        <v>179</v>
      </c>
      <c r="F56" s="7" t="s">
        <v>61</v>
      </c>
      <c r="G56" s="8">
        <v>46171</v>
      </c>
      <c r="I56" s="9">
        <f>IF(OR($G56="",$H56=""),"",$H56-$G56)</f>
        <v>0</v>
      </c>
    </row>
    <row r="57" spans="1:9">
      <c r="A57" s="7" t="s">
        <v>176</v>
      </c>
      <c r="B57" s="7" t="s">
        <v>177</v>
      </c>
      <c r="C57" s="7" t="s">
        <v>195</v>
      </c>
      <c r="E57" s="7" t="s">
        <v>179</v>
      </c>
      <c r="F57" s="7" t="s">
        <v>61</v>
      </c>
      <c r="G57" s="8">
        <v>46171</v>
      </c>
      <c r="I57" s="9">
        <f>IF(OR($G57="",$H57=""),"",$H57-$G57)</f>
        <v>0</v>
      </c>
    </row>
    <row r="58" spans="1:9">
      <c r="A58" s="7" t="s">
        <v>21</v>
      </c>
      <c r="B58" s="7" t="s">
        <v>196</v>
      </c>
      <c r="C58" s="7" t="s">
        <v>197</v>
      </c>
      <c r="E58" s="7" t="s">
        <v>24</v>
      </c>
      <c r="F58" s="7" t="s">
        <v>25</v>
      </c>
      <c r="G58" s="8">
        <v>46178</v>
      </c>
      <c r="I58" s="9">
        <f>IF(OR($G58="",$H58=""),"",$H58-$G58)</f>
        <v>0</v>
      </c>
    </row>
    <row r="59" spans="1:9">
      <c r="A59" s="7" t="s">
        <v>21</v>
      </c>
      <c r="B59" s="7" t="s">
        <v>196</v>
      </c>
      <c r="C59" s="7" t="s">
        <v>198</v>
      </c>
      <c r="E59" s="7" t="s">
        <v>24</v>
      </c>
      <c r="F59" s="7" t="s">
        <v>25</v>
      </c>
      <c r="G59" s="8">
        <v>46178</v>
      </c>
      <c r="I59" s="9">
        <f>IF(OR($G59="",$H59=""),"",$H59-$G59)</f>
        <v>0</v>
      </c>
    </row>
    <row r="60" spans="1:9">
      <c r="A60" s="7" t="s">
        <v>21</v>
      </c>
      <c r="B60" s="7" t="s">
        <v>196</v>
      </c>
      <c r="C60" s="7" t="s">
        <v>199</v>
      </c>
      <c r="E60" s="7" t="s">
        <v>24</v>
      </c>
      <c r="F60" s="7" t="s">
        <v>25</v>
      </c>
      <c r="G60" s="8">
        <v>46178</v>
      </c>
      <c r="I60" s="9">
        <f>IF(OR($G60="",$H60=""),"",$H60-$G60)</f>
        <v>0</v>
      </c>
    </row>
    <row r="61" spans="1:9">
      <c r="A61" s="7" t="s">
        <v>21</v>
      </c>
      <c r="B61" s="7" t="s">
        <v>196</v>
      </c>
      <c r="C61" s="7" t="s">
        <v>200</v>
      </c>
      <c r="E61" s="7" t="s">
        <v>24</v>
      </c>
      <c r="F61" s="7" t="s">
        <v>25</v>
      </c>
      <c r="G61" s="8">
        <v>46178</v>
      </c>
      <c r="I61" s="9">
        <f>IF(OR($G61="",$H61=""),"",$H61-$G61)</f>
        <v>0</v>
      </c>
    </row>
    <row r="62" spans="1:9">
      <c r="A62" s="7" t="s">
        <v>21</v>
      </c>
      <c r="B62" s="7" t="s">
        <v>196</v>
      </c>
      <c r="C62" s="7" t="s">
        <v>201</v>
      </c>
      <c r="E62" s="7" t="s">
        <v>24</v>
      </c>
      <c r="F62" s="7" t="s">
        <v>25</v>
      </c>
      <c r="G62" s="8">
        <v>46178</v>
      </c>
      <c r="I62" s="9">
        <f>IF(OR($G62="",$H62=""),"",$H62-$G62)</f>
        <v>0</v>
      </c>
    </row>
    <row r="63" spans="1:9">
      <c r="A63" s="7" t="s">
        <v>21</v>
      </c>
      <c r="B63" s="7" t="s">
        <v>196</v>
      </c>
      <c r="C63" s="7" t="s">
        <v>202</v>
      </c>
      <c r="E63" s="7" t="s">
        <v>24</v>
      </c>
      <c r="F63" s="7" t="s">
        <v>25</v>
      </c>
      <c r="G63" s="8">
        <v>46178</v>
      </c>
      <c r="I63" s="9">
        <f>IF(OR($G63="",$H63=""),"",$H63-$G63)</f>
        <v>0</v>
      </c>
    </row>
    <row r="64" spans="1:9">
      <c r="A64" s="7" t="s">
        <v>21</v>
      </c>
      <c r="B64" s="7" t="s">
        <v>196</v>
      </c>
      <c r="C64" s="7" t="s">
        <v>203</v>
      </c>
      <c r="E64" s="7" t="s">
        <v>24</v>
      </c>
      <c r="F64" s="7" t="s">
        <v>25</v>
      </c>
      <c r="G64" s="8">
        <v>46178</v>
      </c>
      <c r="I64" s="9">
        <f>IF(OR($G64="",$H64=""),"",$H64-$G64)</f>
        <v>0</v>
      </c>
    </row>
    <row r="65" spans="1:9">
      <c r="A65" s="7" t="s">
        <v>21</v>
      </c>
      <c r="B65" s="7" t="s">
        <v>196</v>
      </c>
      <c r="C65" s="7" t="s">
        <v>204</v>
      </c>
      <c r="E65" s="7" t="s">
        <v>24</v>
      </c>
      <c r="F65" s="7" t="s">
        <v>25</v>
      </c>
      <c r="G65" s="8">
        <v>46178</v>
      </c>
      <c r="I65" s="9">
        <f>IF(OR($G65="",$H65=""),"",$H65-$G65)</f>
        <v>0</v>
      </c>
    </row>
    <row r="66" spans="1:9">
      <c r="A66" s="7" t="s">
        <v>21</v>
      </c>
      <c r="B66" s="7" t="s">
        <v>196</v>
      </c>
      <c r="C66" s="7" t="s">
        <v>205</v>
      </c>
      <c r="E66" s="7" t="s">
        <v>24</v>
      </c>
      <c r="F66" s="7" t="s">
        <v>25</v>
      </c>
      <c r="G66" s="8">
        <v>46178</v>
      </c>
      <c r="I66" s="9">
        <f>IF(OR($G66="",$H66=""),"",$H66-$G66)</f>
        <v>0</v>
      </c>
    </row>
    <row r="67" spans="1:9">
      <c r="A67" s="7" t="s">
        <v>21</v>
      </c>
      <c r="B67" s="7" t="s">
        <v>196</v>
      </c>
      <c r="C67" s="7" t="s">
        <v>206</v>
      </c>
      <c r="E67" s="7" t="s">
        <v>24</v>
      </c>
      <c r="F67" s="7" t="s">
        <v>25</v>
      </c>
      <c r="G67" s="8">
        <v>46178</v>
      </c>
      <c r="I67" s="9">
        <f>IF(OR($G67="",$H67=""),"",$H67-$G67)</f>
        <v>0</v>
      </c>
    </row>
    <row r="68" spans="1:9">
      <c r="A68" s="7" t="s">
        <v>21</v>
      </c>
      <c r="B68" s="7" t="s">
        <v>196</v>
      </c>
      <c r="C68" s="7" t="s">
        <v>207</v>
      </c>
      <c r="E68" s="7" t="s">
        <v>24</v>
      </c>
      <c r="F68" s="7" t="s">
        <v>25</v>
      </c>
      <c r="G68" s="8">
        <v>46178</v>
      </c>
      <c r="I68" s="9">
        <f>IF(OR($G68="",$H68=""),"",$H68-$G68)</f>
        <v>0</v>
      </c>
    </row>
    <row r="69" spans="1:9">
      <c r="A69" s="7" t="s">
        <v>21</v>
      </c>
      <c r="B69" s="7" t="s">
        <v>196</v>
      </c>
      <c r="C69" s="7" t="s">
        <v>208</v>
      </c>
      <c r="E69" s="7" t="s">
        <v>24</v>
      </c>
      <c r="F69" s="7" t="s">
        <v>25</v>
      </c>
      <c r="G69" s="8">
        <v>46178</v>
      </c>
      <c r="I69" s="9">
        <f>IF(OR($G69="",$H69=""),"",$H69-$G69)</f>
        <v>0</v>
      </c>
    </row>
    <row r="70" spans="1:9">
      <c r="A70" s="7" t="s">
        <v>21</v>
      </c>
      <c r="B70" s="7" t="s">
        <v>196</v>
      </c>
      <c r="C70" s="7" t="s">
        <v>209</v>
      </c>
      <c r="E70" s="7" t="s">
        <v>24</v>
      </c>
      <c r="F70" s="7" t="s">
        <v>25</v>
      </c>
      <c r="G70" s="8">
        <v>46178</v>
      </c>
      <c r="I70" s="9">
        <f>IF(OR($G70="",$H70=""),"",$H70-$G70)</f>
        <v>0</v>
      </c>
    </row>
    <row r="71" spans="1:9">
      <c r="A71" s="7" t="s">
        <v>21</v>
      </c>
      <c r="B71" s="7" t="s">
        <v>196</v>
      </c>
      <c r="C71" s="7" t="s">
        <v>210</v>
      </c>
      <c r="E71" s="7" t="s">
        <v>24</v>
      </c>
      <c r="F71" s="7" t="s">
        <v>25</v>
      </c>
      <c r="G71" s="8">
        <v>46178</v>
      </c>
      <c r="I71" s="9">
        <f>IF(OR($G71="",$H71=""),"",$H71-$G71)</f>
        <v>0</v>
      </c>
    </row>
    <row r="72" spans="1:9">
      <c r="A72" s="7" t="s">
        <v>21</v>
      </c>
      <c r="B72" s="7" t="s">
        <v>196</v>
      </c>
      <c r="C72" s="7" t="s">
        <v>211</v>
      </c>
      <c r="E72" s="7" t="s">
        <v>24</v>
      </c>
      <c r="F72" s="7" t="s">
        <v>25</v>
      </c>
      <c r="G72" s="8">
        <v>46178</v>
      </c>
      <c r="I72" s="9">
        <f>IF(OR($G72="",$H72=""),"",$H72-$G72)</f>
        <v>0</v>
      </c>
    </row>
    <row r="73" spans="1:9">
      <c r="A73" s="7" t="s">
        <v>21</v>
      </c>
      <c r="B73" s="7" t="s">
        <v>196</v>
      </c>
      <c r="C73" s="7" t="s">
        <v>212</v>
      </c>
      <c r="E73" s="7" t="s">
        <v>24</v>
      </c>
      <c r="F73" s="7" t="s">
        <v>25</v>
      </c>
      <c r="G73" s="8">
        <v>46178</v>
      </c>
      <c r="I73" s="9">
        <f>IF(OR($G73="",$H73=""),"",$H73-$G73)</f>
        <v>0</v>
      </c>
    </row>
    <row r="74" spans="1:9">
      <c r="A74" s="7" t="s">
        <v>21</v>
      </c>
      <c r="B74" s="7" t="s">
        <v>196</v>
      </c>
      <c r="C74" s="7" t="s">
        <v>213</v>
      </c>
      <c r="E74" s="7" t="s">
        <v>24</v>
      </c>
      <c r="F74" s="7" t="s">
        <v>25</v>
      </c>
      <c r="G74" s="8">
        <v>46178</v>
      </c>
      <c r="I74" s="9">
        <f>IF(OR($G74="",$H74=""),"",$H74-$G74)</f>
        <v>0</v>
      </c>
    </row>
    <row r="75" spans="1:9">
      <c r="A75" s="7" t="s">
        <v>21</v>
      </c>
      <c r="B75" s="7" t="s">
        <v>196</v>
      </c>
      <c r="C75" s="7" t="s">
        <v>214</v>
      </c>
      <c r="E75" s="7" t="s">
        <v>24</v>
      </c>
      <c r="F75" s="7" t="s">
        <v>25</v>
      </c>
      <c r="G75" s="8">
        <v>46178</v>
      </c>
      <c r="I75" s="9">
        <f>IF(OR($G75="",$H75=""),"",$H75-$G75)</f>
        <v>0</v>
      </c>
    </row>
    <row r="76" spans="1:9">
      <c r="A76" s="7" t="s">
        <v>21</v>
      </c>
      <c r="B76" s="7" t="s">
        <v>196</v>
      </c>
      <c r="C76" s="7" t="s">
        <v>215</v>
      </c>
      <c r="E76" s="7" t="s">
        <v>24</v>
      </c>
      <c r="F76" s="7" t="s">
        <v>25</v>
      </c>
      <c r="G76" s="8">
        <v>46178</v>
      </c>
      <c r="I76" s="9">
        <f>IF(OR($G76="",$H76=""),"",$H76-$G76)</f>
        <v>0</v>
      </c>
    </row>
    <row r="77" spans="1:9">
      <c r="A77" s="7" t="s">
        <v>21</v>
      </c>
      <c r="B77" s="7" t="s">
        <v>196</v>
      </c>
      <c r="C77" s="7" t="s">
        <v>216</v>
      </c>
      <c r="E77" s="7" t="s">
        <v>24</v>
      </c>
      <c r="F77" s="7" t="s">
        <v>25</v>
      </c>
      <c r="G77" s="8">
        <v>46178</v>
      </c>
      <c r="I77" s="9">
        <f>IF(OR($G77="",$H77=""),"",$H77-$G77)</f>
        <v>0</v>
      </c>
    </row>
    <row r="78" spans="1:9">
      <c r="A78" s="7" t="s">
        <v>21</v>
      </c>
      <c r="B78" s="7" t="s">
        <v>217</v>
      </c>
      <c r="C78" s="7" t="s">
        <v>218</v>
      </c>
      <c r="E78" s="7" t="s">
        <v>219</v>
      </c>
      <c r="F78" s="7" t="s">
        <v>25</v>
      </c>
      <c r="G78" s="8">
        <v>46178</v>
      </c>
      <c r="I78" s="9">
        <f>IF(OR($G78="",$H78=""),"",$H78-$G78)</f>
        <v>0</v>
      </c>
    </row>
    <row r="79" spans="1:9">
      <c r="A79" s="7" t="s">
        <v>21</v>
      </c>
      <c r="B79" s="7" t="s">
        <v>217</v>
      </c>
      <c r="C79" s="7" t="s">
        <v>220</v>
      </c>
      <c r="E79" s="7" t="s">
        <v>219</v>
      </c>
      <c r="F79" s="7" t="s">
        <v>25</v>
      </c>
      <c r="G79" s="8">
        <v>46178</v>
      </c>
      <c r="I79" s="9">
        <f>IF(OR($G79="",$H79=""),"",$H79-$G79)</f>
        <v>0</v>
      </c>
    </row>
    <row r="80" spans="1:9">
      <c r="A80" s="7" t="s">
        <v>21</v>
      </c>
      <c r="B80" s="7" t="s">
        <v>217</v>
      </c>
      <c r="C80" s="7" t="s">
        <v>221</v>
      </c>
      <c r="E80" s="7" t="s">
        <v>219</v>
      </c>
      <c r="F80" s="7" t="s">
        <v>25</v>
      </c>
      <c r="G80" s="8">
        <v>46178</v>
      </c>
      <c r="I80" s="9">
        <f>IF(OR($G80="",$H80=""),"",$H80-$G80)</f>
        <v>0</v>
      </c>
    </row>
    <row r="81" spans="1:9">
      <c r="A81" s="7" t="s">
        <v>21</v>
      </c>
      <c r="B81" s="7" t="s">
        <v>217</v>
      </c>
      <c r="C81" s="7" t="s">
        <v>222</v>
      </c>
      <c r="E81" s="7" t="s">
        <v>219</v>
      </c>
      <c r="F81" s="7" t="s">
        <v>25</v>
      </c>
      <c r="G81" s="8">
        <v>46178</v>
      </c>
      <c r="I81" s="9">
        <f>IF(OR($G81="",$H81=""),"",$H81-$G81)</f>
        <v>0</v>
      </c>
    </row>
    <row r="82" spans="1:9">
      <c r="A82" s="7" t="s">
        <v>21</v>
      </c>
      <c r="B82" s="7" t="s">
        <v>217</v>
      </c>
      <c r="C82" s="7" t="s">
        <v>223</v>
      </c>
      <c r="E82" s="7" t="s">
        <v>219</v>
      </c>
      <c r="F82" s="7" t="s">
        <v>25</v>
      </c>
      <c r="G82" s="8">
        <v>46178</v>
      </c>
      <c r="I82" s="9">
        <f>IF(OR($G82="",$H82=""),"",$H82-$G82)</f>
        <v>0</v>
      </c>
    </row>
    <row r="83" spans="1:9">
      <c r="A83" s="7" t="s">
        <v>21</v>
      </c>
      <c r="B83" s="7" t="s">
        <v>217</v>
      </c>
      <c r="C83" s="7" t="s">
        <v>224</v>
      </c>
      <c r="E83" s="7" t="s">
        <v>219</v>
      </c>
      <c r="F83" s="7" t="s">
        <v>25</v>
      </c>
      <c r="G83" s="8">
        <v>46178</v>
      </c>
      <c r="I83" s="9">
        <f>IF(OR($G83="",$H83=""),"",$H83-$G83)</f>
        <v>0</v>
      </c>
    </row>
    <row r="84" spans="1:9">
      <c r="A84" s="7" t="s">
        <v>21</v>
      </c>
      <c r="B84" s="7" t="s">
        <v>217</v>
      </c>
      <c r="C84" s="7" t="s">
        <v>225</v>
      </c>
      <c r="E84" s="7" t="s">
        <v>219</v>
      </c>
      <c r="F84" s="7" t="s">
        <v>25</v>
      </c>
      <c r="G84" s="8">
        <v>46178</v>
      </c>
      <c r="I84" s="9">
        <f>IF(OR($G84="",$H84=""),"",$H84-$G84)</f>
        <v>0</v>
      </c>
    </row>
    <row r="85" spans="1:9">
      <c r="A85" s="7" t="s">
        <v>21</v>
      </c>
      <c r="B85" s="7" t="s">
        <v>217</v>
      </c>
      <c r="C85" s="7" t="s">
        <v>226</v>
      </c>
      <c r="E85" s="7" t="s">
        <v>219</v>
      </c>
      <c r="F85" s="7" t="s">
        <v>25</v>
      </c>
      <c r="G85" s="8">
        <v>46178</v>
      </c>
      <c r="I85" s="9">
        <f>IF(OR($G85="",$H85=""),"",$H85-$G85)</f>
        <v>0</v>
      </c>
    </row>
    <row r="86" spans="1:9">
      <c r="A86" s="7" t="s">
        <v>21</v>
      </c>
      <c r="B86" s="7" t="s">
        <v>217</v>
      </c>
      <c r="C86" s="7" t="s">
        <v>227</v>
      </c>
      <c r="E86" s="7" t="s">
        <v>219</v>
      </c>
      <c r="F86" s="7" t="s">
        <v>25</v>
      </c>
      <c r="G86" s="8">
        <v>46178</v>
      </c>
      <c r="I86" s="9">
        <f>IF(OR($G86="",$H86=""),"",$H86-$G86)</f>
        <v>0</v>
      </c>
    </row>
    <row r="87" spans="1:9">
      <c r="A87" s="7" t="s">
        <v>21</v>
      </c>
      <c r="B87" s="7" t="s">
        <v>217</v>
      </c>
      <c r="C87" s="7" t="s">
        <v>228</v>
      </c>
      <c r="E87" s="7" t="s">
        <v>219</v>
      </c>
      <c r="F87" s="7" t="s">
        <v>25</v>
      </c>
      <c r="G87" s="8">
        <v>46178</v>
      </c>
      <c r="I87" s="9">
        <f>IF(OR($G87="",$H87=""),"",$H87-$G87)</f>
        <v>0</v>
      </c>
    </row>
    <row r="88" spans="1:9">
      <c r="A88" s="7" t="s">
        <v>21</v>
      </c>
      <c r="B88" s="7" t="s">
        <v>217</v>
      </c>
      <c r="C88" s="7" t="s">
        <v>229</v>
      </c>
      <c r="E88" s="7" t="s">
        <v>219</v>
      </c>
      <c r="F88" s="7" t="s">
        <v>25</v>
      </c>
      <c r="G88" s="8">
        <v>46178</v>
      </c>
      <c r="I88" s="9">
        <f>IF(OR($G88="",$H88=""),"",$H88-$G88)</f>
        <v>0</v>
      </c>
    </row>
    <row r="89" spans="1:9">
      <c r="A89" s="7" t="s">
        <v>21</v>
      </c>
      <c r="B89" s="7" t="s">
        <v>217</v>
      </c>
      <c r="C89" s="7" t="s">
        <v>230</v>
      </c>
      <c r="E89" s="7" t="s">
        <v>219</v>
      </c>
      <c r="F89" s="7" t="s">
        <v>25</v>
      </c>
      <c r="G89" s="8">
        <v>46178</v>
      </c>
      <c r="I89" s="9">
        <f>IF(OR($G89="",$H89=""),"",$H89-$G89)</f>
        <v>0</v>
      </c>
    </row>
    <row r="90" spans="1:9">
      <c r="A90" s="7" t="s">
        <v>21</v>
      </c>
      <c r="B90" s="7" t="s">
        <v>217</v>
      </c>
      <c r="C90" s="7" t="s">
        <v>231</v>
      </c>
      <c r="E90" s="7" t="s">
        <v>219</v>
      </c>
      <c r="F90" s="7" t="s">
        <v>25</v>
      </c>
      <c r="G90" s="8">
        <v>46178</v>
      </c>
      <c r="I90" s="9">
        <f>IF(OR($G90="",$H90=""),"",$H90-$G90)</f>
        <v>0</v>
      </c>
    </row>
    <row r="91" spans="1:9">
      <c r="A91" s="7" t="s">
        <v>21</v>
      </c>
      <c r="B91" s="7" t="s">
        <v>217</v>
      </c>
      <c r="C91" s="7" t="s">
        <v>232</v>
      </c>
      <c r="E91" s="7" t="s">
        <v>219</v>
      </c>
      <c r="F91" s="7" t="s">
        <v>25</v>
      </c>
      <c r="G91" s="8">
        <v>46178</v>
      </c>
      <c r="I91" s="9">
        <f>IF(OR($G91="",$H91=""),"",$H91-$G91)</f>
        <v>0</v>
      </c>
    </row>
    <row r="92" spans="1:9">
      <c r="A92" s="7" t="s">
        <v>21</v>
      </c>
      <c r="B92" s="7" t="s">
        <v>217</v>
      </c>
      <c r="C92" s="7" t="s">
        <v>233</v>
      </c>
      <c r="E92" s="7" t="s">
        <v>219</v>
      </c>
      <c r="F92" s="7" t="s">
        <v>25</v>
      </c>
      <c r="G92" s="8">
        <v>46178</v>
      </c>
      <c r="I92" s="9">
        <f>IF(OR($G92="",$H92=""),"",$H92-$G92)</f>
        <v>0</v>
      </c>
    </row>
    <row r="93" spans="1:9">
      <c r="A93" s="7" t="s">
        <v>21</v>
      </c>
      <c r="B93" s="7" t="s">
        <v>217</v>
      </c>
      <c r="C93" s="7" t="s">
        <v>234</v>
      </c>
      <c r="E93" s="7" t="s">
        <v>219</v>
      </c>
      <c r="F93" s="7" t="s">
        <v>25</v>
      </c>
      <c r="G93" s="8">
        <v>46178</v>
      </c>
      <c r="I93" s="9">
        <f>IF(OR($G93="",$H93=""),"",$H93-$G93)</f>
        <v>0</v>
      </c>
    </row>
    <row r="94" spans="1:9">
      <c r="A94" s="7" t="s">
        <v>21</v>
      </c>
      <c r="B94" s="7" t="s">
        <v>217</v>
      </c>
      <c r="C94" s="7" t="s">
        <v>235</v>
      </c>
      <c r="E94" s="7" t="s">
        <v>219</v>
      </c>
      <c r="F94" s="7" t="s">
        <v>25</v>
      </c>
      <c r="G94" s="8">
        <v>46178</v>
      </c>
      <c r="I94" s="9">
        <f>IF(OR($G94="",$H94=""),"",$H94-$G94)</f>
        <v>0</v>
      </c>
    </row>
    <row r="95" spans="1:9">
      <c r="A95" s="7" t="s">
        <v>21</v>
      </c>
      <c r="B95" s="7" t="s">
        <v>217</v>
      </c>
      <c r="C95" s="7" t="s">
        <v>236</v>
      </c>
      <c r="E95" s="7" t="s">
        <v>219</v>
      </c>
      <c r="F95" s="7" t="s">
        <v>25</v>
      </c>
      <c r="G95" s="8">
        <v>46178</v>
      </c>
      <c r="I95" s="9">
        <f>IF(OR($G95="",$H95=""),"",$H95-$G95)</f>
        <v>0</v>
      </c>
    </row>
    <row r="96" spans="1:9">
      <c r="A96" s="7" t="s">
        <v>21</v>
      </c>
      <c r="B96" s="7" t="s">
        <v>217</v>
      </c>
      <c r="C96" s="7" t="s">
        <v>237</v>
      </c>
      <c r="E96" s="7" t="s">
        <v>219</v>
      </c>
      <c r="F96" s="7" t="s">
        <v>25</v>
      </c>
      <c r="G96" s="8">
        <v>46178</v>
      </c>
      <c r="I96" s="9">
        <f>IF(OR($G96="",$H96=""),"",$H96-$G96)</f>
        <v>0</v>
      </c>
    </row>
    <row r="97" spans="1:9">
      <c r="A97" s="7" t="s">
        <v>21</v>
      </c>
      <c r="B97" s="7" t="s">
        <v>217</v>
      </c>
      <c r="C97" s="7" t="s">
        <v>238</v>
      </c>
      <c r="E97" s="7" t="s">
        <v>219</v>
      </c>
      <c r="F97" s="7" t="s">
        <v>25</v>
      </c>
      <c r="G97" s="8">
        <v>46178</v>
      </c>
      <c r="I97" s="9">
        <f>IF(OR($G97="",$H97=""),"",$H97-$G97)</f>
        <v>0</v>
      </c>
    </row>
    <row r="98" spans="1:9">
      <c r="A98" s="7" t="s">
        <v>21</v>
      </c>
      <c r="B98" s="7" t="s">
        <v>217</v>
      </c>
      <c r="C98" s="7" t="s">
        <v>239</v>
      </c>
      <c r="E98" s="7" t="s">
        <v>219</v>
      </c>
      <c r="F98" s="7" t="s">
        <v>25</v>
      </c>
      <c r="G98" s="8">
        <v>46178</v>
      </c>
      <c r="I98" s="9">
        <f>IF(OR($G98="",$H98=""),"",$H98-$G98)</f>
        <v>0</v>
      </c>
    </row>
    <row r="99" spans="1:9">
      <c r="A99" s="7" t="s">
        <v>21</v>
      </c>
      <c r="B99" s="7" t="s">
        <v>217</v>
      </c>
      <c r="C99" s="7" t="s">
        <v>240</v>
      </c>
      <c r="E99" s="7" t="s">
        <v>219</v>
      </c>
      <c r="F99" s="7" t="s">
        <v>25</v>
      </c>
      <c r="G99" s="8">
        <v>46178</v>
      </c>
      <c r="I99" s="9">
        <f>IF(OR($G99="",$H99=""),"",$H99-$G99)</f>
        <v>0</v>
      </c>
    </row>
    <row r="100" spans="1:9">
      <c r="A100" s="7" t="s">
        <v>21</v>
      </c>
      <c r="B100" s="7" t="s">
        <v>217</v>
      </c>
      <c r="C100" s="7" t="s">
        <v>241</v>
      </c>
      <c r="E100" s="7" t="s">
        <v>219</v>
      </c>
      <c r="F100" s="7" t="s">
        <v>25</v>
      </c>
      <c r="G100" s="8">
        <v>46178</v>
      </c>
      <c r="I100" s="9">
        <f>IF(OR($G100="",$H100=""),"",$H100-$G100)</f>
        <v>0</v>
      </c>
    </row>
    <row r="101" spans="1:9">
      <c r="A101" s="7" t="s">
        <v>21</v>
      </c>
      <c r="B101" s="7" t="s">
        <v>217</v>
      </c>
      <c r="C101" s="7" t="s">
        <v>242</v>
      </c>
      <c r="E101" s="7" t="s">
        <v>219</v>
      </c>
      <c r="F101" s="7" t="s">
        <v>25</v>
      </c>
      <c r="G101" s="8">
        <v>46178</v>
      </c>
      <c r="I101" s="9">
        <f>IF(OR($G101="",$H101=""),"",$H101-$G101)</f>
        <v>0</v>
      </c>
    </row>
    <row r="102" spans="1:9">
      <c r="A102" s="7" t="s">
        <v>21</v>
      </c>
      <c r="B102" s="7" t="s">
        <v>217</v>
      </c>
      <c r="C102" s="7" t="s">
        <v>243</v>
      </c>
      <c r="E102" s="7" t="s">
        <v>219</v>
      </c>
      <c r="F102" s="7" t="s">
        <v>25</v>
      </c>
      <c r="G102" s="8">
        <v>46178</v>
      </c>
      <c r="I102" s="9">
        <f>IF(OR($G102="",$H102=""),"",$H102-$G102)</f>
        <v>0</v>
      </c>
    </row>
    <row r="103" spans="1:9">
      <c r="A103" s="7" t="s">
        <v>21</v>
      </c>
      <c r="B103" s="7" t="s">
        <v>217</v>
      </c>
      <c r="C103" s="7" t="s">
        <v>244</v>
      </c>
      <c r="E103" s="7" t="s">
        <v>219</v>
      </c>
      <c r="F103" s="7" t="s">
        <v>25</v>
      </c>
      <c r="G103" s="8">
        <v>46178</v>
      </c>
      <c r="I103" s="9">
        <f>IF(OR($G103="",$H103=""),"",$H103-$G103)</f>
        <v>0</v>
      </c>
    </row>
    <row r="104" spans="1:9">
      <c r="A104" s="7" t="s">
        <v>21</v>
      </c>
      <c r="B104" s="7" t="s">
        <v>217</v>
      </c>
      <c r="C104" s="7" t="s">
        <v>245</v>
      </c>
      <c r="E104" s="7" t="s">
        <v>219</v>
      </c>
      <c r="F104" s="7" t="s">
        <v>25</v>
      </c>
      <c r="G104" s="8">
        <v>46178</v>
      </c>
      <c r="I104" s="9">
        <f>IF(OR($G104="",$H104=""),"",$H104-$G104)</f>
        <v>0</v>
      </c>
    </row>
    <row r="105" spans="1:9">
      <c r="A105" s="7" t="s">
        <v>21</v>
      </c>
      <c r="B105" s="7" t="s">
        <v>217</v>
      </c>
      <c r="C105" s="7" t="s">
        <v>246</v>
      </c>
      <c r="E105" s="7" t="s">
        <v>219</v>
      </c>
      <c r="F105" s="7" t="s">
        <v>25</v>
      </c>
      <c r="G105" s="8">
        <v>46178</v>
      </c>
      <c r="I105" s="9">
        <f>IF(OR($G105="",$H105=""),"",$H105-$G105)</f>
        <v>0</v>
      </c>
    </row>
    <row r="106" spans="1:9">
      <c r="A106" s="7" t="s">
        <v>21</v>
      </c>
      <c r="B106" s="7" t="s">
        <v>217</v>
      </c>
      <c r="C106" s="7" t="s">
        <v>247</v>
      </c>
      <c r="E106" s="7" t="s">
        <v>219</v>
      </c>
      <c r="F106" s="7" t="s">
        <v>25</v>
      </c>
      <c r="G106" s="8">
        <v>46178</v>
      </c>
      <c r="I106" s="9">
        <f>IF(OR($G106="",$H106=""),"",$H106-$G106)</f>
        <v>0</v>
      </c>
    </row>
    <row r="107" spans="1:9">
      <c r="A107" s="7" t="s">
        <v>21</v>
      </c>
      <c r="B107" s="7" t="s">
        <v>217</v>
      </c>
      <c r="C107" s="7" t="s">
        <v>248</v>
      </c>
      <c r="E107" s="7" t="s">
        <v>219</v>
      </c>
      <c r="F107" s="7" t="s">
        <v>25</v>
      </c>
      <c r="G107" s="8">
        <v>46178</v>
      </c>
      <c r="I107" s="9">
        <f>IF(OR($G107="",$H107=""),"",$H107-$G107)</f>
        <v>0</v>
      </c>
    </row>
    <row r="108" spans="1:9">
      <c r="A108" s="7" t="s">
        <v>21</v>
      </c>
      <c r="B108" s="7" t="s">
        <v>217</v>
      </c>
      <c r="C108" s="7" t="s">
        <v>249</v>
      </c>
      <c r="E108" s="7" t="s">
        <v>219</v>
      </c>
      <c r="F108" s="7" t="s">
        <v>25</v>
      </c>
      <c r="G108" s="8">
        <v>46178</v>
      </c>
      <c r="I108" s="9">
        <f>IF(OR($G108="",$H108=""),"",$H108-$G108)</f>
        <v>0</v>
      </c>
    </row>
    <row r="109" spans="1:9">
      <c r="A109" s="7" t="s">
        <v>21</v>
      </c>
      <c r="B109" s="7" t="s">
        <v>217</v>
      </c>
      <c r="C109" s="7" t="s">
        <v>250</v>
      </c>
      <c r="E109" s="7" t="s">
        <v>219</v>
      </c>
      <c r="F109" s="7" t="s">
        <v>25</v>
      </c>
      <c r="G109" s="8">
        <v>46178</v>
      </c>
      <c r="I109" s="9">
        <f>IF(OR($G109="",$H109=""),"",$H109-$G109)</f>
        <v>0</v>
      </c>
    </row>
    <row r="110" spans="1:9">
      <c r="A110" s="7" t="s">
        <v>46</v>
      </c>
      <c r="B110" s="7" t="s">
        <v>251</v>
      </c>
      <c r="C110" s="7" t="s">
        <v>252</v>
      </c>
      <c r="E110" s="7" t="s">
        <v>253</v>
      </c>
      <c r="F110" s="7" t="s">
        <v>51</v>
      </c>
      <c r="G110" s="8">
        <v>46188</v>
      </c>
      <c r="I110" s="9">
        <f>IF(OR($G110="",$H110=""),"",$H110-$G110)</f>
        <v>0</v>
      </c>
    </row>
    <row r="111" spans="1:9">
      <c r="A111" s="7" t="s">
        <v>46</v>
      </c>
      <c r="B111" s="7" t="s">
        <v>251</v>
      </c>
      <c r="C111" s="7" t="s">
        <v>254</v>
      </c>
      <c r="E111" s="7" t="s">
        <v>253</v>
      </c>
      <c r="F111" s="7" t="s">
        <v>51</v>
      </c>
      <c r="G111" s="8">
        <v>46188</v>
      </c>
      <c r="I111" s="9">
        <f>IF(OR($G111="",$H111=""),"",$H111-$G111)</f>
        <v>0</v>
      </c>
    </row>
    <row r="112" spans="1:9">
      <c r="A112" s="7" t="s">
        <v>46</v>
      </c>
      <c r="B112" s="7" t="s">
        <v>251</v>
      </c>
      <c r="C112" s="7" t="s">
        <v>255</v>
      </c>
      <c r="E112" s="7" t="s">
        <v>253</v>
      </c>
      <c r="F112" s="7" t="s">
        <v>51</v>
      </c>
      <c r="G112" s="8">
        <v>46188</v>
      </c>
      <c r="I112" s="9">
        <f>IF(OR($G112="",$H112=""),"",$H112-$G112)</f>
        <v>0</v>
      </c>
    </row>
    <row r="113" spans="1:9">
      <c r="A113" s="7" t="s">
        <v>256</v>
      </c>
      <c r="B113" s="7" t="s">
        <v>257</v>
      </c>
      <c r="C113" s="7" t="s">
        <v>258</v>
      </c>
      <c r="E113" s="7" t="s">
        <v>256</v>
      </c>
      <c r="F113" s="7" t="s">
        <v>25</v>
      </c>
      <c r="G113" s="8">
        <v>46188</v>
      </c>
      <c r="I113" s="9">
        <f>IF(OR($G113="",$H113=""),"",$H113-$G113)</f>
        <v>0</v>
      </c>
    </row>
    <row r="114" spans="1:9">
      <c r="A114" s="7" t="s">
        <v>256</v>
      </c>
      <c r="B114" s="7" t="s">
        <v>257</v>
      </c>
      <c r="C114" s="7" t="s">
        <v>259</v>
      </c>
      <c r="E114" s="7" t="s">
        <v>256</v>
      </c>
      <c r="F114" s="7" t="s">
        <v>25</v>
      </c>
      <c r="G114" s="8">
        <v>46188</v>
      </c>
      <c r="I114" s="9">
        <f>IF(OR($G114="",$H114=""),"",$H114-$G114)</f>
        <v>0</v>
      </c>
    </row>
    <row r="115" spans="1:9">
      <c r="A115" s="7" t="s">
        <v>256</v>
      </c>
      <c r="B115" s="7" t="s">
        <v>257</v>
      </c>
      <c r="C115" s="7" t="s">
        <v>260</v>
      </c>
      <c r="E115" s="7" t="s">
        <v>256</v>
      </c>
      <c r="F115" s="7" t="s">
        <v>25</v>
      </c>
      <c r="G115" s="8">
        <v>46188</v>
      </c>
      <c r="I115" s="9">
        <f>IF(OR($G115="",$H115=""),"",$H115-$G115)</f>
        <v>0</v>
      </c>
    </row>
    <row r="116" spans="1:9">
      <c r="A116" s="7" t="s">
        <v>256</v>
      </c>
      <c r="B116" s="7" t="s">
        <v>261</v>
      </c>
      <c r="C116" s="7" t="s">
        <v>262</v>
      </c>
      <c r="E116" s="7" t="s">
        <v>256</v>
      </c>
      <c r="F116" s="7" t="s">
        <v>25</v>
      </c>
      <c r="G116" s="8">
        <v>46188</v>
      </c>
      <c r="I116" s="9">
        <f>IF(OR($G116="",$H116=""),"",$H116-$G116)</f>
        <v>0</v>
      </c>
    </row>
    <row r="117" spans="1:9">
      <c r="A117" s="7" t="s">
        <v>256</v>
      </c>
      <c r="B117" s="7" t="s">
        <v>261</v>
      </c>
      <c r="C117" s="7" t="s">
        <v>263</v>
      </c>
      <c r="E117" s="7" t="s">
        <v>256</v>
      </c>
      <c r="F117" s="7" t="s">
        <v>25</v>
      </c>
      <c r="G117" s="8">
        <v>46188</v>
      </c>
      <c r="I117" s="9">
        <f>IF(OR($G117="",$H117=""),"",$H117-$G117)</f>
        <v>0</v>
      </c>
    </row>
    <row r="118" spans="1:9">
      <c r="A118" s="7" t="s">
        <v>256</v>
      </c>
      <c r="B118" s="7" t="s">
        <v>261</v>
      </c>
      <c r="C118" s="7" t="s">
        <v>264</v>
      </c>
      <c r="E118" s="7" t="s">
        <v>256</v>
      </c>
      <c r="F118" s="7" t="s">
        <v>25</v>
      </c>
      <c r="G118" s="8">
        <v>46188</v>
      </c>
      <c r="I118" s="9">
        <f>IF(OR($G118="",$H118=""),"",$H118-$G118)</f>
        <v>0</v>
      </c>
    </row>
    <row r="119" spans="1:9">
      <c r="A119" s="7" t="s">
        <v>256</v>
      </c>
      <c r="B119" s="7" t="s">
        <v>261</v>
      </c>
      <c r="C119" s="7" t="s">
        <v>265</v>
      </c>
      <c r="E119" s="7" t="s">
        <v>256</v>
      </c>
      <c r="F119" s="7" t="s">
        <v>25</v>
      </c>
      <c r="G119" s="8">
        <v>46188</v>
      </c>
      <c r="I119" s="9">
        <f>IF(OR($G119="",$H119=""),"",$H119-$G119)</f>
        <v>0</v>
      </c>
    </row>
    <row r="120" spans="1:9">
      <c r="A120" s="7" t="s">
        <v>256</v>
      </c>
      <c r="B120" s="7" t="s">
        <v>261</v>
      </c>
      <c r="C120" s="7" t="s">
        <v>266</v>
      </c>
      <c r="E120" s="7" t="s">
        <v>256</v>
      </c>
      <c r="F120" s="7" t="s">
        <v>25</v>
      </c>
      <c r="G120" s="8">
        <v>46188</v>
      </c>
      <c r="I120" s="9">
        <f>IF(OR($G120="",$H120=""),"",$H120-$G120)</f>
        <v>0</v>
      </c>
    </row>
    <row r="121" spans="1:9">
      <c r="A121" s="7" t="s">
        <v>256</v>
      </c>
      <c r="B121" s="7" t="s">
        <v>261</v>
      </c>
      <c r="C121" s="7" t="s">
        <v>267</v>
      </c>
      <c r="E121" s="7" t="s">
        <v>256</v>
      </c>
      <c r="F121" s="7" t="s">
        <v>25</v>
      </c>
      <c r="G121" s="8">
        <v>46188</v>
      </c>
      <c r="I121" s="9">
        <f>IF(OR($G121="",$H121=""),"",$H121-$G121)</f>
        <v>0</v>
      </c>
    </row>
    <row r="122" spans="1:9">
      <c r="A122" s="7" t="s">
        <v>256</v>
      </c>
      <c r="B122" s="7" t="s">
        <v>261</v>
      </c>
      <c r="C122" s="7" t="s">
        <v>268</v>
      </c>
      <c r="E122" s="7" t="s">
        <v>256</v>
      </c>
      <c r="F122" s="7" t="s">
        <v>25</v>
      </c>
      <c r="G122" s="8">
        <v>46188</v>
      </c>
      <c r="I122" s="9">
        <f>IF(OR($G122="",$H122=""),"",$H122-$G122)</f>
        <v>0</v>
      </c>
    </row>
    <row r="123" spans="1:9">
      <c r="A123" s="7" t="s">
        <v>256</v>
      </c>
      <c r="B123" s="7" t="s">
        <v>261</v>
      </c>
      <c r="C123" s="7" t="s">
        <v>269</v>
      </c>
      <c r="E123" s="7" t="s">
        <v>256</v>
      </c>
      <c r="F123" s="7" t="s">
        <v>25</v>
      </c>
      <c r="G123" s="8">
        <v>46188</v>
      </c>
      <c r="I123" s="9">
        <f>IF(OR($G123="",$H123=""),"",$H123-$G123)</f>
        <v>0</v>
      </c>
    </row>
    <row r="124" spans="1:9">
      <c r="A124" s="7" t="s">
        <v>256</v>
      </c>
      <c r="B124" s="7" t="s">
        <v>261</v>
      </c>
      <c r="C124" s="7" t="s">
        <v>270</v>
      </c>
      <c r="E124" s="7" t="s">
        <v>256</v>
      </c>
      <c r="F124" s="7" t="s">
        <v>25</v>
      </c>
      <c r="G124" s="8">
        <v>46188</v>
      </c>
      <c r="I124" s="9">
        <f>IF(OR($G124="",$H124=""),"",$H124-$G124)</f>
        <v>0</v>
      </c>
    </row>
    <row r="125" spans="1:9">
      <c r="A125" s="7" t="s">
        <v>271</v>
      </c>
      <c r="B125" s="7" t="s">
        <v>272</v>
      </c>
      <c r="C125" s="7" t="s">
        <v>273</v>
      </c>
      <c r="E125" s="7" t="s">
        <v>274</v>
      </c>
      <c r="F125" s="7" t="s">
        <v>25</v>
      </c>
      <c r="G125" s="8">
        <v>46178</v>
      </c>
      <c r="I125" s="9">
        <f>IF(OR($G125="",$H125=""),"",$H125-$G125)</f>
        <v>0</v>
      </c>
    </row>
    <row r="126" spans="1:9">
      <c r="A126" s="7" t="s">
        <v>271</v>
      </c>
      <c r="B126" s="7" t="s">
        <v>272</v>
      </c>
      <c r="C126" s="7" t="s">
        <v>275</v>
      </c>
      <c r="E126" s="7" t="s">
        <v>274</v>
      </c>
      <c r="F126" s="7" t="s">
        <v>25</v>
      </c>
      <c r="G126" s="8">
        <v>46178</v>
      </c>
      <c r="I126" s="9">
        <f>IF(OR($G126="",$H126=""),"",$H126-$G126)</f>
        <v>0</v>
      </c>
    </row>
    <row r="127" spans="1:9">
      <c r="A127" s="7" t="s">
        <v>271</v>
      </c>
      <c r="B127" s="7" t="s">
        <v>276</v>
      </c>
      <c r="C127" s="7" t="s">
        <v>277</v>
      </c>
      <c r="E127" s="7" t="s">
        <v>274</v>
      </c>
      <c r="F127" s="7" t="s">
        <v>25</v>
      </c>
      <c r="G127" s="8">
        <v>46178</v>
      </c>
      <c r="I127" s="9">
        <f>IF(OR($G127="",$H127=""),"",$H127-$G127)</f>
        <v>0</v>
      </c>
    </row>
    <row r="128" spans="1:9">
      <c r="A128" s="7" t="s">
        <v>271</v>
      </c>
      <c r="B128" s="7" t="s">
        <v>276</v>
      </c>
      <c r="C128" s="7" t="s">
        <v>278</v>
      </c>
      <c r="E128" s="7" t="s">
        <v>274</v>
      </c>
      <c r="F128" s="7" t="s">
        <v>25</v>
      </c>
      <c r="G128" s="8">
        <v>46178</v>
      </c>
      <c r="I128" s="9">
        <f>IF(OR($G128="",$H128=""),"",$H128-$G128)</f>
        <v>0</v>
      </c>
    </row>
    <row r="129" spans="1:9">
      <c r="A129" s="7" t="s">
        <v>271</v>
      </c>
      <c r="B129" s="7" t="s">
        <v>276</v>
      </c>
      <c r="C129" s="7" t="s">
        <v>279</v>
      </c>
      <c r="E129" s="7" t="s">
        <v>274</v>
      </c>
      <c r="F129" s="7" t="s">
        <v>25</v>
      </c>
      <c r="G129" s="8">
        <v>46178</v>
      </c>
      <c r="I129" s="9">
        <f>IF(OR($G129="",$H129=""),"",$H129-$G129)</f>
        <v>0</v>
      </c>
    </row>
    <row r="130" spans="1:9">
      <c r="A130" s="7" t="s">
        <v>271</v>
      </c>
      <c r="B130" s="7" t="s">
        <v>276</v>
      </c>
      <c r="C130" s="7" t="s">
        <v>280</v>
      </c>
      <c r="E130" s="7" t="s">
        <v>274</v>
      </c>
      <c r="F130" s="7" t="s">
        <v>25</v>
      </c>
      <c r="G130" s="8">
        <v>46178</v>
      </c>
      <c r="I130" s="9">
        <f>IF(OR($G130="",$H130=""),"",$H130-$G130)</f>
        <v>0</v>
      </c>
    </row>
    <row r="131" spans="1:9">
      <c r="A131" s="7" t="s">
        <v>271</v>
      </c>
      <c r="B131" s="7" t="s">
        <v>276</v>
      </c>
      <c r="C131" s="7" t="s">
        <v>281</v>
      </c>
      <c r="E131" s="7" t="s">
        <v>274</v>
      </c>
      <c r="F131" s="7" t="s">
        <v>25</v>
      </c>
      <c r="G131" s="8">
        <v>46178</v>
      </c>
      <c r="I131" s="9">
        <f>IF(OR($G131="",$H131=""),"",$H131-$G131)</f>
        <v>0</v>
      </c>
    </row>
    <row r="132" spans="1:9">
      <c r="A132" s="7" t="s">
        <v>271</v>
      </c>
      <c r="B132" s="7" t="s">
        <v>276</v>
      </c>
      <c r="C132" s="7" t="s">
        <v>282</v>
      </c>
      <c r="E132" s="7" t="s">
        <v>274</v>
      </c>
      <c r="F132" s="7" t="s">
        <v>25</v>
      </c>
      <c r="G132" s="8">
        <v>46178</v>
      </c>
      <c r="I132" s="9">
        <f>IF(OR($G132="",$H132=""),"",$H132-$G132)</f>
        <v>0</v>
      </c>
    </row>
    <row r="133" spans="1:9">
      <c r="A133" s="7" t="s">
        <v>271</v>
      </c>
      <c r="B133" s="7" t="s">
        <v>276</v>
      </c>
      <c r="C133" s="7" t="s">
        <v>283</v>
      </c>
      <c r="E133" s="7" t="s">
        <v>274</v>
      </c>
      <c r="F133" s="7" t="s">
        <v>25</v>
      </c>
      <c r="G133" s="8">
        <v>46178</v>
      </c>
      <c r="I133" s="9">
        <f>IF(OR($G133="",$H133=""),"",$H133-$G133)</f>
        <v>0</v>
      </c>
    </row>
    <row r="134" spans="1:9">
      <c r="A134" s="7" t="s">
        <v>271</v>
      </c>
      <c r="B134" s="7" t="s">
        <v>276</v>
      </c>
      <c r="C134" s="7" t="s">
        <v>284</v>
      </c>
      <c r="E134" s="7" t="s">
        <v>274</v>
      </c>
      <c r="F134" s="7" t="s">
        <v>25</v>
      </c>
      <c r="G134" s="8">
        <v>46178</v>
      </c>
      <c r="I134" s="9">
        <f>IF(OR($G134="",$H134=""),"",$H134-$G134)</f>
        <v>0</v>
      </c>
    </row>
    <row r="135" spans="1:9">
      <c r="A135" s="7" t="s">
        <v>271</v>
      </c>
      <c r="B135" s="7" t="s">
        <v>276</v>
      </c>
      <c r="C135" s="7" t="s">
        <v>285</v>
      </c>
      <c r="E135" s="7" t="s">
        <v>274</v>
      </c>
      <c r="F135" s="7" t="s">
        <v>25</v>
      </c>
      <c r="G135" s="8">
        <v>46178</v>
      </c>
      <c r="I135" s="9">
        <f>IF(OR($G135="",$H135=""),"",$H135-$G135)</f>
        <v>0</v>
      </c>
    </row>
    <row r="136" spans="1:9">
      <c r="A136" s="7" t="s">
        <v>271</v>
      </c>
      <c r="B136" s="7" t="s">
        <v>276</v>
      </c>
      <c r="C136" s="7" t="s">
        <v>286</v>
      </c>
      <c r="E136" s="7" t="s">
        <v>274</v>
      </c>
      <c r="F136" s="7" t="s">
        <v>25</v>
      </c>
      <c r="G136" s="8">
        <v>46178</v>
      </c>
      <c r="I136" s="9">
        <f>IF(OR($G136="",$H136=""),"",$H136-$G136)</f>
        <v>0</v>
      </c>
    </row>
    <row r="137" spans="1:9">
      <c r="A137" s="7" t="s">
        <v>271</v>
      </c>
      <c r="B137" s="7" t="s">
        <v>276</v>
      </c>
      <c r="C137" s="7" t="s">
        <v>287</v>
      </c>
      <c r="E137" s="7" t="s">
        <v>274</v>
      </c>
      <c r="F137" s="7" t="s">
        <v>25</v>
      </c>
      <c r="G137" s="8">
        <v>46178</v>
      </c>
      <c r="I137" s="9">
        <f>IF(OR($G137="",$H137=""),"",$H137-$G137)</f>
        <v>0</v>
      </c>
    </row>
    <row r="138" spans="1:9">
      <c r="A138" s="7" t="s">
        <v>271</v>
      </c>
      <c r="B138" s="7" t="s">
        <v>276</v>
      </c>
      <c r="C138" s="7" t="s">
        <v>288</v>
      </c>
      <c r="E138" s="7" t="s">
        <v>274</v>
      </c>
      <c r="F138" s="7" t="s">
        <v>25</v>
      </c>
      <c r="G138" s="8">
        <v>46178</v>
      </c>
      <c r="I138" s="9">
        <f>IF(OR($G138="",$H138=""),"",$H138-$G138)</f>
        <v>0</v>
      </c>
    </row>
    <row r="139" spans="1:9">
      <c r="A139" s="7" t="s">
        <v>271</v>
      </c>
      <c r="B139" s="7" t="s">
        <v>276</v>
      </c>
      <c r="C139" s="7" t="s">
        <v>289</v>
      </c>
      <c r="E139" s="7" t="s">
        <v>274</v>
      </c>
      <c r="F139" s="7" t="s">
        <v>25</v>
      </c>
      <c r="G139" s="8">
        <v>46178</v>
      </c>
      <c r="I139" s="9">
        <f>IF(OR($G139="",$H139=""),"",$H139-$G139)</f>
        <v>0</v>
      </c>
    </row>
    <row r="140" spans="1:9">
      <c r="A140" s="7" t="s">
        <v>271</v>
      </c>
      <c r="B140" s="7" t="s">
        <v>276</v>
      </c>
      <c r="C140" s="7" t="s">
        <v>290</v>
      </c>
      <c r="E140" s="7" t="s">
        <v>274</v>
      </c>
      <c r="F140" s="7" t="s">
        <v>25</v>
      </c>
      <c r="G140" s="8">
        <v>46178</v>
      </c>
      <c r="I140" s="9">
        <f>IF(OR($G140="",$H140=""),"",$H140-$G140)</f>
        <v>0</v>
      </c>
    </row>
    <row r="141" spans="1:9">
      <c r="A141" s="7" t="s">
        <v>271</v>
      </c>
      <c r="B141" s="7" t="s">
        <v>291</v>
      </c>
      <c r="C141" s="7" t="s">
        <v>292</v>
      </c>
      <c r="E141" s="7" t="s">
        <v>274</v>
      </c>
      <c r="F141" s="7" t="s">
        <v>25</v>
      </c>
      <c r="G141" s="8">
        <v>46178</v>
      </c>
      <c r="I141" s="9">
        <f>IF(OR($G141="",$H141=""),"",$H141-$G141)</f>
        <v>0</v>
      </c>
    </row>
    <row r="142" spans="1:9">
      <c r="A142" s="7" t="s">
        <v>271</v>
      </c>
      <c r="B142" s="7" t="s">
        <v>291</v>
      </c>
      <c r="C142" s="7" t="s">
        <v>293</v>
      </c>
      <c r="E142" s="7" t="s">
        <v>274</v>
      </c>
      <c r="F142" s="7" t="s">
        <v>25</v>
      </c>
      <c r="G142" s="8">
        <v>46178</v>
      </c>
      <c r="I142" s="9">
        <f>IF(OR($G142="",$H142=""),"",$H142-$G142)</f>
        <v>0</v>
      </c>
    </row>
    <row r="143" spans="1:9">
      <c r="A143" s="7" t="s">
        <v>271</v>
      </c>
      <c r="B143" s="7" t="s">
        <v>291</v>
      </c>
      <c r="C143" s="7" t="s">
        <v>294</v>
      </c>
      <c r="E143" s="7" t="s">
        <v>274</v>
      </c>
      <c r="F143" s="7" t="s">
        <v>25</v>
      </c>
      <c r="G143" s="8">
        <v>46178</v>
      </c>
      <c r="I143" s="9">
        <f>IF(OR($G143="",$H143=""),"",$H143-$G143)</f>
        <v>0</v>
      </c>
    </row>
    <row r="144" spans="1:9">
      <c r="A144" s="7" t="s">
        <v>271</v>
      </c>
      <c r="B144" s="7" t="s">
        <v>291</v>
      </c>
      <c r="C144" s="7" t="s">
        <v>295</v>
      </c>
      <c r="E144" s="7" t="s">
        <v>274</v>
      </c>
      <c r="F144" s="7" t="s">
        <v>25</v>
      </c>
      <c r="G144" s="8">
        <v>46178</v>
      </c>
      <c r="I144" s="9">
        <f>IF(OR($G144="",$H144=""),"",$H144-$G144)</f>
        <v>0</v>
      </c>
    </row>
    <row r="145" spans="1:9">
      <c r="A145" s="7" t="s">
        <v>271</v>
      </c>
      <c r="B145" s="7" t="s">
        <v>291</v>
      </c>
      <c r="C145" s="7" t="s">
        <v>296</v>
      </c>
      <c r="E145" s="7" t="s">
        <v>274</v>
      </c>
      <c r="F145" s="7" t="s">
        <v>25</v>
      </c>
      <c r="G145" s="8">
        <v>46178</v>
      </c>
      <c r="I145" s="9">
        <f>IF(OR($G145="",$H145=""),"",$H145-$G145)</f>
        <v>0</v>
      </c>
    </row>
    <row r="146" spans="1:9">
      <c r="A146" s="7" t="s">
        <v>271</v>
      </c>
      <c r="B146" s="7" t="s">
        <v>291</v>
      </c>
      <c r="C146" s="7" t="s">
        <v>297</v>
      </c>
      <c r="E146" s="7" t="s">
        <v>274</v>
      </c>
      <c r="F146" s="7" t="s">
        <v>25</v>
      </c>
      <c r="G146" s="8">
        <v>46178</v>
      </c>
      <c r="I146" s="9">
        <f>IF(OR($G146="",$H146=""),"",$H146-$G146)</f>
        <v>0</v>
      </c>
    </row>
    <row r="147" spans="1:9">
      <c r="A147" s="7" t="s">
        <v>271</v>
      </c>
      <c r="B147" s="7" t="s">
        <v>291</v>
      </c>
      <c r="C147" s="7" t="s">
        <v>298</v>
      </c>
      <c r="E147" s="7" t="s">
        <v>274</v>
      </c>
      <c r="F147" s="7" t="s">
        <v>25</v>
      </c>
      <c r="G147" s="8">
        <v>46178</v>
      </c>
      <c r="I147" s="9">
        <f>IF(OR($G147="",$H147=""),"",$H147-$G147)</f>
        <v>0</v>
      </c>
    </row>
    <row r="148" spans="1:9">
      <c r="A148" s="7" t="s">
        <v>271</v>
      </c>
      <c r="B148" s="7" t="s">
        <v>291</v>
      </c>
      <c r="C148" s="7" t="s">
        <v>299</v>
      </c>
      <c r="E148" s="7" t="s">
        <v>274</v>
      </c>
      <c r="F148" s="7" t="s">
        <v>25</v>
      </c>
      <c r="G148" s="8">
        <v>46178</v>
      </c>
      <c r="I148" s="9">
        <f>IF(OR($G148="",$H148=""),"",$H148-$G148)</f>
        <v>0</v>
      </c>
    </row>
    <row r="149" spans="1:9">
      <c r="A149" s="7" t="s">
        <v>271</v>
      </c>
      <c r="B149" s="7" t="s">
        <v>291</v>
      </c>
      <c r="C149" s="7" t="s">
        <v>300</v>
      </c>
      <c r="E149" s="7" t="s">
        <v>274</v>
      </c>
      <c r="F149" s="7" t="s">
        <v>25</v>
      </c>
      <c r="G149" s="8">
        <v>46178</v>
      </c>
      <c r="I149" s="9">
        <f>IF(OR($G149="",$H149=""),"",$H149-$G149)</f>
        <v>0</v>
      </c>
    </row>
    <row r="150" spans="1:9">
      <c r="A150" s="7" t="s">
        <v>271</v>
      </c>
      <c r="B150" s="7" t="s">
        <v>291</v>
      </c>
      <c r="C150" s="7" t="s">
        <v>301</v>
      </c>
      <c r="E150" s="7" t="s">
        <v>274</v>
      </c>
      <c r="F150" s="7" t="s">
        <v>25</v>
      </c>
      <c r="G150" s="8">
        <v>46178</v>
      </c>
      <c r="I150" s="9">
        <f>IF(OR($G150="",$H150=""),"",$H150-$G150)</f>
        <v>0</v>
      </c>
    </row>
    <row r="151" spans="1:9">
      <c r="A151" s="7" t="s">
        <v>168</v>
      </c>
      <c r="B151" s="7" t="s">
        <v>169</v>
      </c>
      <c r="C151" s="7" t="s">
        <v>302</v>
      </c>
      <c r="E151" s="7" t="s">
        <v>171</v>
      </c>
      <c r="F151" s="7" t="s">
        <v>25</v>
      </c>
      <c r="G151" s="8">
        <v>46178</v>
      </c>
      <c r="I151" s="9">
        <f>IF(OR($G151="",$H151=""),"",$H151-$G151)</f>
        <v>0</v>
      </c>
    </row>
    <row r="152" spans="1:9">
      <c r="A152" s="7" t="s">
        <v>168</v>
      </c>
      <c r="B152" s="7" t="s">
        <v>169</v>
      </c>
      <c r="C152" s="7" t="s">
        <v>303</v>
      </c>
      <c r="E152" s="7" t="s">
        <v>171</v>
      </c>
      <c r="F152" s="7" t="s">
        <v>25</v>
      </c>
      <c r="G152" s="8">
        <v>46178</v>
      </c>
      <c r="I152" s="9">
        <f>IF(OR($G152="",$H152=""),"",$H152-$G152)</f>
        <v>0</v>
      </c>
    </row>
    <row r="153" spans="1:9">
      <c r="A153" s="7" t="s">
        <v>168</v>
      </c>
      <c r="B153" s="7" t="s">
        <v>169</v>
      </c>
      <c r="C153" s="7" t="s">
        <v>304</v>
      </c>
      <c r="E153" s="7" t="s">
        <v>171</v>
      </c>
      <c r="F153" s="7" t="s">
        <v>25</v>
      </c>
      <c r="G153" s="8">
        <v>46178</v>
      </c>
      <c r="I153" s="9">
        <f>IF(OR($G153="",$H153=""),"",$H153-$G153)</f>
        <v>0</v>
      </c>
    </row>
    <row r="154" spans="1:9">
      <c r="A154" s="7" t="s">
        <v>168</v>
      </c>
      <c r="B154" s="7" t="s">
        <v>169</v>
      </c>
      <c r="C154" s="7" t="s">
        <v>305</v>
      </c>
      <c r="E154" s="7" t="s">
        <v>171</v>
      </c>
      <c r="F154" s="7" t="s">
        <v>25</v>
      </c>
      <c r="G154" s="8">
        <v>46178</v>
      </c>
      <c r="I154" s="9">
        <f>IF(OR($G154="",$H154=""),"",$H154-$G154)</f>
        <v>0</v>
      </c>
    </row>
    <row r="155" spans="1:9">
      <c r="A155" s="7" t="s">
        <v>168</v>
      </c>
      <c r="B155" s="7" t="s">
        <v>169</v>
      </c>
      <c r="C155" s="7" t="s">
        <v>306</v>
      </c>
      <c r="E155" s="7" t="s">
        <v>171</v>
      </c>
      <c r="F155" s="7" t="s">
        <v>25</v>
      </c>
      <c r="G155" s="8">
        <v>46178</v>
      </c>
      <c r="I155" s="9">
        <f>IF(OR($G155="",$H155=""),"",$H155-$G155)</f>
        <v>0</v>
      </c>
    </row>
    <row r="156" spans="1:9">
      <c r="A156" s="7" t="s">
        <v>168</v>
      </c>
      <c r="B156" s="7" t="s">
        <v>169</v>
      </c>
      <c r="C156" s="7" t="s">
        <v>307</v>
      </c>
      <c r="E156" s="7" t="s">
        <v>171</v>
      </c>
      <c r="F156" s="7" t="s">
        <v>25</v>
      </c>
      <c r="G156" s="8">
        <v>46178</v>
      </c>
      <c r="I156" s="9">
        <f>IF(OR($G156="",$H156=""),"",$H156-$G156)</f>
        <v>0</v>
      </c>
    </row>
    <row r="157" spans="1:9">
      <c r="A157" s="7" t="s">
        <v>168</v>
      </c>
      <c r="B157" s="7" t="s">
        <v>169</v>
      </c>
      <c r="C157" s="7" t="s">
        <v>308</v>
      </c>
      <c r="E157" s="7" t="s">
        <v>171</v>
      </c>
      <c r="F157" s="7" t="s">
        <v>25</v>
      </c>
      <c r="G157" s="8">
        <v>46178</v>
      </c>
      <c r="I157" s="9">
        <f>IF(OR($G157="",$H157=""),"",$H157-$G157)</f>
        <v>0</v>
      </c>
    </row>
    <row r="158" spans="1:9">
      <c r="A158" s="7" t="s">
        <v>168</v>
      </c>
      <c r="B158" s="7" t="s">
        <v>169</v>
      </c>
      <c r="C158" s="7" t="s">
        <v>309</v>
      </c>
      <c r="E158" s="7" t="s">
        <v>171</v>
      </c>
      <c r="F158" s="7" t="s">
        <v>25</v>
      </c>
      <c r="G158" s="8">
        <v>46178</v>
      </c>
      <c r="I158" s="9">
        <f>IF(OR($G158="",$H158=""),"",$H158-$G158)</f>
        <v>0</v>
      </c>
    </row>
    <row r="159" spans="1:9">
      <c r="A159" s="7" t="s">
        <v>168</v>
      </c>
      <c r="B159" s="7" t="s">
        <v>169</v>
      </c>
      <c r="C159" s="7" t="s">
        <v>310</v>
      </c>
      <c r="E159" s="7" t="s">
        <v>171</v>
      </c>
      <c r="F159" s="7" t="s">
        <v>25</v>
      </c>
      <c r="G159" s="8">
        <v>46178</v>
      </c>
      <c r="I159" s="9">
        <f>IF(OR($G159="",$H159=""),"",$H159-$G159)</f>
        <v>0</v>
      </c>
    </row>
    <row r="160" spans="1:9">
      <c r="A160" s="7" t="s">
        <v>168</v>
      </c>
      <c r="B160" s="7" t="s">
        <v>169</v>
      </c>
      <c r="C160" s="7" t="s">
        <v>311</v>
      </c>
      <c r="E160" s="7" t="s">
        <v>171</v>
      </c>
      <c r="F160" s="7" t="s">
        <v>25</v>
      </c>
      <c r="G160" s="8">
        <v>46178</v>
      </c>
      <c r="I160" s="9">
        <f>IF(OR($G160="",$H160=""),"",$H160-$G160)</f>
        <v>0</v>
      </c>
    </row>
    <row r="161" spans="1:9">
      <c r="A161" s="7" t="s">
        <v>168</v>
      </c>
      <c r="B161" s="7" t="s">
        <v>169</v>
      </c>
      <c r="C161" s="7" t="s">
        <v>312</v>
      </c>
      <c r="E161" s="7" t="s">
        <v>171</v>
      </c>
      <c r="F161" s="7" t="s">
        <v>25</v>
      </c>
      <c r="G161" s="8">
        <v>46178</v>
      </c>
      <c r="I161" s="9">
        <f>IF(OR($G161="",$H161=""),"",$H161-$G161)</f>
        <v>0</v>
      </c>
    </row>
    <row r="162" spans="1:9">
      <c r="A162" s="7" t="s">
        <v>168</v>
      </c>
      <c r="B162" s="7" t="s">
        <v>169</v>
      </c>
      <c r="C162" s="7" t="s">
        <v>313</v>
      </c>
      <c r="E162" s="7" t="s">
        <v>171</v>
      </c>
      <c r="F162" s="7" t="s">
        <v>25</v>
      </c>
      <c r="G162" s="8">
        <v>46178</v>
      </c>
      <c r="I162" s="9">
        <f>IF(OR($G162="",$H162=""),"",$H162-$G162)</f>
        <v>0</v>
      </c>
    </row>
    <row r="163" spans="1:9">
      <c r="A163" s="7" t="s">
        <v>168</v>
      </c>
      <c r="B163" s="7" t="s">
        <v>169</v>
      </c>
      <c r="C163" s="7" t="s">
        <v>314</v>
      </c>
      <c r="E163" s="7" t="s">
        <v>171</v>
      </c>
      <c r="F163" s="7" t="s">
        <v>25</v>
      </c>
      <c r="G163" s="8">
        <v>46178</v>
      </c>
      <c r="I163" s="9">
        <f>IF(OR($G163="",$H163=""),"",$H163-$G163)</f>
        <v>0</v>
      </c>
    </row>
    <row r="164" spans="1:9">
      <c r="A164" s="7" t="s">
        <v>168</v>
      </c>
      <c r="B164" s="7" t="s">
        <v>169</v>
      </c>
      <c r="C164" s="7" t="s">
        <v>315</v>
      </c>
      <c r="E164" s="7" t="s">
        <v>171</v>
      </c>
      <c r="F164" s="7" t="s">
        <v>25</v>
      </c>
      <c r="G164" s="8">
        <v>46178</v>
      </c>
      <c r="I164" s="9">
        <f>IF(OR($G164="",$H164=""),"",$H164-$G164)</f>
        <v>0</v>
      </c>
    </row>
    <row r="165" spans="1:9">
      <c r="A165" s="7" t="s">
        <v>168</v>
      </c>
      <c r="B165" s="7" t="s">
        <v>169</v>
      </c>
      <c r="C165" s="7" t="s">
        <v>316</v>
      </c>
      <c r="E165" s="7" t="s">
        <v>171</v>
      </c>
      <c r="F165" s="7" t="s">
        <v>25</v>
      </c>
      <c r="G165" s="8">
        <v>46178</v>
      </c>
      <c r="I165" s="9">
        <f>IF(OR($G165="",$H165=""),"",$H165-$G165)</f>
        <v>0</v>
      </c>
    </row>
    <row r="166" spans="1:9">
      <c r="A166" s="7" t="s">
        <v>168</v>
      </c>
      <c r="B166" s="7" t="s">
        <v>169</v>
      </c>
      <c r="C166" s="7" t="s">
        <v>317</v>
      </c>
      <c r="E166" s="7" t="s">
        <v>171</v>
      </c>
      <c r="F166" s="7" t="s">
        <v>25</v>
      </c>
      <c r="G166" s="8">
        <v>46178</v>
      </c>
      <c r="I166" s="9">
        <f>IF(OR($G166="",$H166=""),"",$H166-$G166)</f>
        <v>0</v>
      </c>
    </row>
    <row r="167" spans="1:9">
      <c r="A167" s="7" t="s">
        <v>168</v>
      </c>
      <c r="B167" s="7" t="s">
        <v>169</v>
      </c>
      <c r="C167" s="7" t="s">
        <v>318</v>
      </c>
      <c r="E167" s="7" t="s">
        <v>171</v>
      </c>
      <c r="F167" s="7" t="s">
        <v>25</v>
      </c>
      <c r="G167" s="8">
        <v>46178</v>
      </c>
      <c r="I167" s="9">
        <f>IF(OR($G167="",$H167=""),"",$H167-$G167)</f>
        <v>0</v>
      </c>
    </row>
    <row r="168" spans="1:9">
      <c r="A168" s="7" t="s">
        <v>168</v>
      </c>
      <c r="B168" s="7" t="s">
        <v>169</v>
      </c>
      <c r="C168" s="7" t="s">
        <v>319</v>
      </c>
      <c r="E168" s="7" t="s">
        <v>171</v>
      </c>
      <c r="F168" s="7" t="s">
        <v>25</v>
      </c>
      <c r="G168" s="8">
        <v>46178</v>
      </c>
      <c r="I168" s="9">
        <f>IF(OR($G168="",$H168=""),"",$H168-$G168)</f>
        <v>0</v>
      </c>
    </row>
    <row r="169" spans="1:9">
      <c r="A169" s="7" t="s">
        <v>168</v>
      </c>
      <c r="B169" s="7" t="s">
        <v>169</v>
      </c>
      <c r="C169" s="7" t="s">
        <v>320</v>
      </c>
      <c r="E169" s="7" t="s">
        <v>171</v>
      </c>
      <c r="F169" s="7" t="s">
        <v>25</v>
      </c>
      <c r="G169" s="8">
        <v>46178</v>
      </c>
      <c r="I169" s="9">
        <f>IF(OR($G169="",$H169=""),"",$H169-$G169)</f>
        <v>0</v>
      </c>
    </row>
    <row r="170" spans="1:9">
      <c r="A170" s="7" t="s">
        <v>168</v>
      </c>
      <c r="B170" s="7" t="s">
        <v>321</v>
      </c>
      <c r="C170" s="7" t="s">
        <v>322</v>
      </c>
      <c r="E170" s="7" t="s">
        <v>171</v>
      </c>
      <c r="F170" s="7" t="s">
        <v>25</v>
      </c>
      <c r="G170" s="8">
        <v>46178</v>
      </c>
      <c r="I170" s="9">
        <f>IF(OR($G170="",$H170=""),"",$H170-$G170)</f>
        <v>0</v>
      </c>
    </row>
    <row r="171" spans="1:9">
      <c r="A171" s="7" t="s">
        <v>168</v>
      </c>
      <c r="B171" s="7" t="s">
        <v>321</v>
      </c>
      <c r="C171" s="7" t="s">
        <v>323</v>
      </c>
      <c r="E171" s="7" t="s">
        <v>171</v>
      </c>
      <c r="F171" s="7" t="s">
        <v>25</v>
      </c>
      <c r="G171" s="8">
        <v>46178</v>
      </c>
      <c r="I171" s="9">
        <f>IF(OR($G171="",$H171=""),"",$H171-$G171)</f>
        <v>0</v>
      </c>
    </row>
    <row r="172" spans="1:9">
      <c r="A172" s="7" t="s">
        <v>168</v>
      </c>
      <c r="B172" s="7" t="s">
        <v>321</v>
      </c>
      <c r="C172" s="7" t="s">
        <v>324</v>
      </c>
      <c r="E172" s="7" t="s">
        <v>171</v>
      </c>
      <c r="F172" s="7" t="s">
        <v>25</v>
      </c>
      <c r="G172" s="8">
        <v>46178</v>
      </c>
      <c r="I172" s="9">
        <f>IF(OR($G172="",$H172=""),"",$H172-$G172)</f>
        <v>0</v>
      </c>
    </row>
    <row r="173" spans="1:9">
      <c r="A173" s="7" t="s">
        <v>168</v>
      </c>
      <c r="B173" s="7" t="s">
        <v>321</v>
      </c>
      <c r="C173" s="7" t="s">
        <v>325</v>
      </c>
      <c r="E173" s="7" t="s">
        <v>171</v>
      </c>
      <c r="F173" s="7" t="s">
        <v>25</v>
      </c>
      <c r="G173" s="8">
        <v>46178</v>
      </c>
      <c r="I173" s="9">
        <f>IF(OR($G173="",$H173=""),"",$H173-$G173)</f>
        <v>0</v>
      </c>
    </row>
    <row r="174" spans="1:9">
      <c r="A174" s="7" t="s">
        <v>168</v>
      </c>
      <c r="B174" s="7" t="s">
        <v>321</v>
      </c>
      <c r="C174" s="7" t="s">
        <v>326</v>
      </c>
      <c r="E174" s="7" t="s">
        <v>171</v>
      </c>
      <c r="F174" s="7" t="s">
        <v>25</v>
      </c>
      <c r="G174" s="8">
        <v>46178</v>
      </c>
      <c r="I174" s="9">
        <f>IF(OR($G174="",$H174=""),"",$H174-$G174)</f>
        <v>0</v>
      </c>
    </row>
    <row r="175" spans="1:9">
      <c r="A175" s="7" t="s">
        <v>168</v>
      </c>
      <c r="B175" s="7" t="s">
        <v>321</v>
      </c>
      <c r="C175" s="7" t="s">
        <v>327</v>
      </c>
      <c r="E175" s="7" t="s">
        <v>171</v>
      </c>
      <c r="F175" s="7" t="s">
        <v>25</v>
      </c>
      <c r="G175" s="8">
        <v>46178</v>
      </c>
      <c r="I175" s="9">
        <f>IF(OR($G175="",$H175=""),"",$H175-$G175)</f>
        <v>0</v>
      </c>
    </row>
    <row r="176" spans="1:9">
      <c r="A176" s="7" t="s">
        <v>168</v>
      </c>
      <c r="B176" s="7" t="s">
        <v>321</v>
      </c>
      <c r="C176" s="7" t="s">
        <v>328</v>
      </c>
      <c r="E176" s="7" t="s">
        <v>171</v>
      </c>
      <c r="F176" s="7" t="s">
        <v>25</v>
      </c>
      <c r="G176" s="8">
        <v>46178</v>
      </c>
      <c r="I176" s="9">
        <f>IF(OR($G176="",$H176=""),"",$H176-$G176)</f>
        <v>0</v>
      </c>
    </row>
    <row r="177" spans="1:9">
      <c r="A177" s="7" t="s">
        <v>168</v>
      </c>
      <c r="B177" s="7" t="s">
        <v>321</v>
      </c>
      <c r="C177" s="7" t="s">
        <v>329</v>
      </c>
      <c r="E177" s="7" t="s">
        <v>171</v>
      </c>
      <c r="F177" s="7" t="s">
        <v>25</v>
      </c>
      <c r="G177" s="8">
        <v>46178</v>
      </c>
      <c r="I177" s="9">
        <f>IF(OR($G177="",$H177=""),"",$H177-$G177)</f>
        <v>0</v>
      </c>
    </row>
    <row r="178" spans="1:9">
      <c r="A178" s="7" t="s">
        <v>168</v>
      </c>
      <c r="B178" s="7" t="s">
        <v>321</v>
      </c>
      <c r="C178" s="7" t="s">
        <v>330</v>
      </c>
      <c r="E178" s="7" t="s">
        <v>171</v>
      </c>
      <c r="F178" s="7" t="s">
        <v>25</v>
      </c>
      <c r="G178" s="8">
        <v>46178</v>
      </c>
      <c r="I178" s="9">
        <f>IF(OR($G178="",$H178=""),"",$H178-$G178)</f>
        <v>0</v>
      </c>
    </row>
    <row r="179" spans="1:9">
      <c r="A179" s="7" t="s">
        <v>168</v>
      </c>
      <c r="B179" s="7" t="s">
        <v>331</v>
      </c>
      <c r="C179" s="7" t="s">
        <v>332</v>
      </c>
      <c r="E179" s="7" t="s">
        <v>274</v>
      </c>
      <c r="F179" s="7" t="s">
        <v>51</v>
      </c>
      <c r="G179" s="8">
        <v>46188</v>
      </c>
      <c r="I179" s="9">
        <f>IF(OR($G179="",$H179=""),"",$H179-$G179)</f>
        <v>0</v>
      </c>
    </row>
    <row r="180" spans="1:9">
      <c r="A180" s="7" t="s">
        <v>168</v>
      </c>
      <c r="B180" s="7" t="s">
        <v>331</v>
      </c>
      <c r="C180" s="7" t="s">
        <v>333</v>
      </c>
      <c r="E180" s="7" t="s">
        <v>274</v>
      </c>
      <c r="F180" s="7" t="s">
        <v>51</v>
      </c>
      <c r="G180" s="8">
        <v>46188</v>
      </c>
      <c r="I180" s="9">
        <f>IF(OR($G180="",$H180=""),"",$H180-$G180)</f>
        <v>0</v>
      </c>
    </row>
    <row r="181" spans="1:9">
      <c r="A181" s="7" t="s">
        <v>168</v>
      </c>
      <c r="B181" s="7" t="s">
        <v>331</v>
      </c>
      <c r="C181" s="7" t="s">
        <v>334</v>
      </c>
      <c r="E181" s="7" t="s">
        <v>274</v>
      </c>
      <c r="F181" s="7" t="s">
        <v>51</v>
      </c>
      <c r="G181" s="8">
        <v>46188</v>
      </c>
      <c r="I181" s="9">
        <f>IF(OR($G181="",$H181=""),"",$H181-$G181)</f>
        <v>0</v>
      </c>
    </row>
    <row r="182" spans="1:9">
      <c r="A182" s="7" t="s">
        <v>168</v>
      </c>
      <c r="B182" s="7" t="s">
        <v>331</v>
      </c>
      <c r="C182" s="7" t="s">
        <v>335</v>
      </c>
      <c r="E182" s="7" t="s">
        <v>274</v>
      </c>
      <c r="F182" s="7" t="s">
        <v>51</v>
      </c>
      <c r="G182" s="8">
        <v>46188</v>
      </c>
      <c r="I182" s="9">
        <f>IF(OR($G182="",$H182=""),"",$H182-$G182)</f>
        <v>0</v>
      </c>
    </row>
    <row r="183" spans="1:9">
      <c r="A183" s="7" t="s">
        <v>168</v>
      </c>
      <c r="B183" s="7" t="s">
        <v>331</v>
      </c>
      <c r="C183" s="7" t="s">
        <v>336</v>
      </c>
      <c r="E183" s="7" t="s">
        <v>274</v>
      </c>
      <c r="F183" s="7" t="s">
        <v>51</v>
      </c>
      <c r="G183" s="8">
        <v>46188</v>
      </c>
      <c r="I183" s="9">
        <f>IF(OR($G183="",$H183=""),"",$H183-$G183)</f>
        <v>0</v>
      </c>
    </row>
    <row r="184" spans="1:9">
      <c r="A184" s="7" t="s">
        <v>168</v>
      </c>
      <c r="B184" s="7" t="s">
        <v>331</v>
      </c>
      <c r="C184" s="7" t="s">
        <v>337</v>
      </c>
      <c r="E184" s="7" t="s">
        <v>274</v>
      </c>
      <c r="F184" s="7" t="s">
        <v>51</v>
      </c>
      <c r="G184" s="8">
        <v>46188</v>
      </c>
      <c r="I184" s="9">
        <f>IF(OR($G184="",$H184=""),"",$H184-$G184)</f>
        <v>0</v>
      </c>
    </row>
    <row r="185" spans="1:9">
      <c r="A185" s="7" t="s">
        <v>168</v>
      </c>
      <c r="B185" s="7" t="s">
        <v>331</v>
      </c>
      <c r="C185" s="7" t="s">
        <v>338</v>
      </c>
      <c r="E185" s="7" t="s">
        <v>274</v>
      </c>
      <c r="F185" s="7" t="s">
        <v>51</v>
      </c>
      <c r="G185" s="8">
        <v>46188</v>
      </c>
      <c r="I185" s="9">
        <f>IF(OR($G185="",$H185=""),"",$H185-$G185)</f>
        <v>0</v>
      </c>
    </row>
    <row r="186" spans="1:9">
      <c r="A186" s="7" t="s">
        <v>168</v>
      </c>
      <c r="B186" s="7" t="s">
        <v>331</v>
      </c>
      <c r="C186" s="7" t="s">
        <v>339</v>
      </c>
      <c r="E186" s="7" t="s">
        <v>274</v>
      </c>
      <c r="F186" s="7" t="s">
        <v>51</v>
      </c>
      <c r="G186" s="8">
        <v>46188</v>
      </c>
      <c r="I186" s="9">
        <f>IF(OR($G186="",$H186=""),"",$H186-$G186)</f>
        <v>0</v>
      </c>
    </row>
    <row r="187" spans="1:9">
      <c r="A187" s="7" t="s">
        <v>168</v>
      </c>
      <c r="B187" s="7" t="s">
        <v>291</v>
      </c>
      <c r="C187" s="7" t="s">
        <v>340</v>
      </c>
      <c r="E187" s="7" t="s">
        <v>274</v>
      </c>
      <c r="F187" s="7" t="s">
        <v>51</v>
      </c>
      <c r="G187" s="8">
        <v>46188</v>
      </c>
      <c r="I187" s="9">
        <f>IF(OR($G187="",$H187=""),"",$H187-$G187)</f>
        <v>0</v>
      </c>
    </row>
    <row r="188" spans="1:9">
      <c r="A188" s="7" t="s">
        <v>168</v>
      </c>
      <c r="B188" s="7" t="s">
        <v>291</v>
      </c>
      <c r="C188" s="7" t="s">
        <v>341</v>
      </c>
      <c r="E188" s="7" t="s">
        <v>274</v>
      </c>
      <c r="F188" s="7" t="s">
        <v>51</v>
      </c>
      <c r="G188" s="8">
        <v>46188</v>
      </c>
      <c r="I188" s="9">
        <f>IF(OR($G188="",$H188=""),"",$H188-$G188)</f>
        <v>0</v>
      </c>
    </row>
    <row r="189" spans="1:9">
      <c r="A189" s="7" t="s">
        <v>168</v>
      </c>
      <c r="B189" s="7" t="s">
        <v>291</v>
      </c>
      <c r="C189" s="7" t="s">
        <v>342</v>
      </c>
      <c r="E189" s="7" t="s">
        <v>274</v>
      </c>
      <c r="F189" s="7" t="s">
        <v>51</v>
      </c>
      <c r="G189" s="8">
        <v>46188</v>
      </c>
      <c r="I189" s="9">
        <f>IF(OR($G189="",$H189=""),"",$H189-$G189)</f>
        <v>0</v>
      </c>
    </row>
    <row r="190" spans="1:9">
      <c r="A190" s="7" t="s">
        <v>168</v>
      </c>
      <c r="B190" s="7" t="s">
        <v>291</v>
      </c>
      <c r="C190" s="7" t="s">
        <v>343</v>
      </c>
      <c r="E190" s="7" t="s">
        <v>274</v>
      </c>
      <c r="F190" s="7" t="s">
        <v>51</v>
      </c>
      <c r="G190" s="8">
        <v>46188</v>
      </c>
      <c r="I190" s="9">
        <f>IF(OR($G190="",$H190=""),"",$H190-$G190)</f>
        <v>0</v>
      </c>
    </row>
    <row r="191" spans="1:9">
      <c r="A191" s="7" t="s">
        <v>168</v>
      </c>
      <c r="B191" s="7" t="s">
        <v>291</v>
      </c>
      <c r="C191" s="7" t="s">
        <v>344</v>
      </c>
      <c r="E191" s="7" t="s">
        <v>274</v>
      </c>
      <c r="F191" s="7" t="s">
        <v>51</v>
      </c>
      <c r="G191" s="8">
        <v>46188</v>
      </c>
      <c r="I191" s="9">
        <f>IF(OR($G191="",$H191=""),"",$H191-$G191)</f>
        <v>0</v>
      </c>
    </row>
    <row r="192" spans="1:9">
      <c r="A192" s="7" t="s">
        <v>168</v>
      </c>
      <c r="B192" s="7" t="s">
        <v>291</v>
      </c>
      <c r="C192" s="7" t="s">
        <v>345</v>
      </c>
      <c r="E192" s="7" t="s">
        <v>274</v>
      </c>
      <c r="F192" s="7" t="s">
        <v>51</v>
      </c>
      <c r="G192" s="8">
        <v>46188</v>
      </c>
      <c r="I192" s="9">
        <f>IF(OR($G192="",$H192=""),"",$H192-$G192)</f>
        <v>0</v>
      </c>
    </row>
    <row r="193" spans="1:9">
      <c r="A193" s="7" t="s">
        <v>168</v>
      </c>
      <c r="B193" s="7" t="s">
        <v>291</v>
      </c>
      <c r="C193" s="7" t="s">
        <v>346</v>
      </c>
      <c r="E193" s="7" t="s">
        <v>274</v>
      </c>
      <c r="F193" s="7" t="s">
        <v>51</v>
      </c>
      <c r="G193" s="8">
        <v>46188</v>
      </c>
      <c r="I193" s="9">
        <f>IF(OR($G193="",$H193=""),"",$H193-$G193)</f>
        <v>0</v>
      </c>
    </row>
    <row r="194" spans="1:9">
      <c r="A194" s="7" t="s">
        <v>168</v>
      </c>
      <c r="B194" s="7" t="s">
        <v>291</v>
      </c>
      <c r="C194" s="7" t="s">
        <v>347</v>
      </c>
      <c r="E194" s="7" t="s">
        <v>274</v>
      </c>
      <c r="F194" s="7" t="s">
        <v>51</v>
      </c>
      <c r="G194" s="8">
        <v>46188</v>
      </c>
      <c r="I194" s="9">
        <f>IF(OR($G194="",$H194=""),"",$H194-$G194)</f>
        <v>0</v>
      </c>
    </row>
    <row r="195" spans="1:9">
      <c r="A195" s="7" t="s">
        <v>168</v>
      </c>
      <c r="B195" s="7" t="s">
        <v>291</v>
      </c>
      <c r="C195" s="7" t="s">
        <v>348</v>
      </c>
      <c r="E195" s="7" t="s">
        <v>274</v>
      </c>
      <c r="F195" s="7" t="s">
        <v>51</v>
      </c>
      <c r="G195" s="8">
        <v>46188</v>
      </c>
      <c r="I195" s="9">
        <f>IF(OR($G195="",$H195=""),"",$H195-$G195)</f>
        <v>0</v>
      </c>
    </row>
    <row r="196" spans="1:9">
      <c r="A196" s="7" t="s">
        <v>168</v>
      </c>
      <c r="B196" s="7" t="s">
        <v>291</v>
      </c>
      <c r="C196" s="7" t="s">
        <v>349</v>
      </c>
      <c r="E196" s="7" t="s">
        <v>274</v>
      </c>
      <c r="F196" s="7" t="s">
        <v>51</v>
      </c>
      <c r="G196" s="8">
        <v>46188</v>
      </c>
      <c r="I196" s="9">
        <f>IF(OR($G196="",$H196=""),"",$H196-$G196)</f>
        <v>0</v>
      </c>
    </row>
    <row r="197" spans="1:9">
      <c r="A197" s="7" t="s">
        <v>176</v>
      </c>
      <c r="B197" s="7" t="s">
        <v>177</v>
      </c>
      <c r="C197" s="7" t="s">
        <v>350</v>
      </c>
      <c r="E197" s="7" t="s">
        <v>351</v>
      </c>
      <c r="F197" s="7" t="s">
        <v>352</v>
      </c>
      <c r="G197" s="8">
        <v>46188</v>
      </c>
      <c r="I197" s="9">
        <f>IF(OR($G197="",$H197=""),"",$H197-$G197)</f>
        <v>0</v>
      </c>
    </row>
    <row r="198" spans="1:9">
      <c r="A198" s="7" t="s">
        <v>176</v>
      </c>
      <c r="B198" s="7" t="s">
        <v>177</v>
      </c>
      <c r="C198" s="7" t="s">
        <v>353</v>
      </c>
      <c r="E198" s="7" t="s">
        <v>351</v>
      </c>
      <c r="F198" s="7" t="s">
        <v>352</v>
      </c>
      <c r="G198" s="8">
        <v>46188</v>
      </c>
      <c r="I198" s="9">
        <f>IF(OR($G198="",$H198=""),"",$H198-$G198)</f>
        <v>0</v>
      </c>
    </row>
    <row r="199" spans="1:9">
      <c r="A199" s="7" t="s">
        <v>176</v>
      </c>
      <c r="B199" s="7" t="s">
        <v>177</v>
      </c>
      <c r="C199" s="7" t="s">
        <v>354</v>
      </c>
      <c r="E199" s="7" t="s">
        <v>351</v>
      </c>
      <c r="F199" s="7" t="s">
        <v>352</v>
      </c>
      <c r="G199" s="8">
        <v>46188</v>
      </c>
      <c r="I199" s="9">
        <f>IF(OR($G199="",$H199=""),"",$H199-$G199)</f>
        <v>0</v>
      </c>
    </row>
    <row r="200" spans="1:9">
      <c r="A200" s="7" t="s">
        <v>176</v>
      </c>
      <c r="B200" s="7" t="s">
        <v>177</v>
      </c>
      <c r="C200" s="7" t="s">
        <v>355</v>
      </c>
      <c r="E200" s="7" t="s">
        <v>351</v>
      </c>
      <c r="F200" s="7" t="s">
        <v>352</v>
      </c>
      <c r="G200" s="8">
        <v>46188</v>
      </c>
      <c r="I200" s="9">
        <f>IF(OR($G200="",$H200=""),"",$H200-$G200)</f>
        <v>0</v>
      </c>
    </row>
    <row r="201" spans="1:9">
      <c r="A201" s="7" t="s">
        <v>176</v>
      </c>
      <c r="B201" s="7" t="s">
        <v>177</v>
      </c>
      <c r="C201" s="7" t="s">
        <v>356</v>
      </c>
      <c r="E201" s="7" t="s">
        <v>351</v>
      </c>
      <c r="F201" s="7" t="s">
        <v>352</v>
      </c>
      <c r="G201" s="8">
        <v>46188</v>
      </c>
      <c r="I201" s="9">
        <f>IF(OR($G201="",$H201=""),"",$H201-$G201)</f>
        <v>0</v>
      </c>
    </row>
    <row r="202" spans="1:9">
      <c r="A202" s="7" t="s">
        <v>176</v>
      </c>
      <c r="B202" s="7" t="s">
        <v>177</v>
      </c>
      <c r="C202" s="7" t="s">
        <v>357</v>
      </c>
      <c r="E202" s="7" t="s">
        <v>351</v>
      </c>
      <c r="F202" s="7" t="s">
        <v>352</v>
      </c>
      <c r="G202" s="8">
        <v>46188</v>
      </c>
      <c r="I202" s="9">
        <f>IF(OR($G202="",$H202=""),"",$H202-$G202)</f>
        <v>0</v>
      </c>
    </row>
    <row r="203" spans="1:9">
      <c r="A203" s="7" t="s">
        <v>176</v>
      </c>
      <c r="B203" s="7" t="s">
        <v>177</v>
      </c>
      <c r="C203" s="7" t="s">
        <v>358</v>
      </c>
      <c r="E203" s="7" t="s">
        <v>351</v>
      </c>
      <c r="F203" s="7" t="s">
        <v>352</v>
      </c>
      <c r="G203" s="8">
        <v>46188</v>
      </c>
      <c r="I203" s="9">
        <f>IF(OR($G203="",$H203=""),"",$H203-$G203)</f>
        <v>0</v>
      </c>
    </row>
    <row r="204" spans="1:9">
      <c r="A204" s="7" t="s">
        <v>176</v>
      </c>
      <c r="B204" s="7" t="s">
        <v>177</v>
      </c>
      <c r="C204" s="7" t="s">
        <v>359</v>
      </c>
      <c r="E204" s="7" t="s">
        <v>351</v>
      </c>
      <c r="F204" s="7" t="s">
        <v>352</v>
      </c>
      <c r="G204" s="8">
        <v>46188</v>
      </c>
      <c r="I204" s="9">
        <f>IF(OR($G204="",$H204=""),"",$H204-$G204)</f>
        <v>0</v>
      </c>
    </row>
    <row r="205" spans="1:9">
      <c r="A205" s="7" t="s">
        <v>176</v>
      </c>
      <c r="B205" s="7" t="s">
        <v>177</v>
      </c>
      <c r="C205" s="7" t="s">
        <v>360</v>
      </c>
      <c r="E205" s="7" t="s">
        <v>351</v>
      </c>
      <c r="F205" s="7" t="s">
        <v>352</v>
      </c>
      <c r="G205" s="8">
        <v>46188</v>
      </c>
      <c r="I205" s="9">
        <f>IF(OR($G205="",$H205=""),"",$H205-$G205)</f>
        <v>0</v>
      </c>
    </row>
    <row r="206" spans="1:9">
      <c r="A206" s="7" t="s">
        <v>176</v>
      </c>
      <c r="B206" s="7" t="s">
        <v>177</v>
      </c>
      <c r="C206" s="7" t="s">
        <v>361</v>
      </c>
      <c r="E206" s="7" t="s">
        <v>351</v>
      </c>
      <c r="F206" s="7" t="s">
        <v>352</v>
      </c>
      <c r="G206" s="8">
        <v>46188</v>
      </c>
      <c r="I206" s="9">
        <f>IF(OR($G206="",$H206=""),"",$H206-$G206)</f>
        <v>0</v>
      </c>
    </row>
    <row r="207" spans="1:9">
      <c r="A207" s="7" t="s">
        <v>176</v>
      </c>
      <c r="B207" s="7" t="s">
        <v>177</v>
      </c>
      <c r="C207" s="7" t="s">
        <v>362</v>
      </c>
      <c r="E207" s="7" t="s">
        <v>351</v>
      </c>
      <c r="F207" s="7" t="s">
        <v>352</v>
      </c>
      <c r="G207" s="8">
        <v>46188</v>
      </c>
      <c r="I207" s="9">
        <f>IF(OR($G207="",$H207=""),"",$H207-$G207)</f>
        <v>0</v>
      </c>
    </row>
    <row r="208" spans="1:9">
      <c r="A208" s="7" t="s">
        <v>176</v>
      </c>
      <c r="B208" s="7" t="s">
        <v>177</v>
      </c>
      <c r="C208" s="7" t="s">
        <v>363</v>
      </c>
      <c r="E208" s="7" t="s">
        <v>351</v>
      </c>
      <c r="F208" s="7" t="s">
        <v>352</v>
      </c>
      <c r="G208" s="8">
        <v>46188</v>
      </c>
      <c r="I208" s="9">
        <f>IF(OR($G208="",$H208=""),"",$H208-$G208)</f>
        <v>0</v>
      </c>
    </row>
    <row r="209" spans="1:9">
      <c r="A209" s="7" t="s">
        <v>176</v>
      </c>
      <c r="B209" s="7" t="s">
        <v>177</v>
      </c>
      <c r="C209" s="7" t="s">
        <v>364</v>
      </c>
      <c r="E209" s="7" t="s">
        <v>351</v>
      </c>
      <c r="F209" s="7" t="s">
        <v>352</v>
      </c>
      <c r="G209" s="8">
        <v>46188</v>
      </c>
      <c r="I209" s="9">
        <f>IF(OR($G209="",$H209=""),"",$H209-$G209)</f>
        <v>0</v>
      </c>
    </row>
    <row r="210" spans="1:9">
      <c r="A210" s="7" t="s">
        <v>176</v>
      </c>
      <c r="B210" s="7" t="s">
        <v>177</v>
      </c>
      <c r="C210" s="7" t="s">
        <v>365</v>
      </c>
      <c r="E210" s="7" t="s">
        <v>351</v>
      </c>
      <c r="F210" s="7" t="s">
        <v>352</v>
      </c>
      <c r="G210" s="8">
        <v>46188</v>
      </c>
      <c r="I210" s="9">
        <f>IF(OR($G210="",$H210=""),"",$H210-$G210)</f>
        <v>0</v>
      </c>
    </row>
    <row r="211" spans="1:9">
      <c r="A211" s="7" t="s">
        <v>176</v>
      </c>
      <c r="B211" s="7" t="s">
        <v>177</v>
      </c>
      <c r="C211" s="7" t="s">
        <v>366</v>
      </c>
      <c r="E211" s="7" t="s">
        <v>351</v>
      </c>
      <c r="F211" s="7" t="s">
        <v>352</v>
      </c>
      <c r="G211" s="8">
        <v>46188</v>
      </c>
      <c r="I211" s="9">
        <f>IF(OR($G211="",$H211=""),"",$H211-$G211)</f>
        <v>0</v>
      </c>
    </row>
    <row r="212" spans="1:9">
      <c r="A212" s="7" t="s">
        <v>176</v>
      </c>
      <c r="B212" s="7" t="s">
        <v>177</v>
      </c>
      <c r="C212" s="7" t="s">
        <v>367</v>
      </c>
      <c r="E212" s="7" t="s">
        <v>351</v>
      </c>
      <c r="F212" s="7" t="s">
        <v>352</v>
      </c>
      <c r="G212" s="8">
        <v>46188</v>
      </c>
      <c r="I212" s="9">
        <f>IF(OR($G212="",$H212=""),"",$H212-$G212)</f>
        <v>0</v>
      </c>
    </row>
    <row r="213" spans="1:9">
      <c r="A213" s="7" t="s">
        <v>176</v>
      </c>
      <c r="B213" s="7" t="s">
        <v>177</v>
      </c>
      <c r="C213" s="7" t="s">
        <v>368</v>
      </c>
      <c r="E213" s="7" t="s">
        <v>351</v>
      </c>
      <c r="F213" s="7" t="s">
        <v>352</v>
      </c>
      <c r="G213" s="8">
        <v>46188</v>
      </c>
      <c r="I213" s="9">
        <f>IF(OR($G213="",$H213=""),"",$H213-$G213)</f>
        <v>0</v>
      </c>
    </row>
    <row r="214" spans="1:9">
      <c r="A214" s="7" t="s">
        <v>176</v>
      </c>
      <c r="B214" s="7" t="s">
        <v>177</v>
      </c>
      <c r="C214" s="7" t="s">
        <v>369</v>
      </c>
      <c r="E214" s="7" t="s">
        <v>351</v>
      </c>
      <c r="F214" s="7" t="s">
        <v>352</v>
      </c>
      <c r="G214" s="8">
        <v>46188</v>
      </c>
      <c r="I214" s="9">
        <f>IF(OR($G214="",$H214=""),"",$H214-$G214)</f>
        <v>0</v>
      </c>
    </row>
    <row r="215" spans="1:9">
      <c r="A215" s="7" t="s">
        <v>176</v>
      </c>
      <c r="B215" s="7" t="s">
        <v>177</v>
      </c>
      <c r="C215" s="7" t="s">
        <v>370</v>
      </c>
      <c r="E215" s="7" t="s">
        <v>351</v>
      </c>
      <c r="F215" s="7" t="s">
        <v>352</v>
      </c>
      <c r="G215" s="8">
        <v>46188</v>
      </c>
      <c r="I215" s="9">
        <f>IF(OR($G215="",$H215=""),"",$H215-$G215)</f>
        <v>0</v>
      </c>
    </row>
    <row r="216" spans="1:9">
      <c r="A216" s="7" t="s">
        <v>176</v>
      </c>
      <c r="B216" s="7" t="s">
        <v>177</v>
      </c>
      <c r="C216" s="7" t="s">
        <v>371</v>
      </c>
      <c r="E216" s="7" t="s">
        <v>351</v>
      </c>
      <c r="F216" s="7" t="s">
        <v>352</v>
      </c>
      <c r="G216" s="8">
        <v>46188</v>
      </c>
      <c r="I216" s="9">
        <f>IF(OR($G216="",$H216=""),"",$H216-$G216)</f>
        <v>0</v>
      </c>
    </row>
    <row r="217" spans="1:9">
      <c r="A217" s="7" t="s">
        <v>176</v>
      </c>
      <c r="B217" s="7" t="s">
        <v>177</v>
      </c>
      <c r="C217" s="7" t="s">
        <v>372</v>
      </c>
      <c r="E217" s="7" t="s">
        <v>351</v>
      </c>
      <c r="F217" s="7" t="s">
        <v>352</v>
      </c>
      <c r="G217" s="8">
        <v>46188</v>
      </c>
      <c r="I217" s="9">
        <f>IF(OR($G217="",$H217=""),"",$H217-$G217)</f>
        <v>0</v>
      </c>
    </row>
    <row r="218" spans="1:9">
      <c r="A218" s="7" t="s">
        <v>176</v>
      </c>
      <c r="B218" s="7" t="s">
        <v>177</v>
      </c>
      <c r="C218" s="7" t="s">
        <v>373</v>
      </c>
      <c r="E218" s="7" t="s">
        <v>351</v>
      </c>
      <c r="F218" s="7" t="s">
        <v>352</v>
      </c>
      <c r="G218" s="8">
        <v>46188</v>
      </c>
      <c r="I218" s="9">
        <f>IF(OR($G218="",$H218=""),"",$H218-$G218)</f>
        <v>0</v>
      </c>
    </row>
    <row r="219" spans="1:9">
      <c r="A219" s="7" t="s">
        <v>176</v>
      </c>
      <c r="B219" s="7" t="s">
        <v>177</v>
      </c>
      <c r="C219" s="7" t="s">
        <v>374</v>
      </c>
      <c r="E219" s="7" t="s">
        <v>351</v>
      </c>
      <c r="F219" s="7" t="s">
        <v>352</v>
      </c>
      <c r="G219" s="8">
        <v>46188</v>
      </c>
      <c r="I219" s="9">
        <f>IF(OR($G219="",$H219=""),"",$H219-$G219)</f>
        <v>0</v>
      </c>
    </row>
    <row r="220" spans="1:9">
      <c r="A220" s="7" t="s">
        <v>176</v>
      </c>
      <c r="B220" s="7" t="s">
        <v>177</v>
      </c>
      <c r="C220" s="7" t="s">
        <v>375</v>
      </c>
      <c r="E220" s="7" t="s">
        <v>351</v>
      </c>
      <c r="F220" s="7" t="s">
        <v>352</v>
      </c>
      <c r="G220" s="8">
        <v>46188</v>
      </c>
      <c r="I220" s="9">
        <f>IF(OR($G220="",$H220=""),"",$H220-$G220)</f>
        <v>0</v>
      </c>
    </row>
    <row r="221" spans="1:9">
      <c r="A221" s="7" t="s">
        <v>176</v>
      </c>
      <c r="B221" s="7" t="s">
        <v>177</v>
      </c>
      <c r="C221" s="7" t="s">
        <v>376</v>
      </c>
      <c r="E221" s="7" t="s">
        <v>351</v>
      </c>
      <c r="F221" s="7" t="s">
        <v>352</v>
      </c>
      <c r="G221" s="8">
        <v>46188</v>
      </c>
      <c r="I221" s="9">
        <f>IF(OR($G221="",$H221=""),"",$H221-$G221)</f>
        <v>0</v>
      </c>
    </row>
    <row r="222" spans="1:9">
      <c r="A222" s="7" t="s">
        <v>168</v>
      </c>
      <c r="B222" s="7" t="s">
        <v>377</v>
      </c>
      <c r="C222" s="7" t="s">
        <v>378</v>
      </c>
      <c r="E222" s="7" t="s">
        <v>274</v>
      </c>
      <c r="F222" s="7" t="s">
        <v>51</v>
      </c>
      <c r="G222" s="8">
        <v>46195</v>
      </c>
      <c r="I222" s="9">
        <f>IF(OR($G222="",$H222=""),"",$H222-$G222)</f>
        <v>0</v>
      </c>
    </row>
    <row r="223" spans="1:9">
      <c r="A223" s="7" t="s">
        <v>168</v>
      </c>
      <c r="B223" s="7" t="s">
        <v>377</v>
      </c>
      <c r="C223" s="7" t="s">
        <v>379</v>
      </c>
      <c r="E223" s="7" t="s">
        <v>274</v>
      </c>
      <c r="F223" s="7" t="s">
        <v>51</v>
      </c>
      <c r="G223" s="8">
        <v>46195</v>
      </c>
      <c r="I223" s="9">
        <f>IF(OR($G223="",$H223=""),"",$H223-$G223)</f>
        <v>0</v>
      </c>
    </row>
    <row r="224" spans="1:9">
      <c r="A224" s="7" t="s">
        <v>168</v>
      </c>
      <c r="B224" s="7" t="s">
        <v>377</v>
      </c>
      <c r="C224" s="7" t="s">
        <v>380</v>
      </c>
      <c r="E224" s="7" t="s">
        <v>274</v>
      </c>
      <c r="F224" s="7" t="s">
        <v>51</v>
      </c>
      <c r="G224" s="8">
        <v>46195</v>
      </c>
      <c r="I224" s="9">
        <f>IF(OR($G224="",$H224=""),"",$H224-$G224)</f>
        <v>0</v>
      </c>
    </row>
    <row r="225" spans="1:9">
      <c r="A225" s="7" t="s">
        <v>168</v>
      </c>
      <c r="B225" s="7" t="s">
        <v>377</v>
      </c>
      <c r="C225" s="7" t="s">
        <v>381</v>
      </c>
      <c r="E225" s="7" t="s">
        <v>274</v>
      </c>
      <c r="F225" s="7" t="s">
        <v>51</v>
      </c>
      <c r="G225" s="8">
        <v>46195</v>
      </c>
      <c r="I225" s="9">
        <f>IF(OR($G225="",$H225=""),"",$H225-$G225)</f>
        <v>0</v>
      </c>
    </row>
    <row r="226" spans="1:9">
      <c r="A226" s="7" t="s">
        <v>168</v>
      </c>
      <c r="B226" s="7" t="s">
        <v>377</v>
      </c>
      <c r="C226" s="7" t="s">
        <v>382</v>
      </c>
      <c r="E226" s="7" t="s">
        <v>274</v>
      </c>
      <c r="F226" s="7" t="s">
        <v>51</v>
      </c>
      <c r="G226" s="8">
        <v>46195</v>
      </c>
      <c r="I226" s="9">
        <f>IF(OR($G226="",$H226=""),"",$H226-$G226)</f>
        <v>0</v>
      </c>
    </row>
    <row r="227" spans="1:9">
      <c r="A227" s="7" t="s">
        <v>21</v>
      </c>
      <c r="B227" s="7" t="s">
        <v>217</v>
      </c>
      <c r="C227" s="7" t="s">
        <v>383</v>
      </c>
      <c r="E227" s="7" t="s">
        <v>219</v>
      </c>
      <c r="F227" s="7" t="s">
        <v>25</v>
      </c>
      <c r="G227" s="8">
        <v>46178</v>
      </c>
      <c r="I227" s="9">
        <f>IF(OR($G227="",$H227=""),"",$H227-$G227)</f>
        <v>0</v>
      </c>
    </row>
    <row r="228" spans="1:9">
      <c r="A228" s="7" t="s">
        <v>384</v>
      </c>
      <c r="B228" s="7" t="s">
        <v>385</v>
      </c>
      <c r="C228" s="7" t="s">
        <v>386</v>
      </c>
      <c r="E228" s="7" t="s">
        <v>387</v>
      </c>
      <c r="F228" s="7" t="s">
        <v>25</v>
      </c>
      <c r="G228" s="8">
        <v>46188</v>
      </c>
      <c r="I228" s="9">
        <f>IF(OR($G228="",$H228=""),"",$H228-$G228)</f>
        <v>0</v>
      </c>
    </row>
    <row r="229" spans="1:9">
      <c r="A229" s="7" t="s">
        <v>384</v>
      </c>
      <c r="B229" s="7" t="s">
        <v>385</v>
      </c>
      <c r="C229" s="7" t="s">
        <v>388</v>
      </c>
      <c r="E229" s="7" t="s">
        <v>387</v>
      </c>
      <c r="F229" s="7" t="s">
        <v>25</v>
      </c>
      <c r="G229" s="8">
        <v>46188</v>
      </c>
      <c r="I229" s="9">
        <f>IF(OR($G229="",$H229=""),"",$H229-$G229)</f>
        <v>0</v>
      </c>
    </row>
    <row r="230" spans="1:9">
      <c r="A230" s="7" t="s">
        <v>384</v>
      </c>
      <c r="B230" s="7" t="s">
        <v>385</v>
      </c>
      <c r="C230" s="7" t="s">
        <v>389</v>
      </c>
      <c r="E230" s="7" t="s">
        <v>387</v>
      </c>
      <c r="F230" s="7" t="s">
        <v>25</v>
      </c>
      <c r="G230" s="8">
        <v>46188</v>
      </c>
      <c r="I230" s="9">
        <f>IF(OR($G230="",$H230=""),"",$H230-$G230)</f>
        <v>0</v>
      </c>
    </row>
    <row r="231" spans="1:9">
      <c r="A231" s="7" t="s">
        <v>384</v>
      </c>
      <c r="B231" s="7" t="s">
        <v>385</v>
      </c>
      <c r="C231" s="7" t="s">
        <v>390</v>
      </c>
      <c r="E231" s="7" t="s">
        <v>387</v>
      </c>
      <c r="F231" s="7" t="s">
        <v>25</v>
      </c>
      <c r="G231" s="8">
        <v>46188</v>
      </c>
      <c r="I231" s="9">
        <f>IF(OR($G231="",$H231=""),"",$H231-$G231)</f>
        <v>0</v>
      </c>
    </row>
    <row r="232" spans="1:9">
      <c r="A232" s="7" t="s">
        <v>384</v>
      </c>
      <c r="B232" s="7" t="s">
        <v>385</v>
      </c>
      <c r="C232" s="7" t="s">
        <v>391</v>
      </c>
      <c r="E232" s="7" t="s">
        <v>387</v>
      </c>
      <c r="F232" s="7" t="s">
        <v>25</v>
      </c>
      <c r="G232" s="8">
        <v>46188</v>
      </c>
      <c r="I232" s="9">
        <f>IF(OR($G232="",$H232=""),"",$H232-$G232)</f>
        <v>0</v>
      </c>
    </row>
    <row r="233" spans="1:9">
      <c r="A233" s="7" t="s">
        <v>384</v>
      </c>
      <c r="B233" s="7" t="s">
        <v>385</v>
      </c>
      <c r="C233" s="7" t="s">
        <v>392</v>
      </c>
      <c r="E233" s="7" t="s">
        <v>387</v>
      </c>
      <c r="F233" s="7" t="s">
        <v>25</v>
      </c>
      <c r="G233" s="8">
        <v>46188</v>
      </c>
      <c r="I233" s="9">
        <f>IF(OR($G233="",$H233=""),"",$H233-$G233)</f>
        <v>0</v>
      </c>
    </row>
    <row r="234" spans="1:9">
      <c r="A234" s="7" t="s">
        <v>384</v>
      </c>
      <c r="B234" s="7" t="s">
        <v>385</v>
      </c>
      <c r="C234" s="7" t="s">
        <v>393</v>
      </c>
      <c r="E234" s="7" t="s">
        <v>387</v>
      </c>
      <c r="F234" s="7" t="s">
        <v>25</v>
      </c>
      <c r="G234" s="8">
        <v>46188</v>
      </c>
      <c r="I234" s="9">
        <f>IF(OR($G234="",$H234=""),"",$H234-$G234)</f>
        <v>0</v>
      </c>
    </row>
    <row r="235" spans="1:9">
      <c r="A235" s="7" t="s">
        <v>384</v>
      </c>
      <c r="B235" s="7" t="s">
        <v>385</v>
      </c>
      <c r="C235" s="7" t="s">
        <v>394</v>
      </c>
      <c r="E235" s="7" t="s">
        <v>387</v>
      </c>
      <c r="F235" s="7" t="s">
        <v>25</v>
      </c>
      <c r="G235" s="8">
        <v>46188</v>
      </c>
      <c r="I235" s="9">
        <f>IF(OR($G235="",$H235=""),"",$H235-$G235)</f>
        <v>0</v>
      </c>
    </row>
    <row r="236" spans="1:9">
      <c r="A236" s="7" t="s">
        <v>384</v>
      </c>
      <c r="B236" s="7" t="s">
        <v>385</v>
      </c>
      <c r="C236" s="7" t="s">
        <v>395</v>
      </c>
      <c r="E236" s="7" t="s">
        <v>387</v>
      </c>
      <c r="F236" s="7" t="s">
        <v>25</v>
      </c>
      <c r="G236" s="8">
        <v>46188</v>
      </c>
      <c r="I236" s="9">
        <f>IF(OR($G236="",$H236=""),"",$H236-$G236)</f>
        <v>0</v>
      </c>
    </row>
    <row r="237" spans="1:9">
      <c r="A237" s="7" t="s">
        <v>384</v>
      </c>
      <c r="B237" s="7" t="s">
        <v>385</v>
      </c>
      <c r="C237" s="7" t="s">
        <v>396</v>
      </c>
      <c r="E237" s="7" t="s">
        <v>387</v>
      </c>
      <c r="F237" s="7" t="s">
        <v>25</v>
      </c>
      <c r="G237" s="8">
        <v>46188</v>
      </c>
      <c r="I237" s="9">
        <f>IF(OR($G237="",$H237=""),"",$H237-$G237)</f>
        <v>0</v>
      </c>
    </row>
    <row r="238" spans="1:9">
      <c r="A238" s="7" t="s">
        <v>384</v>
      </c>
      <c r="B238" s="7" t="s">
        <v>385</v>
      </c>
      <c r="C238" s="7" t="s">
        <v>397</v>
      </c>
      <c r="E238" s="7" t="s">
        <v>387</v>
      </c>
      <c r="F238" s="7" t="s">
        <v>25</v>
      </c>
      <c r="G238" s="8">
        <v>46188</v>
      </c>
      <c r="I238" s="9">
        <f>IF(OR($G238="",$H238=""),"",$H238-$G238)</f>
        <v>0</v>
      </c>
    </row>
    <row r="239" spans="1:9">
      <c r="A239" s="7" t="s">
        <v>384</v>
      </c>
      <c r="B239" s="7" t="s">
        <v>385</v>
      </c>
      <c r="C239" s="7" t="s">
        <v>398</v>
      </c>
      <c r="E239" s="7" t="s">
        <v>387</v>
      </c>
      <c r="F239" s="7" t="s">
        <v>25</v>
      </c>
      <c r="G239" s="8">
        <v>46188</v>
      </c>
      <c r="I239" s="9">
        <f>IF(OR($G239="",$H239=""),"",$H239-$G239)</f>
        <v>0</v>
      </c>
    </row>
    <row r="240" spans="1:9">
      <c r="A240" s="7" t="s">
        <v>384</v>
      </c>
      <c r="B240" s="7" t="s">
        <v>385</v>
      </c>
      <c r="C240" s="7" t="s">
        <v>399</v>
      </c>
      <c r="E240" s="7" t="s">
        <v>387</v>
      </c>
      <c r="F240" s="7" t="s">
        <v>25</v>
      </c>
      <c r="G240" s="8">
        <v>46188</v>
      </c>
      <c r="I240" s="9">
        <f>IF(OR($G240="",$H240=""),"",$H240-$G240)</f>
        <v>0</v>
      </c>
    </row>
    <row r="241" spans="1:9">
      <c r="A241" s="7" t="s">
        <v>384</v>
      </c>
      <c r="B241" s="7" t="s">
        <v>385</v>
      </c>
      <c r="C241" s="7" t="s">
        <v>400</v>
      </c>
      <c r="E241" s="7" t="s">
        <v>387</v>
      </c>
      <c r="F241" s="7" t="s">
        <v>25</v>
      </c>
      <c r="G241" s="8">
        <v>46188</v>
      </c>
      <c r="I241" s="9">
        <f>IF(OR($G241="",$H241=""),"",$H241-$G241)</f>
        <v>0</v>
      </c>
    </row>
    <row r="242" spans="1:9">
      <c r="A242" s="7" t="s">
        <v>384</v>
      </c>
      <c r="B242" s="7" t="s">
        <v>385</v>
      </c>
      <c r="C242" s="7" t="s">
        <v>401</v>
      </c>
      <c r="E242" s="7" t="s">
        <v>387</v>
      </c>
      <c r="F242" s="7" t="s">
        <v>25</v>
      </c>
      <c r="G242" s="8">
        <v>46188</v>
      </c>
      <c r="I242" s="9">
        <f>IF(OR($G242="",$H242=""),"",$H242-$G242)</f>
        <v>0</v>
      </c>
    </row>
    <row r="243" spans="1:9">
      <c r="A243" s="7" t="s">
        <v>384</v>
      </c>
      <c r="B243" s="7" t="s">
        <v>385</v>
      </c>
      <c r="C243" s="7" t="s">
        <v>402</v>
      </c>
      <c r="E243" s="7" t="s">
        <v>387</v>
      </c>
      <c r="F243" s="7" t="s">
        <v>25</v>
      </c>
      <c r="G243" s="8">
        <v>46188</v>
      </c>
      <c r="I243" s="9">
        <f>IF(OR($G243="",$H243=""),"",$H243-$G243)</f>
        <v>0</v>
      </c>
    </row>
    <row r="244" spans="1:9">
      <c r="A244" s="7" t="s">
        <v>384</v>
      </c>
      <c r="B244" s="7" t="s">
        <v>385</v>
      </c>
      <c r="C244" s="7" t="s">
        <v>403</v>
      </c>
      <c r="E244" s="7" t="s">
        <v>387</v>
      </c>
      <c r="F244" s="7" t="s">
        <v>25</v>
      </c>
      <c r="G244" s="8">
        <v>46188</v>
      </c>
      <c r="I244" s="9">
        <f>IF(OR($G244="",$H244=""),"",$H244-$G244)</f>
        <v>0</v>
      </c>
    </row>
    <row r="245" spans="1:9">
      <c r="A245" s="7" t="s">
        <v>384</v>
      </c>
      <c r="B245" s="7" t="s">
        <v>385</v>
      </c>
      <c r="C245" s="7" t="s">
        <v>404</v>
      </c>
      <c r="E245" s="7" t="s">
        <v>387</v>
      </c>
      <c r="F245" s="7" t="s">
        <v>25</v>
      </c>
      <c r="G245" s="8">
        <v>46188</v>
      </c>
      <c r="I245" s="9">
        <f>IF(OR($G245="",$H245=""),"",$H245-$G245)</f>
        <v>0</v>
      </c>
    </row>
    <row r="246" spans="1:9">
      <c r="A246" s="7" t="s">
        <v>384</v>
      </c>
      <c r="B246" s="7" t="s">
        <v>385</v>
      </c>
      <c r="C246" s="7" t="s">
        <v>405</v>
      </c>
      <c r="E246" s="7" t="s">
        <v>387</v>
      </c>
      <c r="F246" s="7" t="s">
        <v>25</v>
      </c>
      <c r="G246" s="8">
        <v>46188</v>
      </c>
      <c r="I246" s="9">
        <f>IF(OR($G246="",$H246=""),"",$H246-$G246)</f>
        <v>0</v>
      </c>
    </row>
    <row r="247" spans="1:9">
      <c r="A247" s="7" t="s">
        <v>384</v>
      </c>
      <c r="B247" s="7" t="s">
        <v>385</v>
      </c>
      <c r="C247" s="7" t="s">
        <v>406</v>
      </c>
      <c r="E247" s="7" t="s">
        <v>387</v>
      </c>
      <c r="F247" s="7" t="s">
        <v>25</v>
      </c>
      <c r="G247" s="8">
        <v>46188</v>
      </c>
      <c r="I247" s="9">
        <f>IF(OR($G247="",$H247=""),"",$H247-$G247)</f>
        <v>0</v>
      </c>
    </row>
    <row r="248" spans="1:9">
      <c r="A248" s="7" t="s">
        <v>384</v>
      </c>
      <c r="B248" s="7" t="s">
        <v>385</v>
      </c>
      <c r="C248" s="7" t="s">
        <v>407</v>
      </c>
      <c r="E248" s="7" t="s">
        <v>387</v>
      </c>
      <c r="F248" s="7" t="s">
        <v>25</v>
      </c>
      <c r="G248" s="8">
        <v>46188</v>
      </c>
      <c r="I248" s="9">
        <f>IF(OR($G248="",$H248=""),"",$H248-$G248)</f>
        <v>0</v>
      </c>
    </row>
    <row r="249" spans="1:9">
      <c r="A249" s="7" t="s">
        <v>384</v>
      </c>
      <c r="B249" s="7" t="s">
        <v>385</v>
      </c>
      <c r="C249" s="7" t="s">
        <v>408</v>
      </c>
      <c r="E249" s="7" t="s">
        <v>387</v>
      </c>
      <c r="F249" s="7" t="s">
        <v>25</v>
      </c>
      <c r="G249" s="8">
        <v>46188</v>
      </c>
      <c r="I249" s="9">
        <f>IF(OR($G249="",$H249=""),"",$H249-$G249)</f>
        <v>0</v>
      </c>
    </row>
    <row r="250" spans="1:9">
      <c r="A250" s="7" t="s">
        <v>384</v>
      </c>
      <c r="B250" s="7" t="s">
        <v>385</v>
      </c>
      <c r="C250" s="7" t="s">
        <v>409</v>
      </c>
      <c r="E250" s="7" t="s">
        <v>387</v>
      </c>
      <c r="F250" s="7" t="s">
        <v>25</v>
      </c>
      <c r="G250" s="8">
        <v>46188</v>
      </c>
      <c r="I250" s="9">
        <f>IF(OR($G250="",$H250=""),"",$H250-$G250)</f>
        <v>0</v>
      </c>
    </row>
    <row r="251" spans="1:9">
      <c r="A251" s="7" t="s">
        <v>384</v>
      </c>
      <c r="B251" s="7" t="s">
        <v>385</v>
      </c>
      <c r="C251" s="7" t="s">
        <v>410</v>
      </c>
      <c r="E251" s="7" t="s">
        <v>387</v>
      </c>
      <c r="F251" s="7" t="s">
        <v>25</v>
      </c>
      <c r="G251" s="8">
        <v>46188</v>
      </c>
      <c r="I251" s="9">
        <f>IF(OR($G251="",$H251=""),"",$H251-$G251)</f>
        <v>0</v>
      </c>
    </row>
    <row r="252" spans="1:9">
      <c r="A252" s="7" t="s">
        <v>384</v>
      </c>
      <c r="B252" s="7" t="s">
        <v>385</v>
      </c>
      <c r="C252" s="7" t="s">
        <v>411</v>
      </c>
      <c r="E252" s="7" t="s">
        <v>387</v>
      </c>
      <c r="F252" s="7" t="s">
        <v>25</v>
      </c>
      <c r="G252" s="8">
        <v>46188</v>
      </c>
      <c r="I252" s="9">
        <f>IF(OR($G252="",$H252=""),"",$H252-$G252)</f>
        <v>0</v>
      </c>
    </row>
    <row r="253" spans="1:9">
      <c r="A253" s="7" t="s">
        <v>384</v>
      </c>
      <c r="B253" s="7" t="s">
        <v>385</v>
      </c>
      <c r="C253" s="7" t="s">
        <v>412</v>
      </c>
      <c r="E253" s="7" t="s">
        <v>387</v>
      </c>
      <c r="F253" s="7" t="s">
        <v>25</v>
      </c>
      <c r="G253" s="8">
        <v>46188</v>
      </c>
      <c r="I253" s="9">
        <f>IF(OR($G253="",$H253=""),"",$H253-$G253)</f>
        <v>0</v>
      </c>
    </row>
    <row r="254" spans="1:9">
      <c r="A254" s="7" t="s">
        <v>384</v>
      </c>
      <c r="B254" s="7" t="s">
        <v>385</v>
      </c>
      <c r="C254" s="7" t="s">
        <v>413</v>
      </c>
      <c r="E254" s="7" t="s">
        <v>387</v>
      </c>
      <c r="F254" s="7" t="s">
        <v>25</v>
      </c>
      <c r="G254" s="8">
        <v>46188</v>
      </c>
      <c r="I254" s="9">
        <f>IF(OR($G254="",$H254=""),"",$H254-$G254)</f>
        <v>0</v>
      </c>
    </row>
    <row r="255" spans="1:9">
      <c r="A255" s="7" t="s">
        <v>384</v>
      </c>
      <c r="B255" s="7" t="s">
        <v>385</v>
      </c>
      <c r="C255" s="7" t="s">
        <v>414</v>
      </c>
      <c r="E255" s="7" t="s">
        <v>387</v>
      </c>
      <c r="F255" s="7" t="s">
        <v>25</v>
      </c>
      <c r="G255" s="8">
        <v>46188</v>
      </c>
      <c r="I255" s="9">
        <f>IF(OR($G255="",$H255=""),"",$H255-$G255)</f>
        <v>0</v>
      </c>
    </row>
    <row r="256" spans="1:9">
      <c r="A256" s="7" t="s">
        <v>384</v>
      </c>
      <c r="B256" s="7" t="s">
        <v>385</v>
      </c>
      <c r="C256" s="7" t="s">
        <v>415</v>
      </c>
      <c r="E256" s="7" t="s">
        <v>416</v>
      </c>
      <c r="F256" s="7" t="s">
        <v>25</v>
      </c>
      <c r="G256" s="8">
        <v>46188</v>
      </c>
      <c r="I256" s="9">
        <f>IF(OR($G256="",$H256=""),"",$H256-$G256)</f>
        <v>0</v>
      </c>
    </row>
    <row r="257" spans="1:9">
      <c r="A257" s="7" t="s">
        <v>384</v>
      </c>
      <c r="B257" s="7" t="s">
        <v>385</v>
      </c>
      <c r="C257" s="7" t="s">
        <v>417</v>
      </c>
      <c r="E257" s="7" t="s">
        <v>416</v>
      </c>
      <c r="F257" s="7" t="s">
        <v>25</v>
      </c>
      <c r="G257" s="8">
        <v>46188</v>
      </c>
      <c r="I257" s="9">
        <f>IF(OR($G257="",$H257=""),"",$H257-$G257)</f>
        <v>0</v>
      </c>
    </row>
    <row r="258" spans="1:9">
      <c r="A258" s="7" t="s">
        <v>384</v>
      </c>
      <c r="B258" s="7" t="s">
        <v>385</v>
      </c>
      <c r="C258" s="7" t="s">
        <v>418</v>
      </c>
      <c r="E258" s="7" t="s">
        <v>416</v>
      </c>
      <c r="F258" s="7" t="s">
        <v>25</v>
      </c>
      <c r="G258" s="8">
        <v>46188</v>
      </c>
      <c r="I258" s="9">
        <f>IF(OR($G258="",$H258=""),"",$H258-$G258)</f>
        <v>0</v>
      </c>
    </row>
    <row r="259" spans="1:9">
      <c r="A259" s="7" t="s">
        <v>384</v>
      </c>
      <c r="B259" s="7" t="s">
        <v>385</v>
      </c>
      <c r="C259" s="7" t="s">
        <v>419</v>
      </c>
      <c r="E259" s="7" t="s">
        <v>416</v>
      </c>
      <c r="F259" s="7" t="s">
        <v>25</v>
      </c>
      <c r="G259" s="8">
        <v>46188</v>
      </c>
      <c r="I259" s="9">
        <f>IF(OR($G259="",$H259=""),"",$H259-$G259)</f>
        <v>0</v>
      </c>
    </row>
    <row r="260" spans="1:9">
      <c r="A260" s="7" t="s">
        <v>384</v>
      </c>
      <c r="B260" s="7" t="s">
        <v>385</v>
      </c>
      <c r="C260" s="7" t="s">
        <v>420</v>
      </c>
      <c r="E260" s="7" t="s">
        <v>416</v>
      </c>
      <c r="F260" s="7" t="s">
        <v>25</v>
      </c>
      <c r="G260" s="8">
        <v>46188</v>
      </c>
      <c r="I260" s="9">
        <f>IF(OR($G260="",$H260=""),"",$H260-$G260)</f>
        <v>0</v>
      </c>
    </row>
    <row r="261" spans="1:9">
      <c r="A261" s="7" t="s">
        <v>384</v>
      </c>
      <c r="B261" s="7" t="s">
        <v>385</v>
      </c>
      <c r="C261" s="7" t="s">
        <v>421</v>
      </c>
      <c r="E261" s="7" t="s">
        <v>416</v>
      </c>
      <c r="F261" s="7" t="s">
        <v>25</v>
      </c>
      <c r="G261" s="8">
        <v>46188</v>
      </c>
      <c r="I261" s="9">
        <f>IF(OR($G261="",$H261=""),"",$H261-$G261)</f>
        <v>0</v>
      </c>
    </row>
    <row r="262" spans="1:9">
      <c r="A262" s="7" t="s">
        <v>384</v>
      </c>
      <c r="B262" s="7" t="s">
        <v>385</v>
      </c>
      <c r="C262" s="7" t="s">
        <v>422</v>
      </c>
      <c r="E262" s="7" t="s">
        <v>416</v>
      </c>
      <c r="F262" s="7" t="s">
        <v>25</v>
      </c>
      <c r="G262" s="8">
        <v>46188</v>
      </c>
      <c r="I262" s="9">
        <f>IF(OR($G262="",$H262=""),"",$H262-$G262)</f>
        <v>0</v>
      </c>
    </row>
    <row r="263" spans="1:9">
      <c r="A263" s="7" t="s">
        <v>384</v>
      </c>
      <c r="B263" s="7" t="s">
        <v>385</v>
      </c>
      <c r="C263" s="7" t="s">
        <v>423</v>
      </c>
      <c r="E263" s="7" t="s">
        <v>416</v>
      </c>
      <c r="F263" s="7" t="s">
        <v>25</v>
      </c>
      <c r="G263" s="8">
        <v>46188</v>
      </c>
      <c r="I263" s="9">
        <f>IF(OR($G263="",$H263=""),"",$H263-$G263)</f>
        <v>0</v>
      </c>
    </row>
    <row r="264" spans="1:9">
      <c r="A264" s="7" t="s">
        <v>384</v>
      </c>
      <c r="B264" s="7" t="s">
        <v>385</v>
      </c>
      <c r="C264" s="7" t="s">
        <v>424</v>
      </c>
      <c r="E264" s="7" t="s">
        <v>416</v>
      </c>
      <c r="F264" s="7" t="s">
        <v>25</v>
      </c>
      <c r="G264" s="8">
        <v>46188</v>
      </c>
      <c r="I264" s="9">
        <f>IF(OR($G264="",$H264=""),"",$H264-$G264)</f>
        <v>0</v>
      </c>
    </row>
    <row r="265" spans="1:9">
      <c r="A265" s="7" t="s">
        <v>384</v>
      </c>
      <c r="B265" s="7" t="s">
        <v>385</v>
      </c>
      <c r="C265" s="7" t="s">
        <v>425</v>
      </c>
      <c r="E265" s="7" t="s">
        <v>416</v>
      </c>
      <c r="F265" s="7" t="s">
        <v>25</v>
      </c>
      <c r="G265" s="8">
        <v>46188</v>
      </c>
      <c r="I265" s="9">
        <f>IF(OR($G265="",$H265=""),"",$H265-$G265)</f>
        <v>0</v>
      </c>
    </row>
    <row r="266" spans="1:9">
      <c r="A266" s="7" t="s">
        <v>384</v>
      </c>
      <c r="B266" s="7" t="s">
        <v>385</v>
      </c>
      <c r="C266" s="7" t="s">
        <v>426</v>
      </c>
      <c r="E266" s="7" t="s">
        <v>416</v>
      </c>
      <c r="F266" s="7" t="s">
        <v>25</v>
      </c>
      <c r="G266" s="8">
        <v>46188</v>
      </c>
      <c r="I266" s="9">
        <f>IF(OR($G266="",$H266=""),"",$H266-$G266)</f>
        <v>0</v>
      </c>
    </row>
    <row r="267" spans="1:9">
      <c r="A267" s="7" t="s">
        <v>384</v>
      </c>
      <c r="B267" s="7" t="s">
        <v>385</v>
      </c>
      <c r="C267" s="7" t="s">
        <v>427</v>
      </c>
      <c r="E267" s="7" t="s">
        <v>416</v>
      </c>
      <c r="F267" s="7" t="s">
        <v>25</v>
      </c>
      <c r="G267" s="8">
        <v>46188</v>
      </c>
      <c r="I267" s="9">
        <f>IF(OR($G267="",$H267=""),"",$H267-$G267)</f>
        <v>0</v>
      </c>
    </row>
    <row r="268" spans="1:9">
      <c r="A268" s="7" t="s">
        <v>384</v>
      </c>
      <c r="B268" s="7" t="s">
        <v>385</v>
      </c>
      <c r="C268" s="7" t="s">
        <v>428</v>
      </c>
      <c r="E268" s="7" t="s">
        <v>416</v>
      </c>
      <c r="F268" s="7" t="s">
        <v>25</v>
      </c>
      <c r="G268" s="8">
        <v>46188</v>
      </c>
      <c r="I268" s="9">
        <f>IF(OR($G268="",$H268=""),"",$H268-$G268)</f>
        <v>0</v>
      </c>
    </row>
    <row r="269" spans="1:9">
      <c r="A269" s="7" t="s">
        <v>384</v>
      </c>
      <c r="B269" s="7" t="s">
        <v>385</v>
      </c>
      <c r="C269" s="7" t="s">
        <v>429</v>
      </c>
      <c r="E269" s="7" t="s">
        <v>416</v>
      </c>
      <c r="F269" s="7" t="s">
        <v>25</v>
      </c>
      <c r="G269" s="8">
        <v>46188</v>
      </c>
      <c r="I269" s="9">
        <f>IF(OR($G269="",$H269=""),"",$H269-$G269)</f>
        <v>0</v>
      </c>
    </row>
    <row r="270" spans="1:9">
      <c r="A270" s="7" t="s">
        <v>384</v>
      </c>
      <c r="B270" s="7" t="s">
        <v>385</v>
      </c>
      <c r="C270" s="7" t="s">
        <v>430</v>
      </c>
      <c r="E270" s="7" t="s">
        <v>416</v>
      </c>
      <c r="F270" s="7" t="s">
        <v>25</v>
      </c>
      <c r="G270" s="8">
        <v>46188</v>
      </c>
      <c r="I270" s="9">
        <f>IF(OR($G270="",$H270=""),"",$H270-$G270)</f>
        <v>0</v>
      </c>
    </row>
    <row r="271" spans="1:9">
      <c r="A271" s="7" t="s">
        <v>384</v>
      </c>
      <c r="B271" s="7" t="s">
        <v>385</v>
      </c>
      <c r="C271" s="7" t="s">
        <v>431</v>
      </c>
      <c r="E271" s="7" t="s">
        <v>416</v>
      </c>
      <c r="F271" s="7" t="s">
        <v>25</v>
      </c>
      <c r="G271" s="8">
        <v>46188</v>
      </c>
      <c r="I271" s="9">
        <f>IF(OR($G271="",$H271=""),"",$H271-$G271)</f>
        <v>0</v>
      </c>
    </row>
    <row r="272" spans="1:9">
      <c r="A272" s="7" t="s">
        <v>384</v>
      </c>
      <c r="B272" s="7" t="s">
        <v>385</v>
      </c>
      <c r="C272" s="7" t="s">
        <v>432</v>
      </c>
      <c r="E272" s="7" t="s">
        <v>416</v>
      </c>
      <c r="F272" s="7" t="s">
        <v>25</v>
      </c>
      <c r="G272" s="8">
        <v>46188</v>
      </c>
      <c r="I272" s="9">
        <f>IF(OR($G272="",$H272=""),"",$H272-$G272)</f>
        <v>0</v>
      </c>
    </row>
    <row r="273" spans="1:9">
      <c r="A273" s="7" t="s">
        <v>384</v>
      </c>
      <c r="B273" s="7" t="s">
        <v>385</v>
      </c>
      <c r="C273" s="7" t="s">
        <v>433</v>
      </c>
      <c r="E273" s="7" t="s">
        <v>416</v>
      </c>
      <c r="F273" s="7" t="s">
        <v>25</v>
      </c>
      <c r="G273" s="8">
        <v>46188</v>
      </c>
      <c r="I273" s="9">
        <f>IF(OR($G273="",$H273=""),"",$H273-$G273)</f>
        <v>0</v>
      </c>
    </row>
    <row r="274" spans="1:9">
      <c r="A274" s="7" t="s">
        <v>384</v>
      </c>
      <c r="B274" s="7" t="s">
        <v>385</v>
      </c>
      <c r="C274" s="7" t="s">
        <v>434</v>
      </c>
      <c r="E274" s="7" t="s">
        <v>435</v>
      </c>
      <c r="F274" s="7" t="s">
        <v>25</v>
      </c>
      <c r="G274" s="8">
        <v>46188</v>
      </c>
      <c r="I274" s="9">
        <f>IF(OR($G274="",$H274=""),"",$H274-$G274)</f>
        <v>0</v>
      </c>
    </row>
    <row r="275" spans="1:9">
      <c r="A275" s="7" t="s">
        <v>384</v>
      </c>
      <c r="B275" s="7" t="s">
        <v>385</v>
      </c>
      <c r="C275" s="7" t="s">
        <v>436</v>
      </c>
      <c r="E275" s="7" t="s">
        <v>435</v>
      </c>
      <c r="F275" s="7" t="s">
        <v>25</v>
      </c>
      <c r="G275" s="8">
        <v>46188</v>
      </c>
      <c r="I275" s="9">
        <f>IF(OR($G275="",$H275=""),"",$H275-$G275)</f>
        <v>0</v>
      </c>
    </row>
    <row r="276" spans="1:9">
      <c r="A276" s="7" t="s">
        <v>384</v>
      </c>
      <c r="B276" s="7" t="s">
        <v>385</v>
      </c>
      <c r="C276" s="7" t="s">
        <v>437</v>
      </c>
      <c r="E276" s="7" t="s">
        <v>435</v>
      </c>
      <c r="F276" s="7" t="s">
        <v>25</v>
      </c>
      <c r="G276" s="8">
        <v>46188</v>
      </c>
      <c r="I276" s="9">
        <f>IF(OR($G276="",$H276=""),"",$H276-$G276)</f>
        <v>0</v>
      </c>
    </row>
    <row r="277" spans="1:9">
      <c r="A277" s="7" t="s">
        <v>384</v>
      </c>
      <c r="B277" s="7" t="s">
        <v>385</v>
      </c>
      <c r="C277" s="7" t="s">
        <v>438</v>
      </c>
      <c r="E277" s="7" t="s">
        <v>435</v>
      </c>
      <c r="F277" s="7" t="s">
        <v>25</v>
      </c>
      <c r="G277" s="8">
        <v>46188</v>
      </c>
      <c r="I277" s="9">
        <f>IF(OR($G277="",$H277=""),"",$H277-$G277)</f>
        <v>0</v>
      </c>
    </row>
    <row r="278" spans="1:9">
      <c r="A278" s="7" t="s">
        <v>384</v>
      </c>
      <c r="B278" s="7" t="s">
        <v>385</v>
      </c>
      <c r="C278" s="7" t="s">
        <v>439</v>
      </c>
      <c r="E278" s="7" t="s">
        <v>435</v>
      </c>
      <c r="F278" s="7" t="s">
        <v>25</v>
      </c>
      <c r="G278" s="8">
        <v>46188</v>
      </c>
      <c r="I278" s="9">
        <f>IF(OR($G278="",$H278=""),"",$H278-$G278)</f>
        <v>0</v>
      </c>
    </row>
    <row r="279" spans="1:9">
      <c r="A279" s="7" t="s">
        <v>384</v>
      </c>
      <c r="B279" s="7" t="s">
        <v>385</v>
      </c>
      <c r="C279" s="7" t="s">
        <v>440</v>
      </c>
      <c r="E279" s="7" t="s">
        <v>435</v>
      </c>
      <c r="F279" s="7" t="s">
        <v>25</v>
      </c>
      <c r="G279" s="8">
        <v>46188</v>
      </c>
      <c r="I279" s="9">
        <f>IF(OR($G279="",$H279=""),"",$H279-$G279)</f>
        <v>0</v>
      </c>
    </row>
    <row r="280" spans="1:9">
      <c r="A280" s="7" t="s">
        <v>384</v>
      </c>
      <c r="B280" s="7" t="s">
        <v>385</v>
      </c>
      <c r="C280" s="7" t="s">
        <v>441</v>
      </c>
      <c r="E280" s="7" t="s">
        <v>435</v>
      </c>
      <c r="F280" s="7" t="s">
        <v>25</v>
      </c>
      <c r="G280" s="8">
        <v>46188</v>
      </c>
      <c r="I280" s="9">
        <f>IF(OR($G280="",$H280=""),"",$H280-$G280)</f>
        <v>0</v>
      </c>
    </row>
    <row r="281" spans="1:9">
      <c r="A281" s="7" t="s">
        <v>384</v>
      </c>
      <c r="B281" s="7" t="s">
        <v>385</v>
      </c>
      <c r="C281" s="7" t="s">
        <v>442</v>
      </c>
      <c r="E281" s="7" t="s">
        <v>435</v>
      </c>
      <c r="F281" s="7" t="s">
        <v>25</v>
      </c>
      <c r="G281" s="8">
        <v>46188</v>
      </c>
      <c r="I281" s="9">
        <f>IF(OR($G281="",$H281=""),"",$H281-$G281)</f>
        <v>0</v>
      </c>
    </row>
    <row r="282" spans="1:9">
      <c r="A282" s="7" t="s">
        <v>384</v>
      </c>
      <c r="B282" s="7" t="s">
        <v>385</v>
      </c>
      <c r="C282" s="7" t="s">
        <v>443</v>
      </c>
      <c r="E282" s="7" t="s">
        <v>435</v>
      </c>
      <c r="F282" s="7" t="s">
        <v>25</v>
      </c>
      <c r="G282" s="8">
        <v>46188</v>
      </c>
      <c r="I282" s="9">
        <f>IF(OR($G282="",$H282=""),"",$H282-$G282)</f>
        <v>0</v>
      </c>
    </row>
    <row r="283" spans="1:9">
      <c r="A283" s="7" t="s">
        <v>384</v>
      </c>
      <c r="B283" s="7" t="s">
        <v>385</v>
      </c>
      <c r="C283" s="7" t="s">
        <v>444</v>
      </c>
      <c r="E283" s="7" t="s">
        <v>435</v>
      </c>
      <c r="F283" s="7" t="s">
        <v>25</v>
      </c>
      <c r="G283" s="8">
        <v>46188</v>
      </c>
      <c r="I283" s="9">
        <f>IF(OR($G283="",$H283=""),"",$H283-$G283)</f>
        <v>0</v>
      </c>
    </row>
    <row r="284" spans="1:9">
      <c r="A284" s="7" t="s">
        <v>384</v>
      </c>
      <c r="B284" s="7" t="s">
        <v>385</v>
      </c>
      <c r="C284" s="7" t="s">
        <v>445</v>
      </c>
      <c r="E284" s="7" t="s">
        <v>435</v>
      </c>
      <c r="F284" s="7" t="s">
        <v>25</v>
      </c>
      <c r="G284" s="8">
        <v>46188</v>
      </c>
      <c r="I284" s="9">
        <f>IF(OR($G284="",$H284=""),"",$H284-$G284)</f>
        <v>0</v>
      </c>
    </row>
    <row r="285" spans="1:9">
      <c r="A285" s="7" t="s">
        <v>384</v>
      </c>
      <c r="B285" s="7" t="s">
        <v>385</v>
      </c>
      <c r="C285" s="7" t="s">
        <v>446</v>
      </c>
      <c r="E285" s="7" t="s">
        <v>435</v>
      </c>
      <c r="F285" s="7" t="s">
        <v>25</v>
      </c>
      <c r="G285" s="8">
        <v>46188</v>
      </c>
      <c r="I285" s="9">
        <f>IF(OR($G285="",$H285=""),"",$H285-$G285)</f>
        <v>0</v>
      </c>
    </row>
    <row r="286" spans="1:9">
      <c r="A286" s="7" t="s">
        <v>384</v>
      </c>
      <c r="B286" s="7" t="s">
        <v>385</v>
      </c>
      <c r="C286" s="7" t="s">
        <v>447</v>
      </c>
      <c r="E286" s="7" t="s">
        <v>435</v>
      </c>
      <c r="F286" s="7" t="s">
        <v>25</v>
      </c>
      <c r="G286" s="8">
        <v>46188</v>
      </c>
      <c r="I286" s="9">
        <f>IF(OR($G286="",$H286=""),"",$H286-$G286)</f>
        <v>0</v>
      </c>
    </row>
    <row r="287" spans="1:9">
      <c r="A287" s="7" t="s">
        <v>384</v>
      </c>
      <c r="B287" s="7" t="s">
        <v>385</v>
      </c>
      <c r="C287" s="7" t="s">
        <v>448</v>
      </c>
      <c r="E287" s="7" t="s">
        <v>435</v>
      </c>
      <c r="F287" s="7" t="s">
        <v>25</v>
      </c>
      <c r="G287" s="8">
        <v>46188</v>
      </c>
      <c r="I287" s="9">
        <f>IF(OR($G287="",$H287=""),"",$H287-$G287)</f>
        <v>0</v>
      </c>
    </row>
    <row r="288" spans="1:9">
      <c r="A288" s="7" t="s">
        <v>384</v>
      </c>
      <c r="B288" s="7" t="s">
        <v>385</v>
      </c>
      <c r="C288" s="7" t="s">
        <v>449</v>
      </c>
      <c r="E288" s="7" t="s">
        <v>435</v>
      </c>
      <c r="F288" s="7" t="s">
        <v>25</v>
      </c>
      <c r="G288" s="8">
        <v>46188</v>
      </c>
      <c r="I288" s="9">
        <f>IF(OR($G288="",$H288=""),"",$H288-$G288)</f>
        <v>0</v>
      </c>
    </row>
    <row r="289" spans="1:9">
      <c r="A289" s="7" t="s">
        <v>384</v>
      </c>
      <c r="B289" s="7" t="s">
        <v>385</v>
      </c>
      <c r="C289" s="7" t="s">
        <v>450</v>
      </c>
      <c r="E289" s="7" t="s">
        <v>435</v>
      </c>
      <c r="F289" s="7" t="s">
        <v>25</v>
      </c>
      <c r="G289" s="8">
        <v>46188</v>
      </c>
      <c r="I289" s="9">
        <f>IF(OR($G289="",$H289=""),"",$H289-$G289)</f>
        <v>0</v>
      </c>
    </row>
    <row r="290" spans="1:9">
      <c r="A290" s="7" t="s">
        <v>384</v>
      </c>
      <c r="B290" s="7" t="s">
        <v>385</v>
      </c>
      <c r="C290" s="7" t="s">
        <v>451</v>
      </c>
      <c r="E290" s="7" t="s">
        <v>435</v>
      </c>
      <c r="F290" s="7" t="s">
        <v>25</v>
      </c>
      <c r="G290" s="8">
        <v>46188</v>
      </c>
      <c r="I290" s="9">
        <f>IF(OR($G290="",$H290=""),"",$H290-$G290)</f>
        <v>0</v>
      </c>
    </row>
    <row r="291" spans="1:9">
      <c r="A291" s="7" t="s">
        <v>384</v>
      </c>
      <c r="B291" s="7" t="s">
        <v>385</v>
      </c>
      <c r="C291" s="7" t="s">
        <v>452</v>
      </c>
      <c r="E291" s="7" t="s">
        <v>435</v>
      </c>
      <c r="F291" s="7" t="s">
        <v>25</v>
      </c>
      <c r="G291" s="8">
        <v>46188</v>
      </c>
      <c r="I291" s="9">
        <f>IF(OR($G291="",$H291=""),"",$H291-$G291)</f>
        <v>0</v>
      </c>
    </row>
    <row r="292" spans="1:9">
      <c r="A292" s="7" t="s">
        <v>384</v>
      </c>
      <c r="B292" s="7" t="s">
        <v>385</v>
      </c>
      <c r="C292" s="7" t="s">
        <v>453</v>
      </c>
      <c r="E292" s="7" t="s">
        <v>24</v>
      </c>
      <c r="F292" s="7" t="s">
        <v>25</v>
      </c>
      <c r="G292" s="8">
        <v>46188</v>
      </c>
      <c r="I292" s="9">
        <f>IF(OR($G292="",$H292=""),"",$H292-$G292)</f>
        <v>0</v>
      </c>
    </row>
    <row r="293" spans="1:9">
      <c r="A293" s="7" t="s">
        <v>384</v>
      </c>
      <c r="B293" s="7" t="s">
        <v>385</v>
      </c>
      <c r="C293" s="7" t="s">
        <v>454</v>
      </c>
      <c r="E293" s="7" t="s">
        <v>24</v>
      </c>
      <c r="F293" s="7" t="s">
        <v>25</v>
      </c>
      <c r="G293" s="8">
        <v>46188</v>
      </c>
      <c r="I293" s="9">
        <f>IF(OR($G293="",$H293=""),"",$H293-$G293)</f>
        <v>0</v>
      </c>
    </row>
    <row r="294" spans="1:9">
      <c r="A294" s="7" t="s">
        <v>384</v>
      </c>
      <c r="B294" s="7" t="s">
        <v>385</v>
      </c>
      <c r="C294" s="7" t="s">
        <v>455</v>
      </c>
      <c r="E294" s="7" t="s">
        <v>24</v>
      </c>
      <c r="F294" s="7" t="s">
        <v>25</v>
      </c>
      <c r="G294" s="8">
        <v>46188</v>
      </c>
      <c r="I294" s="9">
        <f>IF(OR($G294="",$H294=""),"",$H294-$G294)</f>
        <v>0</v>
      </c>
    </row>
    <row r="295" spans="1:9">
      <c r="A295" s="7" t="s">
        <v>384</v>
      </c>
      <c r="B295" s="7" t="s">
        <v>385</v>
      </c>
      <c r="C295" s="7" t="s">
        <v>456</v>
      </c>
      <c r="E295" s="7" t="s">
        <v>24</v>
      </c>
      <c r="F295" s="7" t="s">
        <v>25</v>
      </c>
      <c r="G295" s="8">
        <v>46188</v>
      </c>
      <c r="I295" s="9">
        <f>IF(OR($G295="",$H295=""),"",$H295-$G295)</f>
        <v>0</v>
      </c>
    </row>
    <row r="296" spans="1:9">
      <c r="A296" s="7" t="s">
        <v>384</v>
      </c>
      <c r="B296" s="7" t="s">
        <v>385</v>
      </c>
      <c r="C296" s="7" t="s">
        <v>457</v>
      </c>
      <c r="E296" s="7" t="s">
        <v>24</v>
      </c>
      <c r="F296" s="7" t="s">
        <v>25</v>
      </c>
      <c r="G296" s="8">
        <v>46188</v>
      </c>
      <c r="I296" s="9">
        <f>IF(OR($G296="",$H296=""),"",$H296-$G296)</f>
        <v>0</v>
      </c>
    </row>
    <row r="297" spans="1:9">
      <c r="A297" s="7" t="s">
        <v>384</v>
      </c>
      <c r="B297" s="7" t="s">
        <v>385</v>
      </c>
      <c r="C297" s="7" t="s">
        <v>458</v>
      </c>
      <c r="E297" s="7" t="s">
        <v>24</v>
      </c>
      <c r="F297" s="7" t="s">
        <v>25</v>
      </c>
      <c r="G297" s="8">
        <v>46188</v>
      </c>
      <c r="I297" s="9">
        <f>IF(OR($G297="",$H297=""),"",$H297-$G297)</f>
        <v>0</v>
      </c>
    </row>
    <row r="298" spans="1:9">
      <c r="A298" s="7" t="s">
        <v>384</v>
      </c>
      <c r="B298" s="7" t="s">
        <v>385</v>
      </c>
      <c r="C298" s="7" t="s">
        <v>459</v>
      </c>
      <c r="E298" s="7" t="s">
        <v>24</v>
      </c>
      <c r="F298" s="7" t="s">
        <v>25</v>
      </c>
      <c r="G298" s="8">
        <v>46188</v>
      </c>
      <c r="I298" s="9">
        <f>IF(OR($G298="",$H298=""),"",$H298-$G298)</f>
        <v>0</v>
      </c>
    </row>
    <row r="299" spans="1:9">
      <c r="A299" s="7" t="s">
        <v>384</v>
      </c>
      <c r="B299" s="7" t="s">
        <v>385</v>
      </c>
      <c r="C299" s="7" t="s">
        <v>460</v>
      </c>
      <c r="E299" s="7" t="s">
        <v>24</v>
      </c>
      <c r="F299" s="7" t="s">
        <v>25</v>
      </c>
      <c r="G299" s="8">
        <v>46188</v>
      </c>
      <c r="I299" s="9">
        <f>IF(OR($G299="",$H299=""),"",$H299-$G299)</f>
        <v>0</v>
      </c>
    </row>
    <row r="300" spans="1:9">
      <c r="A300" s="7" t="s">
        <v>384</v>
      </c>
      <c r="B300" s="7" t="s">
        <v>385</v>
      </c>
      <c r="C300" s="7" t="s">
        <v>461</v>
      </c>
      <c r="E300" s="7" t="s">
        <v>24</v>
      </c>
      <c r="F300" s="7" t="s">
        <v>25</v>
      </c>
      <c r="G300" s="8">
        <v>46188</v>
      </c>
      <c r="I300" s="9">
        <f>IF(OR($G300="",$H300=""),"",$H300-$G300)</f>
        <v>0</v>
      </c>
    </row>
    <row r="301" spans="1:9">
      <c r="A301" s="7" t="s">
        <v>384</v>
      </c>
      <c r="B301" s="7" t="s">
        <v>385</v>
      </c>
      <c r="C301" s="7" t="s">
        <v>462</v>
      </c>
      <c r="E301" s="7" t="s">
        <v>24</v>
      </c>
      <c r="F301" s="7" t="s">
        <v>25</v>
      </c>
      <c r="G301" s="8">
        <v>46188</v>
      </c>
      <c r="I301" s="9">
        <f>IF(OR($G301="",$H301=""),"",$H301-$G301)</f>
        <v>0</v>
      </c>
    </row>
    <row r="302" spans="1:9">
      <c r="A302" s="7" t="s">
        <v>384</v>
      </c>
      <c r="B302" s="7" t="s">
        <v>385</v>
      </c>
      <c r="C302" s="7" t="s">
        <v>463</v>
      </c>
      <c r="E302" s="7" t="s">
        <v>416</v>
      </c>
      <c r="F302" s="7" t="s">
        <v>25</v>
      </c>
      <c r="G302" s="8">
        <v>46188</v>
      </c>
      <c r="I302" s="9">
        <f>IF(OR($G302="",$H302=""),"",$H302-$G302)</f>
        <v>0</v>
      </c>
    </row>
    <row r="303" spans="1:9">
      <c r="A303" s="7" t="s">
        <v>384</v>
      </c>
      <c r="B303" s="7" t="s">
        <v>385</v>
      </c>
      <c r="C303" s="7" t="s">
        <v>464</v>
      </c>
      <c r="E303" s="7" t="s">
        <v>416</v>
      </c>
      <c r="F303" s="7" t="s">
        <v>25</v>
      </c>
      <c r="G303" s="8">
        <v>46188</v>
      </c>
      <c r="I303" s="9">
        <f>IF(OR($G303="",$H303=""),"",$H303-$G303)</f>
        <v>0</v>
      </c>
    </row>
    <row r="304" spans="1:9">
      <c r="A304" s="7" t="s">
        <v>384</v>
      </c>
      <c r="B304" s="7" t="s">
        <v>385</v>
      </c>
      <c r="C304" s="7" t="s">
        <v>465</v>
      </c>
      <c r="E304" s="7" t="s">
        <v>416</v>
      </c>
      <c r="F304" s="7" t="s">
        <v>25</v>
      </c>
      <c r="G304" s="8">
        <v>46188</v>
      </c>
      <c r="I304" s="9">
        <f>IF(OR($G304="",$H304=""),"",$H304-$G304)</f>
        <v>0</v>
      </c>
    </row>
    <row r="305" spans="1:10">
      <c r="A305" s="7" t="s">
        <v>384</v>
      </c>
      <c r="B305" s="7" t="s">
        <v>385</v>
      </c>
      <c r="C305" s="7" t="s">
        <v>466</v>
      </c>
      <c r="E305" s="7" t="s">
        <v>416</v>
      </c>
      <c r="F305" s="7" t="s">
        <v>25</v>
      </c>
      <c r="G305" s="8">
        <v>46188</v>
      </c>
      <c r="I305" s="9">
        <f>IF(OR($G305="",$H305=""),"",$H305-$G305)</f>
        <v>0</v>
      </c>
    </row>
    <row r="306" spans="1:10">
      <c r="A306" s="7" t="s">
        <v>384</v>
      </c>
      <c r="B306" s="7" t="s">
        <v>385</v>
      </c>
      <c r="C306" s="7" t="s">
        <v>467</v>
      </c>
      <c r="E306" s="7" t="s">
        <v>387</v>
      </c>
      <c r="F306" s="7" t="s">
        <v>25</v>
      </c>
      <c r="G306" s="8">
        <v>46188</v>
      </c>
      <c r="I306" s="9">
        <f>IF(OR($G306="",$H306=""),"",$H306-$G306)</f>
        <v>0</v>
      </c>
    </row>
    <row r="307" spans="1:10">
      <c r="A307" s="7" t="s">
        <v>384</v>
      </c>
      <c r="B307" s="7" t="s">
        <v>385</v>
      </c>
      <c r="C307" s="7" t="s">
        <v>468</v>
      </c>
      <c r="E307" s="7" t="s">
        <v>387</v>
      </c>
      <c r="F307" s="7" t="s">
        <v>25</v>
      </c>
      <c r="G307" s="8">
        <v>46188</v>
      </c>
      <c r="I307" s="9">
        <f>IF(OR($G307="",$H307=""),"",$H307-$G307)</f>
        <v>0</v>
      </c>
    </row>
    <row r="308" spans="1:10">
      <c r="A308" s="7" t="s">
        <v>133</v>
      </c>
      <c r="B308" s="7" t="s">
        <v>469</v>
      </c>
      <c r="C308" s="7" t="s">
        <v>470</v>
      </c>
      <c r="E308" s="7" t="s">
        <v>256</v>
      </c>
      <c r="F308" s="7" t="s">
        <v>471</v>
      </c>
      <c r="G308" s="8">
        <v>46191</v>
      </c>
      <c r="I308" s="9">
        <f>IF(OR($G308="",$H308=""),"",$H308-$G308)</f>
        <v>0</v>
      </c>
    </row>
    <row r="309" spans="1:10">
      <c r="A309" s="7" t="s">
        <v>133</v>
      </c>
      <c r="B309" s="7" t="s">
        <v>469</v>
      </c>
      <c r="C309" s="7" t="s">
        <v>472</v>
      </c>
      <c r="E309" s="7" t="s">
        <v>256</v>
      </c>
      <c r="F309" s="7" t="s">
        <v>471</v>
      </c>
      <c r="G309" s="8">
        <v>46191</v>
      </c>
      <c r="I309" s="9">
        <f>IF(OR($G309="",$H309=""),"",$H309-$G309)</f>
        <v>0</v>
      </c>
    </row>
    <row r="310" spans="1:10">
      <c r="A310" s="7" t="s">
        <v>133</v>
      </c>
      <c r="B310" s="7" t="s">
        <v>469</v>
      </c>
      <c r="C310" s="7" t="s">
        <v>473</v>
      </c>
      <c r="E310" s="7" t="s">
        <v>256</v>
      </c>
      <c r="F310" s="7" t="s">
        <v>471</v>
      </c>
      <c r="G310" s="8">
        <v>46191</v>
      </c>
      <c r="I310" s="9">
        <f>IF(OR($G310="",$H310=""),"",$H310-$G310)</f>
        <v>0</v>
      </c>
    </row>
    <row r="311" spans="1:10">
      <c r="A311" s="7" t="s">
        <v>133</v>
      </c>
      <c r="B311" s="7" t="s">
        <v>469</v>
      </c>
      <c r="C311" s="7" t="s">
        <v>474</v>
      </c>
      <c r="E311" s="7" t="s">
        <v>256</v>
      </c>
      <c r="F311" s="7" t="s">
        <v>471</v>
      </c>
      <c r="G311" s="8">
        <v>46191</v>
      </c>
      <c r="I311" s="9">
        <f>IF(OR($G311="",$H311=""),"",$H311-$G311)</f>
        <v>0</v>
      </c>
    </row>
    <row r="312" spans="1:10">
      <c r="A312" s="7" t="s">
        <v>168</v>
      </c>
      <c r="B312" s="7" t="s">
        <v>475</v>
      </c>
      <c r="C312" s="7" t="s">
        <v>476</v>
      </c>
      <c r="E312" s="7" t="s">
        <v>477</v>
      </c>
      <c r="F312" s="7" t="s">
        <v>471</v>
      </c>
      <c r="G312" s="8">
        <v>46191</v>
      </c>
      <c r="I312" s="9">
        <f>IF(OR($G312="",$H312=""),"",$H312-$G312)</f>
        <v>0</v>
      </c>
    </row>
    <row r="313" spans="1:10">
      <c r="A313" s="7" t="s">
        <v>168</v>
      </c>
      <c r="B313" s="7" t="s">
        <v>475</v>
      </c>
      <c r="C313" s="7" t="s">
        <v>478</v>
      </c>
      <c r="E313" s="7" t="s">
        <v>477</v>
      </c>
      <c r="F313" s="7" t="s">
        <v>471</v>
      </c>
      <c r="G313" s="8">
        <v>46191</v>
      </c>
      <c r="I313" s="9">
        <f>IF(OR($G313="",$H313=""),"",$H313-$G313)</f>
        <v>0</v>
      </c>
    </row>
    <row r="314" spans="1:10">
      <c r="A314" s="7" t="s">
        <v>21</v>
      </c>
      <c r="B314" s="7" t="s">
        <v>22</v>
      </c>
      <c r="C314" s="7" t="s">
        <v>479</v>
      </c>
      <c r="E314" s="7" t="s">
        <v>480</v>
      </c>
      <c r="F314" s="7" t="s">
        <v>471</v>
      </c>
      <c r="G314" s="8">
        <v>46191</v>
      </c>
      <c r="I314" s="9">
        <f>IF(OR($G314="",$H314=""),"",$H314-$G314)</f>
        <v>0</v>
      </c>
      <c r="J314" s="7" t="s">
        <v>481</v>
      </c>
    </row>
    <row r="315" spans="1:10">
      <c r="A315" s="7" t="s">
        <v>21</v>
      </c>
      <c r="B315" s="7" t="s">
        <v>22</v>
      </c>
      <c r="C315" s="7" t="s">
        <v>482</v>
      </c>
      <c r="E315" s="7" t="s">
        <v>480</v>
      </c>
      <c r="F315" s="7" t="s">
        <v>471</v>
      </c>
      <c r="G315" s="8">
        <v>46191</v>
      </c>
      <c r="I315" s="9">
        <f>IF(OR($G315="",$H315=""),"",$H315-$G315)</f>
        <v>0</v>
      </c>
      <c r="J315" s="7" t="s">
        <v>481</v>
      </c>
    </row>
    <row r="316" spans="1:10">
      <c r="A316" s="7" t="s">
        <v>21</v>
      </c>
      <c r="B316" s="7" t="s">
        <v>22</v>
      </c>
      <c r="C316" s="7" t="s">
        <v>483</v>
      </c>
      <c r="E316" s="7" t="s">
        <v>480</v>
      </c>
      <c r="F316" s="7" t="s">
        <v>471</v>
      </c>
      <c r="G316" s="8">
        <v>46191</v>
      </c>
      <c r="I316" s="9">
        <f>IF(OR($G316="",$H316=""),"",$H316-$G316)</f>
        <v>0</v>
      </c>
      <c r="J316" s="7" t="s">
        <v>481</v>
      </c>
    </row>
    <row r="317" spans="1:10">
      <c r="A317" s="7" t="s">
        <v>21</v>
      </c>
      <c r="B317" s="7" t="s">
        <v>22</v>
      </c>
      <c r="C317" s="7" t="s">
        <v>484</v>
      </c>
      <c r="E317" s="7" t="s">
        <v>480</v>
      </c>
      <c r="F317" s="7" t="s">
        <v>471</v>
      </c>
      <c r="G317" s="8">
        <v>46191</v>
      </c>
      <c r="I317" s="9">
        <f>IF(OR($G317="",$H317=""),"",$H317-$G317)</f>
        <v>0</v>
      </c>
      <c r="J317" s="7" t="s">
        <v>481</v>
      </c>
    </row>
    <row r="318" spans="1:10">
      <c r="A318" s="7" t="s">
        <v>21</v>
      </c>
      <c r="B318" s="7" t="s">
        <v>22</v>
      </c>
      <c r="C318" s="7" t="s">
        <v>485</v>
      </c>
      <c r="E318" s="7" t="s">
        <v>480</v>
      </c>
      <c r="F318" s="7" t="s">
        <v>471</v>
      </c>
      <c r="G318" s="8">
        <v>46191</v>
      </c>
      <c r="I318" s="9">
        <f>IF(OR($G318="",$H318=""),"",$H318-$G318)</f>
        <v>0</v>
      </c>
      <c r="J318" s="7" t="s">
        <v>481</v>
      </c>
    </row>
    <row r="319" spans="1:10">
      <c r="A319" s="7" t="s">
        <v>21</v>
      </c>
      <c r="B319" s="7" t="s">
        <v>22</v>
      </c>
      <c r="C319" s="7" t="s">
        <v>486</v>
      </c>
      <c r="E319" s="7" t="s">
        <v>480</v>
      </c>
      <c r="F319" s="7" t="s">
        <v>471</v>
      </c>
      <c r="G319" s="8">
        <v>46191</v>
      </c>
      <c r="I319" s="9">
        <f>IF(OR($G319="",$H319=""),"",$H319-$G319)</f>
        <v>0</v>
      </c>
      <c r="J319" s="7" t="s">
        <v>481</v>
      </c>
    </row>
    <row r="320" spans="1:10">
      <c r="A320" s="7" t="s">
        <v>21</v>
      </c>
      <c r="B320" s="7" t="s">
        <v>22</v>
      </c>
      <c r="C320" s="7" t="s">
        <v>487</v>
      </c>
      <c r="E320" s="7" t="s">
        <v>480</v>
      </c>
      <c r="F320" s="7" t="s">
        <v>471</v>
      </c>
      <c r="G320" s="8">
        <v>46191</v>
      </c>
      <c r="I320" s="9">
        <f>IF(OR($G320="",$H320=""),"",$H320-$G320)</f>
        <v>0</v>
      </c>
      <c r="J320" s="7" t="s">
        <v>481</v>
      </c>
    </row>
    <row r="321" spans="1:10">
      <c r="A321" s="7" t="s">
        <v>21</v>
      </c>
      <c r="B321" s="7" t="s">
        <v>22</v>
      </c>
      <c r="C321" s="7" t="s">
        <v>488</v>
      </c>
      <c r="E321" s="7" t="s">
        <v>480</v>
      </c>
      <c r="F321" s="7" t="s">
        <v>471</v>
      </c>
      <c r="G321" s="8">
        <v>46191</v>
      </c>
      <c r="I321" s="9">
        <f>IF(OR($G321="",$H321=""),"",$H321-$G321)</f>
        <v>0</v>
      </c>
      <c r="J321" s="7" t="s">
        <v>481</v>
      </c>
    </row>
    <row r="322" spans="1:10">
      <c r="A322" s="7" t="s">
        <v>21</v>
      </c>
      <c r="B322" s="7" t="s">
        <v>489</v>
      </c>
      <c r="C322" s="7" t="s">
        <v>490</v>
      </c>
      <c r="E322" s="7" t="s">
        <v>480</v>
      </c>
      <c r="F322" s="7" t="s">
        <v>471</v>
      </c>
      <c r="G322" s="8">
        <v>46191</v>
      </c>
      <c r="I322" s="9">
        <f>IF(OR($G322="",$H322=""),"",$H322-$G322)</f>
        <v>0</v>
      </c>
      <c r="J322" s="7" t="s">
        <v>481</v>
      </c>
    </row>
    <row r="323" spans="1:10">
      <c r="A323" s="7" t="s">
        <v>21</v>
      </c>
      <c r="B323" s="7" t="s">
        <v>489</v>
      </c>
      <c r="C323" s="7" t="s">
        <v>491</v>
      </c>
      <c r="E323" s="7" t="s">
        <v>480</v>
      </c>
      <c r="F323" s="7" t="s">
        <v>471</v>
      </c>
      <c r="G323" s="8">
        <v>46191</v>
      </c>
      <c r="I323" s="9">
        <f>IF(OR($G323="",$H323=""),"",$H323-$G323)</f>
        <v>0</v>
      </c>
      <c r="J323" s="7" t="s">
        <v>481</v>
      </c>
    </row>
    <row r="324" spans="1:10">
      <c r="A324" s="7" t="s">
        <v>21</v>
      </c>
      <c r="B324" s="7" t="s">
        <v>489</v>
      </c>
      <c r="C324" s="7" t="s">
        <v>492</v>
      </c>
      <c r="E324" s="7" t="s">
        <v>480</v>
      </c>
      <c r="F324" s="7" t="s">
        <v>471</v>
      </c>
      <c r="G324" s="8">
        <v>46191</v>
      </c>
      <c r="I324" s="9">
        <f>IF(OR($G324="",$H324=""),"",$H324-$G324)</f>
        <v>0</v>
      </c>
      <c r="J324" s="7" t="s">
        <v>481</v>
      </c>
    </row>
    <row r="325" spans="1:10">
      <c r="A325" s="7" t="s">
        <v>21</v>
      </c>
      <c r="B325" s="7" t="s">
        <v>493</v>
      </c>
      <c r="C325" s="7" t="s">
        <v>494</v>
      </c>
      <c r="E325" s="7" t="s">
        <v>480</v>
      </c>
      <c r="F325" s="7" t="s">
        <v>471</v>
      </c>
      <c r="G325" s="8">
        <v>46191</v>
      </c>
      <c r="I325" s="9">
        <f>IF(OR($G325="",$H325=""),"",$H325-$G325)</f>
        <v>0</v>
      </c>
      <c r="J325" s="7" t="s">
        <v>481</v>
      </c>
    </row>
    <row r="326" spans="1:10">
      <c r="A326" s="7" t="s">
        <v>21</v>
      </c>
      <c r="B326" s="7" t="s">
        <v>493</v>
      </c>
      <c r="C326" s="7" t="s">
        <v>495</v>
      </c>
      <c r="E326" s="7" t="s">
        <v>480</v>
      </c>
      <c r="F326" s="7" t="s">
        <v>471</v>
      </c>
      <c r="G326" s="8">
        <v>46191</v>
      </c>
      <c r="I326" s="9">
        <f>IF(OR($G326="",$H326=""),"",$H326-$G326)</f>
        <v>0</v>
      </c>
      <c r="J326" s="7" t="s">
        <v>481</v>
      </c>
    </row>
    <row r="327" spans="1:10">
      <c r="A327" s="7" t="s">
        <v>21</v>
      </c>
      <c r="B327" s="7" t="s">
        <v>493</v>
      </c>
      <c r="C327" s="7" t="s">
        <v>496</v>
      </c>
      <c r="E327" s="7" t="s">
        <v>480</v>
      </c>
      <c r="F327" s="7" t="s">
        <v>471</v>
      </c>
      <c r="G327" s="8">
        <v>46191</v>
      </c>
      <c r="I327" s="9">
        <f>IF(OR($G327="",$H327=""),"",$H327-$G327)</f>
        <v>0</v>
      </c>
      <c r="J327" s="7" t="s">
        <v>481</v>
      </c>
    </row>
    <row r="328" spans="1:10">
      <c r="A328" s="7" t="s">
        <v>21</v>
      </c>
      <c r="B328" s="7" t="s">
        <v>493</v>
      </c>
      <c r="C328" s="7" t="s">
        <v>497</v>
      </c>
      <c r="E328" s="7" t="s">
        <v>480</v>
      </c>
      <c r="F328" s="7" t="s">
        <v>471</v>
      </c>
      <c r="G328" s="8">
        <v>46191</v>
      </c>
      <c r="I328" s="9">
        <f>IF(OR($G328="",$H328=""),"",$H328-$G328)</f>
        <v>0</v>
      </c>
      <c r="J328" s="7" t="s">
        <v>481</v>
      </c>
    </row>
    <row r="329" spans="1:10">
      <c r="A329" s="7" t="s">
        <v>21</v>
      </c>
      <c r="B329" s="7" t="s">
        <v>493</v>
      </c>
      <c r="C329" s="7" t="s">
        <v>498</v>
      </c>
      <c r="E329" s="7" t="s">
        <v>480</v>
      </c>
      <c r="F329" s="7" t="s">
        <v>471</v>
      </c>
      <c r="G329" s="8">
        <v>46191</v>
      </c>
      <c r="I329" s="9">
        <f>IF(OR($G329="",$H329=""),"",$H329-$G329)</f>
        <v>0</v>
      </c>
      <c r="J329" s="7" t="s">
        <v>481</v>
      </c>
    </row>
    <row r="330" spans="1:10">
      <c r="A330" s="7" t="s">
        <v>21</v>
      </c>
      <c r="B330" s="7" t="s">
        <v>493</v>
      </c>
      <c r="C330" s="7" t="s">
        <v>499</v>
      </c>
      <c r="E330" s="7" t="s">
        <v>480</v>
      </c>
      <c r="F330" s="7" t="s">
        <v>471</v>
      </c>
      <c r="G330" s="8">
        <v>46191</v>
      </c>
      <c r="I330" s="9">
        <f>IF(OR($G330="",$H330=""),"",$H330-$G330)</f>
        <v>0</v>
      </c>
      <c r="J330" s="7" t="s">
        <v>481</v>
      </c>
    </row>
    <row r="331" spans="1:10">
      <c r="A331" s="7" t="s">
        <v>21</v>
      </c>
      <c r="B331" s="7" t="s">
        <v>493</v>
      </c>
      <c r="C331" s="7" t="s">
        <v>500</v>
      </c>
      <c r="E331" s="7" t="s">
        <v>480</v>
      </c>
      <c r="F331" s="7" t="s">
        <v>471</v>
      </c>
      <c r="G331" s="8">
        <v>46191</v>
      </c>
      <c r="I331" s="9">
        <f>IF(OR($G331="",$H331=""),"",$H331-$G331)</f>
        <v>0</v>
      </c>
      <c r="J331" s="7" t="s">
        <v>481</v>
      </c>
    </row>
    <row r="332" spans="1:10">
      <c r="A332" s="7" t="s">
        <v>21</v>
      </c>
      <c r="B332" s="7" t="s">
        <v>493</v>
      </c>
      <c r="C332" s="7" t="s">
        <v>501</v>
      </c>
      <c r="E332" s="7" t="s">
        <v>480</v>
      </c>
      <c r="F332" s="7" t="s">
        <v>471</v>
      </c>
      <c r="G332" s="8">
        <v>46191</v>
      </c>
      <c r="I332" s="9">
        <f>IF(OR($G332="",$H332=""),"",$H332-$G332)</f>
        <v>0</v>
      </c>
      <c r="J332" s="7" t="s">
        <v>481</v>
      </c>
    </row>
    <row r="333" spans="1:10">
      <c r="A333" s="7" t="s">
        <v>21</v>
      </c>
      <c r="B333" s="7" t="s">
        <v>493</v>
      </c>
      <c r="C333" s="7" t="s">
        <v>502</v>
      </c>
      <c r="E333" s="7" t="s">
        <v>480</v>
      </c>
      <c r="F333" s="7" t="s">
        <v>471</v>
      </c>
      <c r="G333" s="8">
        <v>46191</v>
      </c>
      <c r="I333" s="9">
        <f>IF(OR($G333="",$H333=""),"",$H333-$G333)</f>
        <v>0</v>
      </c>
      <c r="J333" s="7" t="s">
        <v>481</v>
      </c>
    </row>
    <row r="334" spans="1:10">
      <c r="A334" s="7" t="s">
        <v>21</v>
      </c>
      <c r="B334" s="7" t="s">
        <v>493</v>
      </c>
      <c r="C334" s="7" t="s">
        <v>503</v>
      </c>
      <c r="E334" s="7" t="s">
        <v>480</v>
      </c>
      <c r="F334" s="7" t="s">
        <v>471</v>
      </c>
      <c r="G334" s="8">
        <v>46191</v>
      </c>
      <c r="I334" s="9">
        <f>IF(OR($G334="",$H334=""),"",$H334-$G334)</f>
        <v>0</v>
      </c>
      <c r="J334" s="7" t="s">
        <v>481</v>
      </c>
    </row>
    <row r="335" spans="1:10">
      <c r="A335" s="7" t="s">
        <v>21</v>
      </c>
      <c r="B335" s="7" t="s">
        <v>493</v>
      </c>
      <c r="C335" s="7" t="s">
        <v>504</v>
      </c>
      <c r="E335" s="7" t="s">
        <v>480</v>
      </c>
      <c r="F335" s="7" t="s">
        <v>471</v>
      </c>
      <c r="G335" s="8">
        <v>46191</v>
      </c>
      <c r="I335" s="9">
        <f>IF(OR($G335="",$H335=""),"",$H335-$G335)</f>
        <v>0</v>
      </c>
      <c r="J335" s="7" t="s">
        <v>481</v>
      </c>
    </row>
    <row r="336" spans="1:10">
      <c r="A336" s="7" t="s">
        <v>21</v>
      </c>
      <c r="B336" s="7" t="s">
        <v>493</v>
      </c>
      <c r="C336" s="7" t="s">
        <v>505</v>
      </c>
      <c r="E336" s="7" t="s">
        <v>480</v>
      </c>
      <c r="F336" s="7" t="s">
        <v>471</v>
      </c>
      <c r="G336" s="8">
        <v>46191</v>
      </c>
      <c r="I336" s="9">
        <f>IF(OR($G336="",$H336=""),"",$H336-$G336)</f>
        <v>0</v>
      </c>
      <c r="J336" s="7" t="s">
        <v>481</v>
      </c>
    </row>
    <row r="337" spans="1:9">
      <c r="A337" s="7" t="s">
        <v>506</v>
      </c>
      <c r="B337" s="7" t="s">
        <v>272</v>
      </c>
      <c r="C337" s="7" t="s">
        <v>507</v>
      </c>
      <c r="E337" s="7" t="s">
        <v>508</v>
      </c>
      <c r="F337" s="7" t="s">
        <v>51</v>
      </c>
      <c r="G337" s="8">
        <v>46195</v>
      </c>
      <c r="I337" s="9">
        <f>IF(OR($G337="",$H337=""),"",$H337-$G337)</f>
        <v>0</v>
      </c>
    </row>
    <row r="338" spans="1:9">
      <c r="A338" s="7" t="s">
        <v>506</v>
      </c>
      <c r="B338" s="7" t="s">
        <v>272</v>
      </c>
      <c r="C338" s="7" t="s">
        <v>509</v>
      </c>
      <c r="E338" s="7" t="s">
        <v>508</v>
      </c>
      <c r="F338" s="7" t="s">
        <v>51</v>
      </c>
      <c r="G338" s="8">
        <v>46195</v>
      </c>
      <c r="I338" s="9">
        <f>IF(OR($G338="",$H338=""),"",$H338-$G338)</f>
        <v>0</v>
      </c>
    </row>
    <row r="339" spans="1:9">
      <c r="A339" s="7" t="s">
        <v>506</v>
      </c>
      <c r="B339" s="7" t="s">
        <v>272</v>
      </c>
      <c r="C339" s="7" t="s">
        <v>510</v>
      </c>
      <c r="E339" s="7" t="s">
        <v>508</v>
      </c>
      <c r="F339" s="7" t="s">
        <v>51</v>
      </c>
      <c r="G339" s="8">
        <v>46195</v>
      </c>
      <c r="I339" s="9">
        <f>IF(OR($G339="",$H339=""),"",$H339-$G339)</f>
        <v>0</v>
      </c>
    </row>
    <row r="340" spans="1:9">
      <c r="A340" s="7" t="s">
        <v>506</v>
      </c>
      <c r="B340" s="7" t="s">
        <v>272</v>
      </c>
      <c r="C340" s="7" t="s">
        <v>511</v>
      </c>
      <c r="E340" s="7" t="s">
        <v>508</v>
      </c>
      <c r="F340" s="7" t="s">
        <v>51</v>
      </c>
      <c r="G340" s="8">
        <v>46195</v>
      </c>
      <c r="I340" s="9">
        <f>IF(OR($G340="",$H340=""),"",$H340-$G340)</f>
        <v>0</v>
      </c>
    </row>
    <row r="341" spans="1:9">
      <c r="A341" s="7" t="s">
        <v>506</v>
      </c>
      <c r="B341" s="7" t="s">
        <v>272</v>
      </c>
      <c r="C341" s="7" t="s">
        <v>512</v>
      </c>
      <c r="E341" s="7" t="s">
        <v>508</v>
      </c>
      <c r="F341" s="7" t="s">
        <v>51</v>
      </c>
      <c r="G341" s="8">
        <v>46195</v>
      </c>
      <c r="I341" s="9">
        <f>IF(OR($G341="",$H341=""),"",$H341-$G341)</f>
        <v>0</v>
      </c>
    </row>
    <row r="342" spans="1:9">
      <c r="A342" s="7" t="s">
        <v>506</v>
      </c>
      <c r="B342" s="7" t="s">
        <v>272</v>
      </c>
      <c r="C342" s="7" t="s">
        <v>513</v>
      </c>
      <c r="E342" s="7" t="s">
        <v>508</v>
      </c>
      <c r="F342" s="7" t="s">
        <v>51</v>
      </c>
      <c r="G342" s="8">
        <v>46195</v>
      </c>
      <c r="I342" s="9">
        <f>IF(OR($G342="",$H342=""),"",$H342-$G342)</f>
        <v>0</v>
      </c>
    </row>
    <row r="343" spans="1:9">
      <c r="A343" s="7" t="s">
        <v>506</v>
      </c>
      <c r="B343" s="7" t="s">
        <v>272</v>
      </c>
      <c r="C343" s="7" t="s">
        <v>514</v>
      </c>
      <c r="E343" s="7" t="s">
        <v>508</v>
      </c>
      <c r="F343" s="7" t="s">
        <v>51</v>
      </c>
      <c r="G343" s="8">
        <v>46195</v>
      </c>
      <c r="I343" s="9">
        <f>IF(OR($G343="",$H343=""),"",$H343-$G343)</f>
        <v>0</v>
      </c>
    </row>
    <row r="344" spans="1:9">
      <c r="A344" s="7" t="s">
        <v>506</v>
      </c>
      <c r="B344" s="7" t="s">
        <v>272</v>
      </c>
      <c r="C344" s="7" t="s">
        <v>515</v>
      </c>
      <c r="E344" s="7" t="s">
        <v>508</v>
      </c>
      <c r="F344" s="7" t="s">
        <v>51</v>
      </c>
      <c r="G344" s="8">
        <v>46195</v>
      </c>
      <c r="I344" s="9">
        <f>IF(OR($G344="",$H344=""),"",$H344-$G344)</f>
        <v>0</v>
      </c>
    </row>
    <row r="345" spans="1:9">
      <c r="A345" s="7" t="s">
        <v>506</v>
      </c>
      <c r="B345" s="7" t="s">
        <v>272</v>
      </c>
      <c r="C345" s="7" t="s">
        <v>516</v>
      </c>
      <c r="E345" s="7" t="s">
        <v>508</v>
      </c>
      <c r="F345" s="7" t="s">
        <v>51</v>
      </c>
      <c r="G345" s="8">
        <v>46195</v>
      </c>
      <c r="I345" s="9">
        <f>IF(OR($G345="",$H345=""),"",$H345-$G345)</f>
        <v>0</v>
      </c>
    </row>
    <row r="346" spans="1:9">
      <c r="A346" s="7" t="s">
        <v>506</v>
      </c>
      <c r="B346" s="7" t="s">
        <v>272</v>
      </c>
      <c r="C346" s="7" t="s">
        <v>517</v>
      </c>
      <c r="E346" s="7" t="s">
        <v>508</v>
      </c>
      <c r="F346" s="7" t="s">
        <v>51</v>
      </c>
      <c r="G346" s="8">
        <v>46195</v>
      </c>
      <c r="I346" s="9">
        <f>IF(OR($G346="",$H346=""),"",$H346-$G346)</f>
        <v>0</v>
      </c>
    </row>
    <row r="347" spans="1:9">
      <c r="A347" s="7" t="s">
        <v>506</v>
      </c>
      <c r="B347" s="7" t="s">
        <v>272</v>
      </c>
      <c r="C347" s="7" t="s">
        <v>518</v>
      </c>
      <c r="E347" s="7" t="s">
        <v>508</v>
      </c>
      <c r="F347" s="7" t="s">
        <v>51</v>
      </c>
      <c r="G347" s="8">
        <v>46195</v>
      </c>
      <c r="I347" s="9">
        <f>IF(OR($G347="",$H347=""),"",$H347-$G347)</f>
        <v>0</v>
      </c>
    </row>
    <row r="348" spans="1:9">
      <c r="A348" s="7" t="s">
        <v>506</v>
      </c>
      <c r="B348" s="7" t="s">
        <v>272</v>
      </c>
      <c r="C348" s="7" t="s">
        <v>519</v>
      </c>
      <c r="E348" s="7" t="s">
        <v>508</v>
      </c>
      <c r="F348" s="7" t="s">
        <v>51</v>
      </c>
      <c r="G348" s="8">
        <v>46195</v>
      </c>
      <c r="I348" s="9">
        <f>IF(OR($G348="",$H348=""),"",$H348-$G348)</f>
        <v>0</v>
      </c>
    </row>
    <row r="349" spans="1:9">
      <c r="A349" s="7" t="s">
        <v>506</v>
      </c>
      <c r="B349" s="7" t="s">
        <v>272</v>
      </c>
      <c r="C349" s="7" t="s">
        <v>520</v>
      </c>
      <c r="E349" s="7" t="s">
        <v>508</v>
      </c>
      <c r="F349" s="7" t="s">
        <v>51</v>
      </c>
      <c r="G349" s="8">
        <v>46195</v>
      </c>
      <c r="I349" s="9">
        <f>IF(OR($G349="",$H349=""),"",$H349-$G349)</f>
        <v>0</v>
      </c>
    </row>
    <row r="350" spans="1:9">
      <c r="A350" s="7" t="s">
        <v>521</v>
      </c>
      <c r="B350" s="7" t="s">
        <v>177</v>
      </c>
      <c r="C350" s="7" t="s">
        <v>522</v>
      </c>
      <c r="E350" s="7" t="s">
        <v>523</v>
      </c>
      <c r="F350" s="7" t="s">
        <v>114</v>
      </c>
      <c r="G350" s="8">
        <v>46197</v>
      </c>
      <c r="I350" s="9">
        <f>IF(OR($G350="",$H350=""),"",$H350-$G350)</f>
        <v>0</v>
      </c>
    </row>
    <row r="351" spans="1:9">
      <c r="A351" s="7" t="s">
        <v>521</v>
      </c>
      <c r="B351" s="7" t="s">
        <v>177</v>
      </c>
      <c r="C351" s="7" t="s">
        <v>524</v>
      </c>
      <c r="E351" s="7" t="s">
        <v>523</v>
      </c>
      <c r="F351" s="7" t="s">
        <v>114</v>
      </c>
      <c r="G351" s="8">
        <v>46197</v>
      </c>
      <c r="I351" s="9">
        <f>IF(OR($G351="",$H351=""),"",$H351-$G351)</f>
        <v>0</v>
      </c>
    </row>
    <row r="352" spans="1:9">
      <c r="A352" s="7" t="s">
        <v>521</v>
      </c>
      <c r="B352" s="7" t="s">
        <v>177</v>
      </c>
      <c r="C352" s="7" t="s">
        <v>525</v>
      </c>
      <c r="E352" s="7" t="s">
        <v>523</v>
      </c>
      <c r="F352" s="7" t="s">
        <v>114</v>
      </c>
      <c r="G352" s="8">
        <v>46197</v>
      </c>
      <c r="I352" s="9">
        <f>IF(OR($G352="",$H352=""),"",$H352-$G352)</f>
        <v>0</v>
      </c>
    </row>
    <row r="353" spans="1:9">
      <c r="A353" s="7" t="s">
        <v>521</v>
      </c>
      <c r="B353" s="7" t="s">
        <v>177</v>
      </c>
      <c r="C353" s="7" t="s">
        <v>526</v>
      </c>
      <c r="E353" s="7" t="s">
        <v>523</v>
      </c>
      <c r="F353" s="7" t="s">
        <v>114</v>
      </c>
      <c r="G353" s="8">
        <v>46197</v>
      </c>
      <c r="I353" s="9">
        <f>IF(OR($G353="",$H353=""),"",$H353-$G353)</f>
        <v>0</v>
      </c>
    </row>
    <row r="354" spans="1:9">
      <c r="A354" s="7" t="s">
        <v>521</v>
      </c>
      <c r="B354" s="7" t="s">
        <v>177</v>
      </c>
      <c r="C354" s="7" t="s">
        <v>527</v>
      </c>
      <c r="E354" s="7" t="s">
        <v>523</v>
      </c>
      <c r="F354" s="7" t="s">
        <v>114</v>
      </c>
      <c r="G354" s="8">
        <v>46197</v>
      </c>
      <c r="I354" s="9">
        <f>IF(OR($G354="",$H354=""),"",$H354-$G354)</f>
        <v>0</v>
      </c>
    </row>
    <row r="355" spans="1:9">
      <c r="A355" s="7" t="s">
        <v>521</v>
      </c>
      <c r="B355" s="7" t="s">
        <v>177</v>
      </c>
      <c r="C355" s="7" t="s">
        <v>528</v>
      </c>
      <c r="E355" s="7" t="s">
        <v>523</v>
      </c>
      <c r="F355" s="7" t="s">
        <v>114</v>
      </c>
      <c r="G355" s="8">
        <v>46197</v>
      </c>
      <c r="I355" s="9">
        <f>IF(OR($G355="",$H355=""),"",$H355-$G355)</f>
        <v>0</v>
      </c>
    </row>
    <row r="356" spans="1:9">
      <c r="A356" s="7" t="s">
        <v>521</v>
      </c>
      <c r="B356" s="7" t="s">
        <v>177</v>
      </c>
      <c r="C356" s="7" t="s">
        <v>529</v>
      </c>
      <c r="E356" s="7" t="s">
        <v>523</v>
      </c>
      <c r="F356" s="7" t="s">
        <v>114</v>
      </c>
      <c r="G356" s="8">
        <v>46197</v>
      </c>
      <c r="I356" s="9">
        <f>IF(OR($G356="",$H356=""),"",$H356-$G356)</f>
        <v>0</v>
      </c>
    </row>
    <row r="357" spans="1:9">
      <c r="A357" s="7" t="s">
        <v>521</v>
      </c>
      <c r="B357" s="7" t="s">
        <v>177</v>
      </c>
      <c r="C357" s="7" t="s">
        <v>530</v>
      </c>
      <c r="E357" s="7" t="s">
        <v>523</v>
      </c>
      <c r="F357" s="7" t="s">
        <v>114</v>
      </c>
      <c r="G357" s="8">
        <v>46197</v>
      </c>
      <c r="I357" s="9">
        <f>IF(OR($G357="",$H357=""),"",$H357-$G357)</f>
        <v>0</v>
      </c>
    </row>
    <row r="358" spans="1:9">
      <c r="A358" s="7" t="s">
        <v>521</v>
      </c>
      <c r="B358" s="7" t="s">
        <v>177</v>
      </c>
      <c r="C358" s="7" t="s">
        <v>531</v>
      </c>
      <c r="E358" s="7" t="s">
        <v>523</v>
      </c>
      <c r="F358" s="7" t="s">
        <v>114</v>
      </c>
      <c r="G358" s="8">
        <v>46197</v>
      </c>
      <c r="I358" s="9">
        <f>IF(OR($G358="",$H358=""),"",$H358-$G358)</f>
        <v>0</v>
      </c>
    </row>
    <row r="359" spans="1:9">
      <c r="A359" s="7" t="s">
        <v>271</v>
      </c>
      <c r="B359" s="7" t="s">
        <v>532</v>
      </c>
      <c r="C359" s="7" t="s">
        <v>533</v>
      </c>
      <c r="E359" s="7" t="s">
        <v>534</v>
      </c>
      <c r="F359" s="7" t="s">
        <v>114</v>
      </c>
      <c r="G359" s="8">
        <v>46197</v>
      </c>
      <c r="I359" s="9">
        <f>IF(OR($G359="",$H359=""),"",$H359-$G359)</f>
        <v>0</v>
      </c>
    </row>
    <row r="360" spans="1:9">
      <c r="A360" s="7" t="s">
        <v>271</v>
      </c>
      <c r="B360" s="7" t="s">
        <v>532</v>
      </c>
      <c r="C360" s="7" t="s">
        <v>535</v>
      </c>
      <c r="E360" s="7" t="s">
        <v>534</v>
      </c>
      <c r="F360" s="7" t="s">
        <v>114</v>
      </c>
      <c r="G360" s="8">
        <v>46197</v>
      </c>
      <c r="I360" s="9">
        <f>IF(OR($G360="",$H360=""),"",$H360-$G360)</f>
        <v>0</v>
      </c>
    </row>
    <row r="361" spans="1:9">
      <c r="A361" s="7" t="s">
        <v>271</v>
      </c>
      <c r="B361" s="7" t="s">
        <v>532</v>
      </c>
      <c r="C361" s="7" t="s">
        <v>536</v>
      </c>
      <c r="E361" s="7" t="s">
        <v>534</v>
      </c>
      <c r="F361" s="7" t="s">
        <v>114</v>
      </c>
      <c r="G361" s="8">
        <v>46197</v>
      </c>
      <c r="I361" s="9">
        <f>IF(OR($G361="",$H361=""),"",$H361-$G361)</f>
        <v>0</v>
      </c>
    </row>
    <row r="362" spans="1:9">
      <c r="A362" s="7" t="s">
        <v>271</v>
      </c>
      <c r="B362" s="7" t="s">
        <v>537</v>
      </c>
      <c r="C362" s="7" t="s">
        <v>538</v>
      </c>
      <c r="E362" s="7" t="s">
        <v>534</v>
      </c>
      <c r="F362" s="7" t="s">
        <v>114</v>
      </c>
      <c r="G362" s="8">
        <v>46197</v>
      </c>
      <c r="I362" s="9">
        <f>IF(OR($G362="",$H362=""),"",$H362-$G362)</f>
        <v>0</v>
      </c>
    </row>
    <row r="363" spans="1:9">
      <c r="A363" s="7" t="s">
        <v>506</v>
      </c>
      <c r="B363" s="7" t="s">
        <v>291</v>
      </c>
      <c r="C363" s="7" t="s">
        <v>539</v>
      </c>
      <c r="E363" s="7" t="s">
        <v>534</v>
      </c>
      <c r="F363" s="7" t="s">
        <v>61</v>
      </c>
      <c r="G363" s="8">
        <v>46197</v>
      </c>
      <c r="I363" s="9">
        <f>IF(OR($G363="",$H363=""),"",$H363-$G363)</f>
        <v>0</v>
      </c>
    </row>
    <row r="364" spans="1:9">
      <c r="A364" s="7" t="s">
        <v>46</v>
      </c>
      <c r="B364" s="7" t="s">
        <v>251</v>
      </c>
      <c r="C364" s="7" t="s">
        <v>540</v>
      </c>
      <c r="E364" s="7" t="s">
        <v>541</v>
      </c>
      <c r="F364" s="7" t="s">
        <v>542</v>
      </c>
      <c r="G364" s="8">
        <v>46198</v>
      </c>
      <c r="I364" s="9">
        <f>IF(OR($G364="",$H364=""),"",$H364-$G364)</f>
        <v>0</v>
      </c>
    </row>
    <row r="365" spans="1:9">
      <c r="A365" s="7" t="s">
        <v>46</v>
      </c>
      <c r="B365" s="7" t="s">
        <v>251</v>
      </c>
      <c r="C365" s="7" t="s">
        <v>543</v>
      </c>
      <c r="E365" s="7" t="s">
        <v>541</v>
      </c>
      <c r="F365" s="7" t="s">
        <v>542</v>
      </c>
      <c r="G365" s="8">
        <v>46198</v>
      </c>
      <c r="I365" s="9">
        <f>IF(OR($G365="",$H365=""),"",$H365-$G365)</f>
        <v>0</v>
      </c>
    </row>
    <row r="366" spans="1:9">
      <c r="A366" s="7" t="s">
        <v>46</v>
      </c>
      <c r="B366" s="7" t="s">
        <v>251</v>
      </c>
      <c r="C366" s="7" t="s">
        <v>544</v>
      </c>
      <c r="E366" s="7" t="s">
        <v>541</v>
      </c>
      <c r="F366" s="7" t="s">
        <v>542</v>
      </c>
      <c r="G366" s="8">
        <v>46198</v>
      </c>
      <c r="I366" s="9">
        <f>IF(OR($G366="",$H366=""),"",$H366-$G366)</f>
        <v>0</v>
      </c>
    </row>
    <row r="367" spans="1:9">
      <c r="A367" s="7" t="s">
        <v>46</v>
      </c>
      <c r="B367" s="7" t="s">
        <v>251</v>
      </c>
      <c r="C367" s="7" t="s">
        <v>545</v>
      </c>
      <c r="E367" s="7" t="s">
        <v>541</v>
      </c>
      <c r="F367" s="7" t="s">
        <v>542</v>
      </c>
      <c r="G367" s="8">
        <v>46198</v>
      </c>
      <c r="I367" s="9">
        <f>IF(OR($G367="",$H367=""),"",$H367-$G367)</f>
        <v>0</v>
      </c>
    </row>
    <row r="368" spans="1:9">
      <c r="A368" s="7" t="s">
        <v>46</v>
      </c>
      <c r="B368" s="7" t="s">
        <v>251</v>
      </c>
      <c r="C368" s="7" t="s">
        <v>546</v>
      </c>
      <c r="E368" s="7" t="s">
        <v>541</v>
      </c>
      <c r="F368" s="7" t="s">
        <v>542</v>
      </c>
      <c r="G368" s="8">
        <v>46198</v>
      </c>
      <c r="I368" s="9">
        <f>IF(OR($G368="",$H368=""),"",$H368-$G368)</f>
        <v>0</v>
      </c>
    </row>
    <row r="369" spans="1:9">
      <c r="A369" s="7" t="s">
        <v>21</v>
      </c>
      <c r="B369" s="7" t="s">
        <v>196</v>
      </c>
      <c r="C369" s="7" t="s">
        <v>547</v>
      </c>
      <c r="E369" s="7" t="s">
        <v>548</v>
      </c>
      <c r="F369" s="7" t="s">
        <v>542</v>
      </c>
      <c r="G369" s="8">
        <v>46198</v>
      </c>
      <c r="I369" s="9">
        <f>IF(OR($G369="",$H369=""),"",$H369-$G369)</f>
        <v>0</v>
      </c>
    </row>
    <row r="370" spans="1:9">
      <c r="A370" s="7" t="s">
        <v>21</v>
      </c>
      <c r="B370" s="7" t="s">
        <v>196</v>
      </c>
      <c r="C370" s="7" t="s">
        <v>549</v>
      </c>
      <c r="E370" s="7" t="s">
        <v>548</v>
      </c>
      <c r="F370" s="7" t="s">
        <v>542</v>
      </c>
      <c r="G370" s="8">
        <v>46198</v>
      </c>
      <c r="I370" s="9">
        <f>IF(OR($G370="",$H370=""),"",$H370-$G370)</f>
        <v>0</v>
      </c>
    </row>
    <row r="371" spans="1:9">
      <c r="A371" s="7" t="s">
        <v>21</v>
      </c>
      <c r="B371" s="7" t="s">
        <v>196</v>
      </c>
      <c r="C371" s="7" t="s">
        <v>550</v>
      </c>
      <c r="E371" s="7" t="s">
        <v>548</v>
      </c>
      <c r="F371" s="7" t="s">
        <v>542</v>
      </c>
      <c r="G371" s="8">
        <v>46198</v>
      </c>
      <c r="I371" s="9">
        <f>IF(OR($G371="",$H371=""),"",$H371-$G371)</f>
        <v>0</v>
      </c>
    </row>
    <row r="372" spans="1:9">
      <c r="A372" s="7" t="s">
        <v>21</v>
      </c>
      <c r="B372" s="7" t="s">
        <v>551</v>
      </c>
      <c r="C372" s="7" t="s">
        <v>552</v>
      </c>
      <c r="E372" s="7" t="s">
        <v>548</v>
      </c>
      <c r="F372" s="7" t="s">
        <v>542</v>
      </c>
      <c r="G372" s="8">
        <v>46198</v>
      </c>
      <c r="I372" s="9">
        <f>IF(OR($G372="",$H372=""),"",$H372-$G372)</f>
        <v>0</v>
      </c>
    </row>
    <row r="373" spans="1:9">
      <c r="A373" s="7" t="s">
        <v>21</v>
      </c>
      <c r="B373" s="7" t="s">
        <v>551</v>
      </c>
      <c r="C373" s="7" t="s">
        <v>553</v>
      </c>
      <c r="E373" s="7" t="s">
        <v>548</v>
      </c>
      <c r="F373" s="7" t="s">
        <v>542</v>
      </c>
      <c r="G373" s="8">
        <v>46198</v>
      </c>
      <c r="I373" s="9">
        <f>IF(OR($G373="",$H373=""),"",$H373-$G373)</f>
        <v>0</v>
      </c>
    </row>
    <row r="374" spans="1:9">
      <c r="A374" s="7" t="s">
        <v>21</v>
      </c>
      <c r="B374" s="7" t="s">
        <v>551</v>
      </c>
      <c r="C374" s="7" t="s">
        <v>554</v>
      </c>
      <c r="E374" s="7" t="s">
        <v>548</v>
      </c>
      <c r="F374" s="7" t="s">
        <v>542</v>
      </c>
      <c r="G374" s="8">
        <v>46198</v>
      </c>
      <c r="I374" s="9">
        <f>IF(OR($G374="",$H374=""),"",$H374-$G374)</f>
        <v>0</v>
      </c>
    </row>
    <row r="375" spans="1:9">
      <c r="A375" s="7" t="s">
        <v>21</v>
      </c>
      <c r="B375" s="7" t="s">
        <v>551</v>
      </c>
      <c r="C375" s="7" t="s">
        <v>555</v>
      </c>
      <c r="E375" s="7" t="s">
        <v>548</v>
      </c>
      <c r="F375" s="7" t="s">
        <v>542</v>
      </c>
      <c r="G375" s="8">
        <v>46198</v>
      </c>
      <c r="I375" s="9">
        <f>IF(OR($G375="",$H375=""),"",$H375-$G375)</f>
        <v>0</v>
      </c>
    </row>
    <row r="376" spans="1:9">
      <c r="A376" s="7" t="s">
        <v>21</v>
      </c>
      <c r="B376" s="7" t="s">
        <v>551</v>
      </c>
      <c r="C376" s="7" t="s">
        <v>556</v>
      </c>
      <c r="E376" s="7" t="s">
        <v>548</v>
      </c>
      <c r="F376" s="7" t="s">
        <v>542</v>
      </c>
      <c r="G376" s="8">
        <v>46198</v>
      </c>
      <c r="I376" s="9">
        <f>IF(OR($G376="",$H376=""),"",$H376-$G376)</f>
        <v>0</v>
      </c>
    </row>
    <row r="377" spans="1:9">
      <c r="A377" s="7" t="s">
        <v>21</v>
      </c>
      <c r="B377" s="7" t="s">
        <v>551</v>
      </c>
      <c r="C377" s="7" t="s">
        <v>557</v>
      </c>
      <c r="E377" s="7" t="s">
        <v>548</v>
      </c>
      <c r="F377" s="7" t="s">
        <v>542</v>
      </c>
      <c r="G377" s="8">
        <v>46198</v>
      </c>
      <c r="I377" s="9">
        <f>IF(OR($G377="",$H377=""),"",$H377-$G377)</f>
        <v>0</v>
      </c>
    </row>
    <row r="378" spans="1:9">
      <c r="A378" s="7" t="s">
        <v>21</v>
      </c>
      <c r="B378" s="7" t="s">
        <v>551</v>
      </c>
      <c r="C378" s="7" t="s">
        <v>558</v>
      </c>
      <c r="E378" s="7" t="s">
        <v>548</v>
      </c>
      <c r="F378" s="7" t="s">
        <v>542</v>
      </c>
      <c r="G378" s="8">
        <v>46198</v>
      </c>
      <c r="I378" s="9">
        <f>IF(OR($G378="",$H378=""),"",$H378-$G378)</f>
        <v>0</v>
      </c>
    </row>
    <row r="379" spans="1:9">
      <c r="A379" s="7" t="s">
        <v>21</v>
      </c>
      <c r="B379" s="7" t="s">
        <v>551</v>
      </c>
      <c r="C379" s="7" t="s">
        <v>559</v>
      </c>
      <c r="E379" s="7" t="s">
        <v>548</v>
      </c>
      <c r="F379" s="7" t="s">
        <v>542</v>
      </c>
      <c r="G379" s="8">
        <v>46198</v>
      </c>
      <c r="I379" s="9">
        <f>IF(OR($G379="",$H379=""),"",$H379-$G379)</f>
        <v>0</v>
      </c>
    </row>
    <row r="380" spans="1:9">
      <c r="A380" s="7" t="s">
        <v>560</v>
      </c>
      <c r="B380" s="7" t="s">
        <v>561</v>
      </c>
      <c r="E380" s="7" t="s">
        <v>562</v>
      </c>
      <c r="F380" s="7" t="s">
        <v>563</v>
      </c>
      <c r="G380" s="8">
        <v>46199</v>
      </c>
      <c r="I380" s="9">
        <f>IF(OR($G380="",$H380=""),"",$H380-$G380)</f>
        <v>0</v>
      </c>
    </row>
    <row r="381" spans="1:9">
      <c r="A381" s="7" t="s">
        <v>560</v>
      </c>
      <c r="B381" s="7" t="s">
        <v>561</v>
      </c>
      <c r="E381" s="7" t="s">
        <v>562</v>
      </c>
      <c r="F381" s="7" t="s">
        <v>563</v>
      </c>
      <c r="G381" s="8">
        <v>46199</v>
      </c>
      <c r="I381" s="9">
        <f>IF(OR($G381="",$H381=""),"",$H381-$G381)</f>
        <v>0</v>
      </c>
    </row>
    <row r="382" spans="1:9">
      <c r="A382" s="7" t="s">
        <v>560</v>
      </c>
      <c r="B382" s="7" t="s">
        <v>561</v>
      </c>
      <c r="E382" s="7" t="s">
        <v>562</v>
      </c>
      <c r="F382" s="7" t="s">
        <v>563</v>
      </c>
      <c r="G382" s="8">
        <v>46199</v>
      </c>
      <c r="I382" s="9">
        <f>IF(OR($G382="",$H382=""),"",$H382-$G382)</f>
        <v>0</v>
      </c>
    </row>
    <row r="383" spans="1:9">
      <c r="A383" s="7" t="s">
        <v>560</v>
      </c>
      <c r="B383" s="7" t="s">
        <v>561</v>
      </c>
      <c r="E383" s="7" t="s">
        <v>562</v>
      </c>
      <c r="F383" s="7" t="s">
        <v>563</v>
      </c>
      <c r="G383" s="8">
        <v>46199</v>
      </c>
      <c r="I383" s="9">
        <f>IF(OR($G383="",$H383=""),"",$H383-$G383)</f>
        <v>0</v>
      </c>
    </row>
    <row r="384" spans="1:9">
      <c r="A384" s="7" t="s">
        <v>560</v>
      </c>
      <c r="B384" s="7" t="s">
        <v>561</v>
      </c>
      <c r="E384" s="7" t="s">
        <v>562</v>
      </c>
      <c r="F384" s="7" t="s">
        <v>563</v>
      </c>
      <c r="G384" s="8">
        <v>46199</v>
      </c>
      <c r="I384" s="9">
        <f>IF(OR($G384="",$H384=""),"",$H384-$G384)</f>
        <v>0</v>
      </c>
    </row>
    <row r="385" spans="1:9">
      <c r="A385" s="7" t="s">
        <v>560</v>
      </c>
      <c r="B385" s="7" t="s">
        <v>561</v>
      </c>
      <c r="E385" s="7" t="s">
        <v>562</v>
      </c>
      <c r="F385" s="7" t="s">
        <v>563</v>
      </c>
      <c r="G385" s="8">
        <v>46199</v>
      </c>
      <c r="I385" s="9">
        <f>IF(OR($G385="",$H385=""),"",$H385-$G385)</f>
        <v>0</v>
      </c>
    </row>
    <row r="386" spans="1:9">
      <c r="A386" s="7" t="s">
        <v>560</v>
      </c>
      <c r="B386" s="7" t="s">
        <v>561</v>
      </c>
      <c r="E386" s="7" t="s">
        <v>562</v>
      </c>
      <c r="F386" s="7" t="s">
        <v>563</v>
      </c>
      <c r="G386" s="8">
        <v>46199</v>
      </c>
      <c r="I386" s="9">
        <f>IF(OR($G386="",$H386=""),"",$H386-$G386)</f>
        <v>0</v>
      </c>
    </row>
    <row r="387" spans="1:9">
      <c r="A387" s="7" t="s">
        <v>560</v>
      </c>
      <c r="B387" s="7" t="s">
        <v>561</v>
      </c>
      <c r="E387" s="7" t="s">
        <v>562</v>
      </c>
      <c r="F387" s="7" t="s">
        <v>563</v>
      </c>
      <c r="G387" s="8">
        <v>46199</v>
      </c>
      <c r="I387" s="9">
        <f>IF(OR($G387="",$H387=""),"",$H387-$G387)</f>
        <v>0</v>
      </c>
    </row>
    <row r="388" spans="1:9">
      <c r="A388" s="7" t="s">
        <v>560</v>
      </c>
      <c r="B388" s="7" t="s">
        <v>561</v>
      </c>
      <c r="E388" s="7" t="s">
        <v>562</v>
      </c>
      <c r="F388" s="7" t="s">
        <v>563</v>
      </c>
      <c r="G388" s="8">
        <v>46199</v>
      </c>
      <c r="I388" s="9">
        <f>IF(OR($G388="",$H388=""),"",$H388-$G388)</f>
        <v>0</v>
      </c>
    </row>
    <row r="389" spans="1:9">
      <c r="A389" s="7" t="s">
        <v>560</v>
      </c>
      <c r="B389" s="7" t="s">
        <v>561</v>
      </c>
      <c r="E389" s="7" t="s">
        <v>562</v>
      </c>
      <c r="F389" s="7" t="s">
        <v>563</v>
      </c>
      <c r="G389" s="8">
        <v>46199</v>
      </c>
      <c r="I389" s="9">
        <f>IF(OR($G389="",$H389=""),"",$H389-$G389)</f>
        <v>0</v>
      </c>
    </row>
    <row r="390" spans="1:9">
      <c r="A390" s="7" t="s">
        <v>560</v>
      </c>
      <c r="B390" s="7" t="s">
        <v>561</v>
      </c>
      <c r="E390" s="7" t="s">
        <v>562</v>
      </c>
      <c r="F390" s="7" t="s">
        <v>563</v>
      </c>
      <c r="G390" s="8">
        <v>46199</v>
      </c>
      <c r="I390" s="9">
        <f>IF(OR($G390="",$H390=""),"",$H390-$G390)</f>
        <v>0</v>
      </c>
    </row>
    <row r="391" spans="1:9">
      <c r="A391" s="7" t="s">
        <v>560</v>
      </c>
      <c r="B391" s="7" t="s">
        <v>561</v>
      </c>
      <c r="E391" s="7" t="s">
        <v>562</v>
      </c>
      <c r="F391" s="7" t="s">
        <v>563</v>
      </c>
      <c r="G391" s="8">
        <v>46199</v>
      </c>
      <c r="I391" s="9">
        <f>IF(OR($G391="",$H391=""),"",$H391-$G391)</f>
        <v>0</v>
      </c>
    </row>
    <row r="392" spans="1:9">
      <c r="A392" s="7" t="s">
        <v>560</v>
      </c>
      <c r="B392" s="7" t="s">
        <v>561</v>
      </c>
      <c r="E392" s="7" t="s">
        <v>562</v>
      </c>
      <c r="F392" s="7" t="s">
        <v>563</v>
      </c>
      <c r="G392" s="8">
        <v>46199</v>
      </c>
      <c r="I392" s="9">
        <f>IF(OR($G392="",$H392=""),"",$H392-$G392)</f>
        <v>0</v>
      </c>
    </row>
    <row r="393" spans="1:9">
      <c r="A393" s="7" t="s">
        <v>560</v>
      </c>
      <c r="B393" s="7" t="s">
        <v>561</v>
      </c>
      <c r="E393" s="7" t="s">
        <v>562</v>
      </c>
      <c r="F393" s="7" t="s">
        <v>563</v>
      </c>
      <c r="G393" s="8">
        <v>46199</v>
      </c>
      <c r="I393" s="9">
        <f>IF(OR($G393="",$H393=""),"",$H393-$G393)</f>
        <v>0</v>
      </c>
    </row>
    <row r="394" spans="1:9">
      <c r="A394" s="7" t="s">
        <v>560</v>
      </c>
      <c r="B394" s="7" t="s">
        <v>561</v>
      </c>
      <c r="E394" s="7" t="s">
        <v>562</v>
      </c>
      <c r="F394" s="7" t="s">
        <v>563</v>
      </c>
      <c r="G394" s="8">
        <v>46199</v>
      </c>
      <c r="I394" s="9">
        <f>IF(OR($G394="",$H394=""),"",$H394-$G394)</f>
        <v>0</v>
      </c>
    </row>
    <row r="395" spans="1:9">
      <c r="A395" s="7" t="s">
        <v>560</v>
      </c>
      <c r="B395" s="7" t="s">
        <v>561</v>
      </c>
      <c r="E395" s="7" t="s">
        <v>562</v>
      </c>
      <c r="F395" s="7" t="s">
        <v>564</v>
      </c>
      <c r="G395" s="8">
        <v>46199</v>
      </c>
      <c r="I395" s="9">
        <f>IF(OR($G395="",$H395=""),"",$H395-$G395)</f>
        <v>0</v>
      </c>
    </row>
    <row r="396" spans="1:9">
      <c r="A396" s="7" t="s">
        <v>560</v>
      </c>
      <c r="B396" s="7" t="s">
        <v>561</v>
      </c>
      <c r="E396" s="7" t="s">
        <v>562</v>
      </c>
      <c r="F396" s="7" t="s">
        <v>564</v>
      </c>
      <c r="G396" s="8">
        <v>46199</v>
      </c>
      <c r="I396" s="9">
        <f>IF(OR($G396="",$H396=""),"",$H396-$G396)</f>
        <v>0</v>
      </c>
    </row>
    <row r="397" spans="1:9">
      <c r="A397" s="7" t="s">
        <v>560</v>
      </c>
      <c r="B397" s="7" t="s">
        <v>561</v>
      </c>
      <c r="E397" s="7" t="s">
        <v>562</v>
      </c>
      <c r="F397" s="7" t="s">
        <v>564</v>
      </c>
      <c r="G397" s="8">
        <v>46199</v>
      </c>
      <c r="I397" s="9">
        <f>IF(OR($G397="",$H397=""),"",$H397-$G397)</f>
        <v>0</v>
      </c>
    </row>
    <row r="398" spans="1:9">
      <c r="A398" s="7" t="s">
        <v>560</v>
      </c>
      <c r="B398" s="7" t="s">
        <v>561</v>
      </c>
      <c r="E398" s="7" t="s">
        <v>562</v>
      </c>
      <c r="F398" s="7" t="s">
        <v>564</v>
      </c>
      <c r="G398" s="8">
        <v>46199</v>
      </c>
      <c r="I398" s="9">
        <f>IF(OR($G398="",$H398=""),"",$H398-$G398)</f>
        <v>0</v>
      </c>
    </row>
    <row r="399" spans="1:9">
      <c r="A399" s="7" t="s">
        <v>560</v>
      </c>
      <c r="B399" s="7" t="s">
        <v>561</v>
      </c>
      <c r="E399" s="7" t="s">
        <v>562</v>
      </c>
      <c r="F399" s="7" t="s">
        <v>564</v>
      </c>
      <c r="G399" s="8">
        <v>46199</v>
      </c>
      <c r="I399" s="9">
        <f>IF(OR($G399="",$H399=""),"",$H399-$G399)</f>
        <v>0</v>
      </c>
    </row>
    <row r="400" spans="1:9">
      <c r="A400" s="7" t="s">
        <v>560</v>
      </c>
      <c r="B400" s="7" t="s">
        <v>561</v>
      </c>
      <c r="E400" s="7" t="s">
        <v>562</v>
      </c>
      <c r="F400" s="7" t="s">
        <v>564</v>
      </c>
      <c r="G400" s="8">
        <v>46199</v>
      </c>
      <c r="I400" s="9">
        <f>IF(OR($G400="",$H400=""),"",$H400-$G400)</f>
        <v>0</v>
      </c>
    </row>
    <row r="401" spans="1:9">
      <c r="A401" s="7" t="s">
        <v>560</v>
      </c>
      <c r="B401" s="7" t="s">
        <v>561</v>
      </c>
      <c r="E401" s="7" t="s">
        <v>562</v>
      </c>
      <c r="F401" s="7" t="s">
        <v>564</v>
      </c>
      <c r="G401" s="8">
        <v>46199</v>
      </c>
      <c r="I401" s="9">
        <f>IF(OR($G401="",$H401=""),"",$H401-$G401)</f>
        <v>0</v>
      </c>
    </row>
    <row r="402" spans="1:9">
      <c r="A402" s="7" t="s">
        <v>560</v>
      </c>
      <c r="B402" s="7" t="s">
        <v>561</v>
      </c>
      <c r="E402" s="7" t="s">
        <v>562</v>
      </c>
      <c r="F402" s="7" t="s">
        <v>564</v>
      </c>
      <c r="G402" s="8">
        <v>46199</v>
      </c>
      <c r="I402" s="9">
        <f>IF(OR($G402="",$H402=""),"",$H402-$G402)</f>
        <v>0</v>
      </c>
    </row>
    <row r="403" spans="1:9">
      <c r="A403" s="7" t="s">
        <v>560</v>
      </c>
      <c r="B403" s="7" t="s">
        <v>561</v>
      </c>
      <c r="E403" s="7" t="s">
        <v>562</v>
      </c>
      <c r="F403" s="7" t="s">
        <v>564</v>
      </c>
      <c r="G403" s="8">
        <v>46199</v>
      </c>
      <c r="I403" s="9">
        <f>IF(OR($G403="",$H403=""),"",$H403-$G403)</f>
        <v>0</v>
      </c>
    </row>
    <row r="404" spans="1:9">
      <c r="A404" s="7" t="s">
        <v>560</v>
      </c>
      <c r="B404" s="7" t="s">
        <v>561</v>
      </c>
      <c r="E404" s="7" t="s">
        <v>562</v>
      </c>
      <c r="F404" s="7" t="s">
        <v>564</v>
      </c>
      <c r="G404" s="8">
        <v>46199</v>
      </c>
      <c r="I404" s="9">
        <f>IF(OR($G404="",$H404=""),"",$H404-$G404)</f>
        <v>0</v>
      </c>
    </row>
    <row r="405" spans="1:9">
      <c r="A405" s="7" t="s">
        <v>560</v>
      </c>
      <c r="B405" s="7" t="s">
        <v>561</v>
      </c>
      <c r="E405" s="7" t="s">
        <v>562</v>
      </c>
      <c r="F405" s="7" t="s">
        <v>564</v>
      </c>
      <c r="G405" s="8">
        <v>46199</v>
      </c>
      <c r="I405" s="9">
        <f>IF(OR($G405="",$H405=""),"",$H405-$G405)</f>
        <v>0</v>
      </c>
    </row>
    <row r="406" spans="1:9">
      <c r="A406" s="7" t="s">
        <v>560</v>
      </c>
      <c r="B406" s="7" t="s">
        <v>561</v>
      </c>
      <c r="E406" s="7" t="s">
        <v>562</v>
      </c>
      <c r="F406" s="7" t="s">
        <v>564</v>
      </c>
      <c r="G406" s="8">
        <v>46199</v>
      </c>
      <c r="I406" s="9">
        <f>IF(OR($G406="",$H406=""),"",$H406-$G406)</f>
        <v>0</v>
      </c>
    </row>
    <row r="407" spans="1:9">
      <c r="A407" s="7" t="s">
        <v>560</v>
      </c>
      <c r="B407" s="7" t="s">
        <v>561</v>
      </c>
      <c r="E407" s="7" t="s">
        <v>562</v>
      </c>
      <c r="F407" s="7" t="s">
        <v>564</v>
      </c>
      <c r="G407" s="8">
        <v>46199</v>
      </c>
      <c r="I407" s="9">
        <f>IF(OR($G407="",$H407=""),"",$H407-$G407)</f>
        <v>0</v>
      </c>
    </row>
    <row r="408" spans="1:9">
      <c r="A408" s="7" t="s">
        <v>560</v>
      </c>
      <c r="B408" s="7" t="s">
        <v>561</v>
      </c>
      <c r="E408" s="7" t="s">
        <v>562</v>
      </c>
      <c r="F408" s="7" t="s">
        <v>564</v>
      </c>
      <c r="G408" s="8">
        <v>46199</v>
      </c>
      <c r="I408" s="9">
        <f>IF(OR($G408="",$H408=""),"",$H408-$G408)</f>
        <v>0</v>
      </c>
    </row>
    <row r="409" spans="1:9">
      <c r="A409" s="7" t="s">
        <v>560</v>
      </c>
      <c r="B409" s="7" t="s">
        <v>561</v>
      </c>
      <c r="E409" s="7" t="s">
        <v>562</v>
      </c>
      <c r="F409" s="7" t="s">
        <v>564</v>
      </c>
      <c r="G409" s="8">
        <v>46199</v>
      </c>
      <c r="I409" s="9">
        <f>IF(OR($G409="",$H409=""),"",$H409-$G409)</f>
        <v>0</v>
      </c>
    </row>
    <row r="410" spans="1:9">
      <c r="A410" s="7" t="s">
        <v>133</v>
      </c>
      <c r="B410" s="7" t="s">
        <v>257</v>
      </c>
      <c r="C410" s="7" t="s">
        <v>565</v>
      </c>
      <c r="E410" s="7" t="s">
        <v>256</v>
      </c>
      <c r="F410" s="7" t="s">
        <v>51</v>
      </c>
      <c r="G410" s="8">
        <v>46203</v>
      </c>
      <c r="I410" s="9">
        <f>IF(OR($G410="",$H410=""),"",$H410-$G410)</f>
        <v>0</v>
      </c>
    </row>
    <row r="411" spans="1:9">
      <c r="A411" s="7" t="s">
        <v>156</v>
      </c>
      <c r="B411" s="7" t="s">
        <v>157</v>
      </c>
      <c r="C411" s="7" t="s">
        <v>566</v>
      </c>
      <c r="E411" s="7" t="s">
        <v>256</v>
      </c>
      <c r="F411" s="7" t="s">
        <v>51</v>
      </c>
      <c r="G411" s="8">
        <v>46203</v>
      </c>
      <c r="I411" s="9">
        <f>IF(OR($G411="",$H411=""),"",$H411-$G411)</f>
        <v>0</v>
      </c>
    </row>
    <row r="412" spans="1:9">
      <c r="A412" s="7" t="s">
        <v>168</v>
      </c>
      <c r="B412" s="7" t="s">
        <v>272</v>
      </c>
      <c r="C412" s="7" t="s">
        <v>567</v>
      </c>
      <c r="E412" s="7" t="s">
        <v>508</v>
      </c>
      <c r="F412" s="7" t="s">
        <v>51</v>
      </c>
      <c r="G412" s="8">
        <v>46203</v>
      </c>
      <c r="I412" s="9">
        <f>IF(OR($G412="",$H412=""),"",$H412-$G412)</f>
        <v>0</v>
      </c>
    </row>
    <row r="413" spans="1:9">
      <c r="A413" s="7" t="s">
        <v>168</v>
      </c>
      <c r="B413" s="7" t="s">
        <v>272</v>
      </c>
      <c r="C413" s="7" t="s">
        <v>568</v>
      </c>
      <c r="E413" s="7" t="s">
        <v>508</v>
      </c>
      <c r="F413" s="7" t="s">
        <v>51</v>
      </c>
      <c r="G413" s="8">
        <v>46203</v>
      </c>
      <c r="I413" s="9">
        <f>IF(OR($G413="",$H413=""),"",$H413-$G413)</f>
        <v>0</v>
      </c>
    </row>
    <row r="414" spans="1:9">
      <c r="A414" s="7" t="s">
        <v>168</v>
      </c>
      <c r="B414" s="7" t="s">
        <v>272</v>
      </c>
      <c r="C414" s="7" t="s">
        <v>569</v>
      </c>
      <c r="E414" s="7" t="s">
        <v>508</v>
      </c>
      <c r="F414" s="7" t="s">
        <v>51</v>
      </c>
      <c r="G414" s="8">
        <v>46203</v>
      </c>
      <c r="I414" s="9">
        <f>IF(OR($G414="",$H414=""),"",$H414-$G414)</f>
        <v>0</v>
      </c>
    </row>
    <row r="415" spans="1:9">
      <c r="A415" s="7" t="s">
        <v>46</v>
      </c>
      <c r="B415" s="7" t="s">
        <v>47</v>
      </c>
      <c r="C415" s="7" t="s">
        <v>570</v>
      </c>
      <c r="E415" s="7" t="s">
        <v>49</v>
      </c>
      <c r="F415" s="7" t="s">
        <v>51</v>
      </c>
      <c r="G415" s="8">
        <v>46209</v>
      </c>
      <c r="I415" s="9">
        <f>IF(OR($G415="",$H415=""),"",$H415-$G415)</f>
        <v>0</v>
      </c>
    </row>
    <row r="416" spans="1:9">
      <c r="A416" s="7" t="s">
        <v>46</v>
      </c>
      <c r="B416" s="7" t="s">
        <v>53</v>
      </c>
      <c r="C416" s="7" t="s">
        <v>571</v>
      </c>
      <c r="E416" s="7" t="s">
        <v>49</v>
      </c>
      <c r="F416" s="7" t="s">
        <v>51</v>
      </c>
      <c r="G416" s="8">
        <v>46209</v>
      </c>
      <c r="I416" s="9">
        <f>IF(OR($G416="",$H416=""),"",$H416-$G416)</f>
        <v>0</v>
      </c>
    </row>
    <row r="417" spans="1:9">
      <c r="A417" s="7" t="s">
        <v>46</v>
      </c>
      <c r="B417" s="7" t="s">
        <v>53</v>
      </c>
      <c r="C417" s="7" t="s">
        <v>572</v>
      </c>
      <c r="E417" s="7" t="s">
        <v>49</v>
      </c>
      <c r="F417" s="7" t="s">
        <v>51</v>
      </c>
      <c r="G417" s="8">
        <v>46209</v>
      </c>
      <c r="I417" s="9">
        <f>IF(OR($G417="",$H417=""),"",$H417-$G417)</f>
        <v>0</v>
      </c>
    </row>
    <row r="418" spans="1:9">
      <c r="A418" s="7" t="s">
        <v>46</v>
      </c>
      <c r="B418" s="7" t="s">
        <v>53</v>
      </c>
      <c r="C418" s="7" t="s">
        <v>573</v>
      </c>
      <c r="E418" s="7" t="s">
        <v>49</v>
      </c>
      <c r="F418" s="7" t="s">
        <v>51</v>
      </c>
      <c r="G418" s="8">
        <v>46209</v>
      </c>
      <c r="I418" s="9">
        <f>IF(OR($G418="",$H418=""),"",$H418-$G418)</f>
        <v>0</v>
      </c>
    </row>
    <row r="419" spans="1:9">
      <c r="A419" s="7" t="s">
        <v>46</v>
      </c>
      <c r="B419" s="7" t="s">
        <v>47</v>
      </c>
      <c r="C419" s="7" t="s">
        <v>574</v>
      </c>
      <c r="E419" s="7" t="s">
        <v>49</v>
      </c>
      <c r="F419" s="7" t="s">
        <v>51</v>
      </c>
      <c r="G419" s="8">
        <v>46209</v>
      </c>
      <c r="I419" s="9">
        <f>IF(OR($G419="",$H419=""),"",$H419-$G419)</f>
        <v>0</v>
      </c>
    </row>
    <row r="420" spans="1:9">
      <c r="A420" s="7" t="s">
        <v>575</v>
      </c>
      <c r="B420" s="7" t="s">
        <v>576</v>
      </c>
      <c r="C420" s="7" t="s">
        <v>577</v>
      </c>
      <c r="D420" s="7" t="s">
        <v>578</v>
      </c>
      <c r="E420" s="7" t="s">
        <v>113</v>
      </c>
      <c r="F420" s="7" t="s">
        <v>25</v>
      </c>
      <c r="G420" s="8">
        <v>46212</v>
      </c>
      <c r="H420" s="8">
        <v>46212</v>
      </c>
      <c r="I420" s="9">
        <f>IF(OR($G420="",$H420=""),"",$H420-$G420)</f>
        <v>0</v>
      </c>
    </row>
    <row r="421" spans="1:9">
      <c r="A421" s="7" t="s">
        <v>575</v>
      </c>
      <c r="B421" s="7" t="s">
        <v>576</v>
      </c>
      <c r="C421" s="7" t="s">
        <v>579</v>
      </c>
      <c r="D421" s="7" t="s">
        <v>580</v>
      </c>
      <c r="E421" s="7" t="s">
        <v>113</v>
      </c>
      <c r="F421" s="7" t="s">
        <v>25</v>
      </c>
      <c r="G421" s="8">
        <v>46212</v>
      </c>
      <c r="H421" s="8">
        <v>46213</v>
      </c>
      <c r="I421" s="9">
        <f>IF(OR($G421="",$H421=""),"",$H421-$G421)</f>
        <v>0</v>
      </c>
    </row>
    <row r="422" spans="1:9">
      <c r="A422" s="7" t="s">
        <v>575</v>
      </c>
      <c r="B422" s="7" t="s">
        <v>576</v>
      </c>
      <c r="C422" s="7" t="s">
        <v>581</v>
      </c>
      <c r="D422" s="7" t="s">
        <v>582</v>
      </c>
      <c r="E422" s="7" t="s">
        <v>113</v>
      </c>
      <c r="F422" s="7" t="s">
        <v>25</v>
      </c>
      <c r="G422" s="8">
        <v>46212</v>
      </c>
      <c r="H422" s="8">
        <v>46212</v>
      </c>
      <c r="I422" s="9">
        <f>IF(OR($G422="",$H422=""),"",$H422-$G422)</f>
        <v>0</v>
      </c>
    </row>
    <row r="423" spans="1:9">
      <c r="A423" s="7" t="s">
        <v>575</v>
      </c>
      <c r="B423" s="7" t="s">
        <v>576</v>
      </c>
      <c r="C423" s="7" t="s">
        <v>583</v>
      </c>
      <c r="D423" s="7" t="s">
        <v>584</v>
      </c>
      <c r="E423" s="7" t="s">
        <v>113</v>
      </c>
      <c r="F423" s="7" t="s">
        <v>25</v>
      </c>
      <c r="G423" s="8">
        <v>46212</v>
      </c>
      <c r="H423" s="8">
        <v>46212</v>
      </c>
      <c r="I423" s="9">
        <f>IF(OR($G423="",$H423=""),"",$H423-$G423)</f>
        <v>0</v>
      </c>
    </row>
    <row r="424" spans="1:9">
      <c r="A424" s="7" t="s">
        <v>575</v>
      </c>
      <c r="B424" s="7" t="s">
        <v>576</v>
      </c>
      <c r="C424" s="7" t="s">
        <v>585</v>
      </c>
      <c r="D424" s="7" t="s">
        <v>586</v>
      </c>
      <c r="E424" s="7" t="s">
        <v>113</v>
      </c>
      <c r="F424" s="7" t="s">
        <v>25</v>
      </c>
      <c r="G424" s="8">
        <v>46212</v>
      </c>
      <c r="H424" s="8">
        <v>46212</v>
      </c>
      <c r="I424" s="9">
        <f>IF(OR($G424="",$H424=""),"",$H424-$G424)</f>
        <v>0</v>
      </c>
    </row>
    <row r="425" spans="1:9">
      <c r="A425" s="7" t="s">
        <v>575</v>
      </c>
      <c r="B425" s="7" t="s">
        <v>576</v>
      </c>
      <c r="C425" s="7" t="s">
        <v>587</v>
      </c>
      <c r="D425" s="7" t="s">
        <v>588</v>
      </c>
      <c r="E425" s="7" t="s">
        <v>113</v>
      </c>
      <c r="F425" s="7" t="s">
        <v>25</v>
      </c>
      <c r="G425" s="8">
        <v>46212</v>
      </c>
      <c r="H425" s="8">
        <v>46212</v>
      </c>
      <c r="I425" s="9">
        <f>IF(OR($G425="",$H425=""),"",$H425-$G425)</f>
        <v>0</v>
      </c>
    </row>
    <row r="426" spans="1:9">
      <c r="A426" s="7" t="s">
        <v>575</v>
      </c>
      <c r="B426" s="7" t="s">
        <v>576</v>
      </c>
      <c r="C426" s="7" t="s">
        <v>589</v>
      </c>
      <c r="D426" s="7" t="s">
        <v>590</v>
      </c>
      <c r="E426" s="7" t="s">
        <v>113</v>
      </c>
      <c r="F426" s="7" t="s">
        <v>25</v>
      </c>
      <c r="G426" s="8">
        <v>46212</v>
      </c>
      <c r="H426" s="8">
        <v>46212</v>
      </c>
      <c r="I426" s="9">
        <f>IF(OR($G426="",$H426=""),"",$H426-$G426)</f>
        <v>0</v>
      </c>
    </row>
    <row r="427" spans="1:9">
      <c r="A427" s="7" t="s">
        <v>575</v>
      </c>
      <c r="B427" s="7" t="s">
        <v>576</v>
      </c>
      <c r="C427" s="7" t="s">
        <v>591</v>
      </c>
      <c r="D427" s="7" t="s">
        <v>592</v>
      </c>
      <c r="E427" s="7" t="s">
        <v>113</v>
      </c>
      <c r="F427" s="7" t="s">
        <v>25</v>
      </c>
      <c r="G427" s="8">
        <v>46212</v>
      </c>
      <c r="H427" s="8">
        <v>46212</v>
      </c>
      <c r="I427" s="9">
        <f>IF(OR($G427="",$H427=""),"",$H427-$G427)</f>
        <v>0</v>
      </c>
    </row>
    <row r="428" spans="1:9">
      <c r="A428" s="7" t="s">
        <v>575</v>
      </c>
      <c r="B428" s="7" t="s">
        <v>576</v>
      </c>
      <c r="C428" s="7" t="s">
        <v>593</v>
      </c>
      <c r="D428" s="7" t="s">
        <v>594</v>
      </c>
      <c r="E428" s="7" t="s">
        <v>113</v>
      </c>
      <c r="F428" s="7" t="s">
        <v>25</v>
      </c>
      <c r="G428" s="8">
        <v>46212</v>
      </c>
      <c r="H428" s="8">
        <v>46212</v>
      </c>
      <c r="I428" s="9">
        <f>IF(OR($G428="",$H428=""),"",$H428-$G428)</f>
        <v>0</v>
      </c>
    </row>
    <row r="429" spans="1:9">
      <c r="A429" s="7" t="s">
        <v>575</v>
      </c>
      <c r="B429" s="7" t="s">
        <v>576</v>
      </c>
      <c r="C429" s="7" t="s">
        <v>595</v>
      </c>
      <c r="D429" s="7" t="s">
        <v>596</v>
      </c>
      <c r="E429" s="7" t="s">
        <v>113</v>
      </c>
      <c r="F429" s="7" t="s">
        <v>25</v>
      </c>
      <c r="G429" s="8">
        <v>46212</v>
      </c>
      <c r="H429" s="8">
        <v>46212</v>
      </c>
      <c r="I429" s="9">
        <f>IF(OR($G429="",$H429=""),"",$H429-$G429)</f>
        <v>0</v>
      </c>
    </row>
    <row r="430" spans="1:9">
      <c r="A430" s="7" t="s">
        <v>575</v>
      </c>
      <c r="B430" s="7" t="s">
        <v>576</v>
      </c>
      <c r="C430" s="7" t="s">
        <v>597</v>
      </c>
      <c r="D430" s="7" t="s">
        <v>598</v>
      </c>
      <c r="E430" s="7" t="s">
        <v>113</v>
      </c>
      <c r="F430" s="7" t="s">
        <v>25</v>
      </c>
      <c r="G430" s="8">
        <v>46212</v>
      </c>
      <c r="H430" s="8">
        <v>46212</v>
      </c>
      <c r="I430" s="9">
        <f>IF(OR($G430="",$H430=""),"",$H430-$G430)</f>
        <v>0</v>
      </c>
    </row>
    <row r="431" spans="1:9">
      <c r="A431" s="7" t="s">
        <v>575</v>
      </c>
      <c r="B431" s="7" t="s">
        <v>576</v>
      </c>
      <c r="C431" s="7" t="s">
        <v>599</v>
      </c>
      <c r="D431" s="7" t="s">
        <v>600</v>
      </c>
      <c r="E431" s="7" t="s">
        <v>113</v>
      </c>
      <c r="F431" s="7" t="s">
        <v>25</v>
      </c>
      <c r="G431" s="8">
        <v>46212</v>
      </c>
      <c r="H431" s="8">
        <v>46213</v>
      </c>
      <c r="I431" s="9">
        <f>IF(OR($G431="",$H431=""),"",$H431-$G431)</f>
        <v>0</v>
      </c>
    </row>
    <row r="432" spans="1:9">
      <c r="A432" s="7" t="s">
        <v>575</v>
      </c>
      <c r="B432" s="7" t="s">
        <v>576</v>
      </c>
      <c r="C432" s="7" t="s">
        <v>601</v>
      </c>
      <c r="D432" s="7" t="s">
        <v>602</v>
      </c>
      <c r="E432" s="7" t="s">
        <v>113</v>
      </c>
      <c r="F432" s="7" t="s">
        <v>25</v>
      </c>
      <c r="G432" s="8">
        <v>46212</v>
      </c>
      <c r="H432" s="8">
        <v>46213</v>
      </c>
      <c r="I432" s="9">
        <f>IF(OR($G432="",$H432=""),"",$H432-$G432)</f>
        <v>0</v>
      </c>
    </row>
    <row r="433" spans="1:9">
      <c r="A433" s="7" t="s">
        <v>575</v>
      </c>
      <c r="B433" s="7" t="s">
        <v>576</v>
      </c>
      <c r="C433" s="7" t="s">
        <v>603</v>
      </c>
      <c r="D433" s="7" t="s">
        <v>604</v>
      </c>
      <c r="E433" s="7" t="s">
        <v>113</v>
      </c>
      <c r="F433" s="7" t="s">
        <v>25</v>
      </c>
      <c r="G433" s="8">
        <v>46212</v>
      </c>
      <c r="H433" s="8">
        <v>46213</v>
      </c>
      <c r="I433" s="9">
        <f>IF(OR($G433="",$H433=""),"",$H433-$G433)</f>
        <v>0</v>
      </c>
    </row>
    <row r="434" spans="1:9">
      <c r="A434" s="7" t="s">
        <v>575</v>
      </c>
      <c r="B434" s="7" t="s">
        <v>576</v>
      </c>
      <c r="C434" s="7" t="s">
        <v>605</v>
      </c>
      <c r="D434" s="7" t="s">
        <v>606</v>
      </c>
      <c r="E434" s="7" t="s">
        <v>113</v>
      </c>
      <c r="F434" s="7" t="s">
        <v>25</v>
      </c>
      <c r="G434" s="8">
        <v>46212</v>
      </c>
      <c r="H434" s="8">
        <v>46213</v>
      </c>
      <c r="I434" s="9">
        <f>IF(OR($G434="",$H434=""),"",$H434-$G434)</f>
        <v>0</v>
      </c>
    </row>
    <row r="435" spans="1:9">
      <c r="A435" s="7" t="s">
        <v>575</v>
      </c>
      <c r="B435" s="7" t="s">
        <v>576</v>
      </c>
      <c r="C435" s="7" t="s">
        <v>607</v>
      </c>
      <c r="D435" s="7" t="s">
        <v>608</v>
      </c>
      <c r="E435" s="7" t="s">
        <v>113</v>
      </c>
      <c r="F435" s="7" t="s">
        <v>25</v>
      </c>
      <c r="G435" s="8">
        <v>46212</v>
      </c>
      <c r="H435" s="8">
        <v>46213</v>
      </c>
      <c r="I435" s="9">
        <f>IF(OR($G435="",$H435=""),"",$H435-$G435)</f>
        <v>0</v>
      </c>
    </row>
    <row r="436" spans="1:9">
      <c r="A436" s="7" t="s">
        <v>575</v>
      </c>
      <c r="B436" s="7" t="s">
        <v>576</v>
      </c>
      <c r="C436" s="7" t="s">
        <v>609</v>
      </c>
      <c r="D436" s="7" t="s">
        <v>610</v>
      </c>
      <c r="E436" s="7" t="s">
        <v>113</v>
      </c>
      <c r="F436" s="7" t="s">
        <v>25</v>
      </c>
      <c r="G436" s="8">
        <v>46212</v>
      </c>
      <c r="H436" s="8">
        <v>46213</v>
      </c>
      <c r="I436" s="9">
        <f>IF(OR($G436="",$H436=""),"",$H436-$G436)</f>
        <v>0</v>
      </c>
    </row>
    <row r="437" spans="1:9">
      <c r="A437" s="7" t="s">
        <v>46</v>
      </c>
      <c r="B437" s="7" t="s">
        <v>611</v>
      </c>
      <c r="C437" s="7" t="s">
        <v>612</v>
      </c>
      <c r="E437" s="7" t="s">
        <v>613</v>
      </c>
      <c r="F437" s="7" t="s">
        <v>61</v>
      </c>
      <c r="G437" s="8">
        <v>46205</v>
      </c>
      <c r="I437" s="9">
        <f>IF(OR($G437="",$H437=""),"",$H437-$G437)</f>
        <v>0</v>
      </c>
    </row>
    <row r="438" spans="1:9">
      <c r="A438" s="7" t="s">
        <v>46</v>
      </c>
      <c r="B438" s="7" t="s">
        <v>611</v>
      </c>
      <c r="C438" s="7" t="s">
        <v>614</v>
      </c>
      <c r="E438" s="7" t="s">
        <v>613</v>
      </c>
      <c r="F438" s="7" t="s">
        <v>61</v>
      </c>
      <c r="G438" s="8">
        <v>46205</v>
      </c>
      <c r="I438" s="9">
        <f>IF(OR($G438="",$H438=""),"",$H438-$G438)</f>
        <v>0</v>
      </c>
    </row>
    <row r="439" spans="1:9">
      <c r="A439" s="7" t="s">
        <v>133</v>
      </c>
      <c r="B439" s="7" t="s">
        <v>469</v>
      </c>
      <c r="C439" s="7" t="s">
        <v>615</v>
      </c>
      <c r="E439" s="7" t="s">
        <v>256</v>
      </c>
      <c r="F439" s="7" t="s">
        <v>25</v>
      </c>
      <c r="G439" s="8">
        <v>46206</v>
      </c>
      <c r="I439" s="9">
        <f>IF(OR($G439="",$H439=""),"",$H439-$G439)</f>
        <v>0</v>
      </c>
    </row>
    <row r="440" spans="1:9">
      <c r="A440" s="7" t="s">
        <v>133</v>
      </c>
      <c r="B440" s="7" t="s">
        <v>469</v>
      </c>
      <c r="C440" s="7" t="s">
        <v>616</v>
      </c>
      <c r="E440" s="7" t="s">
        <v>256</v>
      </c>
      <c r="F440" s="7" t="s">
        <v>25</v>
      </c>
      <c r="G440" s="8">
        <v>46206</v>
      </c>
      <c r="I440" s="9">
        <f>IF(OR($G440="",$H440=""),"",$H440-$G440)</f>
        <v>0</v>
      </c>
    </row>
    <row r="441" spans="1:9">
      <c r="A441" s="7" t="s">
        <v>133</v>
      </c>
      <c r="B441" s="7" t="s">
        <v>469</v>
      </c>
      <c r="C441" s="7" t="s">
        <v>617</v>
      </c>
      <c r="E441" s="7" t="s">
        <v>256</v>
      </c>
      <c r="F441" s="7" t="s">
        <v>25</v>
      </c>
      <c r="G441" s="8">
        <v>46206</v>
      </c>
      <c r="I441" s="9">
        <f>IF(OR($G441="",$H441=""),"",$H441-$G441)</f>
        <v>0</v>
      </c>
    </row>
    <row r="442" spans="1:9">
      <c r="A442" s="7" t="s">
        <v>133</v>
      </c>
      <c r="B442" s="7" t="s">
        <v>469</v>
      </c>
      <c r="C442" s="7" t="s">
        <v>618</v>
      </c>
      <c r="E442" s="7" t="s">
        <v>256</v>
      </c>
      <c r="F442" s="7" t="s">
        <v>25</v>
      </c>
      <c r="G442" s="8">
        <v>46206</v>
      </c>
      <c r="I442" s="9">
        <f>IF(OR($G442="",$H442=""),"",$H442-$G442)</f>
        <v>0</v>
      </c>
    </row>
    <row r="443" spans="1:9">
      <c r="A443" s="7" t="s">
        <v>133</v>
      </c>
      <c r="B443" s="7" t="s">
        <v>469</v>
      </c>
      <c r="C443" s="7" t="s">
        <v>619</v>
      </c>
      <c r="E443" s="7" t="s">
        <v>256</v>
      </c>
      <c r="F443" s="7" t="s">
        <v>25</v>
      </c>
      <c r="G443" s="8">
        <v>46206</v>
      </c>
      <c r="I443" s="9">
        <f>IF(OR($G443="",$H443=""),"",$H443-$G443)</f>
        <v>0</v>
      </c>
    </row>
    <row r="444" spans="1:9">
      <c r="A444" s="7" t="s">
        <v>133</v>
      </c>
      <c r="B444" s="7" t="s">
        <v>469</v>
      </c>
      <c r="C444" s="7" t="s">
        <v>620</v>
      </c>
      <c r="E444" s="7" t="s">
        <v>256</v>
      </c>
      <c r="F444" s="7" t="s">
        <v>25</v>
      </c>
      <c r="G444" s="8">
        <v>46206</v>
      </c>
      <c r="I444" s="9">
        <f>IF(OR($G444="",$H444=""),"",$H444-$G444)</f>
        <v>0</v>
      </c>
    </row>
    <row r="445" spans="1:9">
      <c r="A445" s="7" t="s">
        <v>133</v>
      </c>
      <c r="B445" s="7" t="s">
        <v>469</v>
      </c>
      <c r="C445" s="7" t="s">
        <v>621</v>
      </c>
      <c r="E445" s="7" t="s">
        <v>256</v>
      </c>
      <c r="F445" s="7" t="s">
        <v>25</v>
      </c>
      <c r="G445" s="8">
        <v>46206</v>
      </c>
      <c r="I445" s="9">
        <f>IF(OR($G445="",$H445=""),"",$H445-$G445)</f>
        <v>0</v>
      </c>
    </row>
    <row r="446" spans="1:9">
      <c r="A446" s="7" t="s">
        <v>133</v>
      </c>
      <c r="B446" s="7" t="s">
        <v>469</v>
      </c>
      <c r="C446" s="7" t="s">
        <v>622</v>
      </c>
      <c r="E446" s="7" t="s">
        <v>256</v>
      </c>
      <c r="F446" s="7" t="s">
        <v>25</v>
      </c>
      <c r="G446" s="8">
        <v>46206</v>
      </c>
      <c r="I446" s="9">
        <f>IF(OR($G446="",$H446=""),"",$H446-$G446)</f>
        <v>0</v>
      </c>
    </row>
    <row r="447" spans="1:9">
      <c r="A447" s="7" t="s">
        <v>133</v>
      </c>
      <c r="B447" s="7" t="s">
        <v>469</v>
      </c>
      <c r="C447" s="7" t="s">
        <v>623</v>
      </c>
      <c r="E447" s="7" t="s">
        <v>256</v>
      </c>
      <c r="F447" s="7" t="s">
        <v>25</v>
      </c>
      <c r="G447" s="8">
        <v>46206</v>
      </c>
      <c r="I447" s="9">
        <f>IF(OR($G447="",$H447=""),"",$H447-$G447)</f>
        <v>0</v>
      </c>
    </row>
    <row r="448" spans="1:9">
      <c r="A448" s="7" t="s">
        <v>133</v>
      </c>
      <c r="B448" s="7" t="s">
        <v>469</v>
      </c>
      <c r="C448" s="7" t="s">
        <v>624</v>
      </c>
      <c r="E448" s="7" t="s">
        <v>256</v>
      </c>
      <c r="F448" s="7" t="s">
        <v>25</v>
      </c>
      <c r="G448" s="8">
        <v>46206</v>
      </c>
      <c r="I448" s="9">
        <f>IF(OR($G448="",$H448=""),"",$H448-$G448)</f>
        <v>0</v>
      </c>
    </row>
    <row r="449" spans="1:9">
      <c r="A449" s="7" t="s">
        <v>133</v>
      </c>
      <c r="B449" s="7" t="s">
        <v>469</v>
      </c>
      <c r="C449" s="7" t="s">
        <v>625</v>
      </c>
      <c r="E449" s="7" t="s">
        <v>256</v>
      </c>
      <c r="F449" s="7" t="s">
        <v>25</v>
      </c>
      <c r="G449" s="8">
        <v>46206</v>
      </c>
      <c r="I449" s="9">
        <f>IF(OR($G449="",$H449=""),"",$H449-$G449)</f>
        <v>0</v>
      </c>
    </row>
    <row r="450" spans="1:9">
      <c r="A450" s="7" t="s">
        <v>133</v>
      </c>
      <c r="B450" s="7" t="s">
        <v>469</v>
      </c>
      <c r="C450" s="7" t="s">
        <v>626</v>
      </c>
      <c r="E450" s="7" t="s">
        <v>256</v>
      </c>
      <c r="F450" s="7" t="s">
        <v>25</v>
      </c>
      <c r="G450" s="8">
        <v>46206</v>
      </c>
      <c r="I450" s="9">
        <f>IF(OR($G450="",$H450=""),"",$H450-$G450)</f>
        <v>0</v>
      </c>
    </row>
    <row r="451" spans="1:9">
      <c r="A451" s="7" t="s">
        <v>133</v>
      </c>
      <c r="B451" s="7" t="s">
        <v>469</v>
      </c>
      <c r="C451" s="7" t="s">
        <v>627</v>
      </c>
      <c r="E451" s="7" t="s">
        <v>256</v>
      </c>
      <c r="F451" s="7" t="s">
        <v>25</v>
      </c>
      <c r="G451" s="8">
        <v>46206</v>
      </c>
      <c r="I451" s="9">
        <f>IF(OR($G451="",$H451=""),"",$H451-$G451)</f>
        <v>0</v>
      </c>
    </row>
    <row r="452" spans="1:9">
      <c r="A452" s="7" t="s">
        <v>21</v>
      </c>
      <c r="B452" s="7" t="s">
        <v>628</v>
      </c>
      <c r="C452" s="7" t="s">
        <v>629</v>
      </c>
      <c r="E452" s="7" t="s">
        <v>630</v>
      </c>
      <c r="F452" s="7" t="s">
        <v>61</v>
      </c>
      <c r="G452" s="8">
        <v>46210</v>
      </c>
      <c r="I452" s="9">
        <f>IF(OR($G452="",$H452=""),"",$H452-$G452)</f>
        <v>0</v>
      </c>
    </row>
    <row r="453" spans="1:9">
      <c r="A453" s="7" t="s">
        <v>21</v>
      </c>
      <c r="B453" s="7" t="s">
        <v>628</v>
      </c>
      <c r="C453" s="7" t="s">
        <v>631</v>
      </c>
      <c r="E453" s="7" t="s">
        <v>630</v>
      </c>
      <c r="F453" s="7" t="s">
        <v>61</v>
      </c>
      <c r="G453" s="8">
        <v>46210</v>
      </c>
      <c r="I453" s="9">
        <f>IF(OR($G453="",$H453=""),"",$H453-$G453)</f>
        <v>0</v>
      </c>
    </row>
    <row r="454" spans="1:9">
      <c r="A454" s="7" t="s">
        <v>21</v>
      </c>
      <c r="B454" s="7" t="s">
        <v>628</v>
      </c>
      <c r="C454" s="7" t="s">
        <v>632</v>
      </c>
      <c r="E454" s="7" t="s">
        <v>630</v>
      </c>
      <c r="F454" s="7" t="s">
        <v>61</v>
      </c>
      <c r="G454" s="8">
        <v>46210</v>
      </c>
      <c r="I454" s="9">
        <f>IF(OR($G454="",$H454=""),"",$H454-$G454)</f>
        <v>0</v>
      </c>
    </row>
    <row r="455" spans="1:9">
      <c r="A455" s="7" t="s">
        <v>21</v>
      </c>
      <c r="B455" s="7" t="s">
        <v>628</v>
      </c>
      <c r="C455" s="7" t="s">
        <v>633</v>
      </c>
      <c r="E455" s="7" t="s">
        <v>630</v>
      </c>
      <c r="F455" s="7" t="s">
        <v>61</v>
      </c>
      <c r="G455" s="8">
        <v>46210</v>
      </c>
      <c r="I455" s="9">
        <f>IF(OR($G455="",$H455=""),"",$H455-$G455)</f>
        <v>0</v>
      </c>
    </row>
    <row r="456" spans="1:9">
      <c r="A456" s="7" t="s">
        <v>21</v>
      </c>
      <c r="B456" s="7" t="s">
        <v>628</v>
      </c>
      <c r="C456" s="7" t="s">
        <v>634</v>
      </c>
      <c r="E456" s="7" t="s">
        <v>630</v>
      </c>
      <c r="F456" s="7" t="s">
        <v>61</v>
      </c>
      <c r="G456" s="8">
        <v>46210</v>
      </c>
      <c r="I456" s="9">
        <f>IF(OR($G456="",$H456=""),"",$H456-$G456)</f>
        <v>0</v>
      </c>
    </row>
    <row r="457" spans="1:9">
      <c r="A457" s="7" t="s">
        <v>21</v>
      </c>
      <c r="B457" s="7" t="s">
        <v>635</v>
      </c>
      <c r="C457" s="7" t="s">
        <v>636</v>
      </c>
      <c r="E457" s="7" t="s">
        <v>630</v>
      </c>
      <c r="F457" s="7" t="s">
        <v>61</v>
      </c>
      <c r="G457" s="8">
        <v>46210</v>
      </c>
      <c r="I457" s="9">
        <f>IF(OR($G457="",$H457=""),"",$H457-$G457)</f>
        <v>0</v>
      </c>
    </row>
    <row r="458" spans="1:9">
      <c r="A458" s="7" t="s">
        <v>21</v>
      </c>
      <c r="B458" s="7" t="s">
        <v>635</v>
      </c>
      <c r="C458" s="7" t="s">
        <v>637</v>
      </c>
      <c r="E458" s="7" t="s">
        <v>630</v>
      </c>
      <c r="F458" s="7" t="s">
        <v>61</v>
      </c>
      <c r="G458" s="8">
        <v>46210</v>
      </c>
      <c r="I458" s="9">
        <f>IF(OR($G458="",$H458=""),"",$H458-$G458)</f>
        <v>0</v>
      </c>
    </row>
    <row r="459" spans="1:9">
      <c r="A459" s="7" t="s">
        <v>21</v>
      </c>
      <c r="B459" s="7" t="s">
        <v>635</v>
      </c>
      <c r="C459" s="7" t="s">
        <v>638</v>
      </c>
      <c r="E459" s="7" t="s">
        <v>630</v>
      </c>
      <c r="F459" s="7" t="s">
        <v>61</v>
      </c>
      <c r="G459" s="8">
        <v>46210</v>
      </c>
      <c r="I459" s="9">
        <f>IF(OR($G459="",$H459=""),"",$H459-$G459)</f>
        <v>0</v>
      </c>
    </row>
    <row r="460" spans="1:9">
      <c r="A460" s="7" t="s">
        <v>21</v>
      </c>
      <c r="B460" s="7" t="s">
        <v>635</v>
      </c>
      <c r="C460" s="7" t="s">
        <v>639</v>
      </c>
      <c r="E460" s="7" t="s">
        <v>630</v>
      </c>
      <c r="F460" s="7" t="s">
        <v>61</v>
      </c>
      <c r="G460" s="8">
        <v>46210</v>
      </c>
      <c r="I460" s="9">
        <f>IF(OR($G460="",$H460=""),"",$H460-$G460)</f>
        <v>0</v>
      </c>
    </row>
    <row r="461" spans="1:9">
      <c r="A461" s="7" t="s">
        <v>21</v>
      </c>
      <c r="B461" s="7" t="s">
        <v>635</v>
      </c>
      <c r="C461" s="7" t="s">
        <v>640</v>
      </c>
      <c r="E461" s="7" t="s">
        <v>630</v>
      </c>
      <c r="F461" s="7" t="s">
        <v>61</v>
      </c>
      <c r="G461" s="8">
        <v>46210</v>
      </c>
      <c r="I461" s="9">
        <f>IF(OR($G461="",$H461=""),"",$H461-$G461)</f>
        <v>0</v>
      </c>
    </row>
    <row r="462" spans="1:9">
      <c r="A462" s="7" t="s">
        <v>21</v>
      </c>
      <c r="B462" s="7" t="s">
        <v>641</v>
      </c>
      <c r="C462" s="7" t="s">
        <v>642</v>
      </c>
      <c r="E462" s="7" t="s">
        <v>630</v>
      </c>
      <c r="F462" s="7" t="s">
        <v>61</v>
      </c>
      <c r="G462" s="8">
        <v>46210</v>
      </c>
      <c r="I462" s="9">
        <f>IF(OR($G462="",$H462=""),"",$H462-$G462)</f>
        <v>0</v>
      </c>
    </row>
    <row r="463" spans="1:9">
      <c r="A463" s="7" t="s">
        <v>21</v>
      </c>
      <c r="B463" s="7" t="s">
        <v>641</v>
      </c>
      <c r="C463" s="7" t="s">
        <v>643</v>
      </c>
      <c r="E463" s="7" t="s">
        <v>630</v>
      </c>
      <c r="F463" s="7" t="s">
        <v>61</v>
      </c>
      <c r="G463" s="8">
        <v>46210</v>
      </c>
      <c r="I463" s="9">
        <f>IF(OR($G463="",$H463=""),"",$H463-$G463)</f>
        <v>0</v>
      </c>
    </row>
    <row r="464" spans="1:9">
      <c r="A464" s="7" t="s">
        <v>21</v>
      </c>
      <c r="B464" s="7" t="s">
        <v>641</v>
      </c>
      <c r="C464" s="7" t="s">
        <v>644</v>
      </c>
      <c r="E464" s="7" t="s">
        <v>630</v>
      </c>
      <c r="F464" s="7" t="s">
        <v>61</v>
      </c>
      <c r="G464" s="8">
        <v>46210</v>
      </c>
      <c r="I464" s="9">
        <f>IF(OR($G464="",$H464=""),"",$H464-$G464)</f>
        <v>0</v>
      </c>
    </row>
    <row r="465" spans="1:9">
      <c r="A465" s="7" t="s">
        <v>21</v>
      </c>
      <c r="B465" s="7" t="s">
        <v>641</v>
      </c>
      <c r="C465" s="7" t="s">
        <v>645</v>
      </c>
      <c r="E465" s="7" t="s">
        <v>630</v>
      </c>
      <c r="F465" s="7" t="s">
        <v>61</v>
      </c>
      <c r="G465" s="8">
        <v>46210</v>
      </c>
      <c r="I465" s="9">
        <f>IF(OR($G465="",$H465=""),"",$H465-$G465)</f>
        <v>0</v>
      </c>
    </row>
    <row r="466" spans="1:9">
      <c r="A466" s="7" t="s">
        <v>560</v>
      </c>
      <c r="B466" s="7" t="s">
        <v>561</v>
      </c>
      <c r="C466" s="7" t="s">
        <v>646</v>
      </c>
      <c r="E466" s="7" t="s">
        <v>562</v>
      </c>
      <c r="F466" s="7" t="s">
        <v>564</v>
      </c>
      <c r="G466" s="8">
        <v>46209</v>
      </c>
      <c r="I466" s="9">
        <f>IF(OR($G466="",$H466=""),"",$H466-$G466)</f>
        <v>0</v>
      </c>
    </row>
    <row r="467" spans="1:9">
      <c r="A467" s="7" t="s">
        <v>560</v>
      </c>
      <c r="B467" s="7" t="s">
        <v>561</v>
      </c>
      <c r="C467" s="7" t="s">
        <v>647</v>
      </c>
      <c r="E467" s="7" t="s">
        <v>562</v>
      </c>
      <c r="F467" s="7" t="s">
        <v>564</v>
      </c>
      <c r="G467" s="8">
        <v>46209</v>
      </c>
      <c r="I467" s="9">
        <f>IF(OR($G467="",$H467=""),"",$H467-$G467)</f>
        <v>0</v>
      </c>
    </row>
    <row r="468" spans="1:9">
      <c r="A468" s="7" t="s">
        <v>560</v>
      </c>
      <c r="B468" s="7" t="s">
        <v>561</v>
      </c>
      <c r="C468" s="7" t="s">
        <v>648</v>
      </c>
      <c r="E468" s="7" t="s">
        <v>562</v>
      </c>
      <c r="F468" s="7" t="s">
        <v>564</v>
      </c>
      <c r="G468" s="8">
        <v>46209</v>
      </c>
      <c r="I468" s="9">
        <f>IF(OR($G468="",$H468=""),"",$H468-$G468)</f>
        <v>0</v>
      </c>
    </row>
    <row r="469" spans="1:9">
      <c r="A469" s="7" t="s">
        <v>560</v>
      </c>
      <c r="B469" s="7" t="s">
        <v>561</v>
      </c>
      <c r="C469" s="7" t="s">
        <v>649</v>
      </c>
      <c r="E469" s="7" t="s">
        <v>562</v>
      </c>
      <c r="F469" s="7" t="s">
        <v>564</v>
      </c>
      <c r="G469" s="8">
        <v>46209</v>
      </c>
      <c r="I469" s="9">
        <f>IF(OR($G469="",$H469=""),"",$H469-$G469)</f>
        <v>0</v>
      </c>
    </row>
    <row r="470" spans="1:9">
      <c r="A470" s="7" t="s">
        <v>560</v>
      </c>
      <c r="B470" s="7" t="s">
        <v>561</v>
      </c>
      <c r="C470" s="7" t="s">
        <v>650</v>
      </c>
      <c r="E470" s="7" t="s">
        <v>562</v>
      </c>
      <c r="F470" s="7" t="s">
        <v>564</v>
      </c>
      <c r="G470" s="8">
        <v>46209</v>
      </c>
      <c r="I470" s="9">
        <f>IF(OR($G470="",$H470=""),"",$H470-$G470)</f>
        <v>0</v>
      </c>
    </row>
    <row r="471" spans="1:9">
      <c r="A471" s="7" t="s">
        <v>560</v>
      </c>
      <c r="B471" s="7" t="s">
        <v>561</v>
      </c>
      <c r="C471" s="7" t="s">
        <v>651</v>
      </c>
      <c r="E471" s="7" t="s">
        <v>562</v>
      </c>
      <c r="F471" s="7" t="s">
        <v>564</v>
      </c>
      <c r="G471" s="8">
        <v>46209</v>
      </c>
      <c r="I471" s="9">
        <f>IF(OR($G471="",$H471=""),"",$H471-$G471)</f>
        <v>0</v>
      </c>
    </row>
    <row r="472" spans="1:9">
      <c r="A472" s="7" t="s">
        <v>560</v>
      </c>
      <c r="B472" s="7" t="s">
        <v>561</v>
      </c>
      <c r="C472" s="7" t="s">
        <v>652</v>
      </c>
      <c r="E472" s="7" t="s">
        <v>562</v>
      </c>
      <c r="F472" s="7" t="s">
        <v>564</v>
      </c>
      <c r="G472" s="8">
        <v>46209</v>
      </c>
      <c r="I472" s="9">
        <f>IF(OR($G472="",$H472=""),"",$H472-$G472)</f>
        <v>0</v>
      </c>
    </row>
    <row r="473" spans="1:9">
      <c r="A473" s="7" t="s">
        <v>560</v>
      </c>
      <c r="B473" s="7" t="s">
        <v>561</v>
      </c>
      <c r="C473" s="7" t="s">
        <v>653</v>
      </c>
      <c r="E473" s="7" t="s">
        <v>562</v>
      </c>
      <c r="F473" s="7" t="s">
        <v>564</v>
      </c>
      <c r="G473" s="8">
        <v>46209</v>
      </c>
      <c r="I473" s="9">
        <f>IF(OR($G473="",$H473=""),"",$H473-$G473)</f>
        <v>0</v>
      </c>
    </row>
    <row r="474" spans="1:9">
      <c r="A474" s="7" t="s">
        <v>560</v>
      </c>
      <c r="B474" s="7" t="s">
        <v>561</v>
      </c>
      <c r="C474" s="7" t="s">
        <v>654</v>
      </c>
      <c r="E474" s="7" t="s">
        <v>562</v>
      </c>
      <c r="F474" s="7" t="s">
        <v>564</v>
      </c>
      <c r="G474" s="8">
        <v>46209</v>
      </c>
      <c r="I474" s="9">
        <f>IF(OR($G474="",$H474=""),"",$H474-$G474)</f>
        <v>0</v>
      </c>
    </row>
    <row r="475" spans="1:9">
      <c r="A475" s="7" t="s">
        <v>560</v>
      </c>
      <c r="B475" s="7" t="s">
        <v>561</v>
      </c>
      <c r="C475" s="7" t="s">
        <v>655</v>
      </c>
      <c r="E475" s="7" t="s">
        <v>562</v>
      </c>
      <c r="F475" s="7" t="s">
        <v>564</v>
      </c>
      <c r="G475" s="8">
        <v>46209</v>
      </c>
      <c r="I475" s="9">
        <f>IF(OR($G475="",$H475=""),"",$H475-$G475)</f>
        <v>0</v>
      </c>
    </row>
    <row r="476" spans="1:9">
      <c r="A476" s="7" t="s">
        <v>560</v>
      </c>
      <c r="B476" s="7" t="s">
        <v>561</v>
      </c>
      <c r="C476" s="7" t="s">
        <v>656</v>
      </c>
      <c r="E476" s="7" t="s">
        <v>562</v>
      </c>
      <c r="F476" s="7" t="s">
        <v>564</v>
      </c>
      <c r="G476" s="8">
        <v>46209</v>
      </c>
      <c r="I476" s="9">
        <f>IF(OR($G476="",$H476=""),"",$H476-$G476)</f>
        <v>0</v>
      </c>
    </row>
    <row r="477" spans="1:9">
      <c r="A477" s="7" t="s">
        <v>560</v>
      </c>
      <c r="B477" s="7" t="s">
        <v>561</v>
      </c>
      <c r="C477" s="7" t="s">
        <v>657</v>
      </c>
      <c r="E477" s="7" t="s">
        <v>562</v>
      </c>
      <c r="F477" s="7" t="s">
        <v>564</v>
      </c>
      <c r="G477" s="8">
        <v>46209</v>
      </c>
      <c r="I477" s="9">
        <f>IF(OR($G477="",$H477=""),"",$H477-$G477)</f>
        <v>0</v>
      </c>
    </row>
    <row r="478" spans="1:9">
      <c r="A478" s="7" t="s">
        <v>560</v>
      </c>
      <c r="B478" s="7" t="s">
        <v>561</v>
      </c>
      <c r="C478" s="7" t="s">
        <v>658</v>
      </c>
      <c r="E478" s="7" t="s">
        <v>562</v>
      </c>
      <c r="F478" s="7" t="s">
        <v>564</v>
      </c>
      <c r="G478" s="8">
        <v>46209</v>
      </c>
      <c r="I478" s="9">
        <f>IF(OR($G478="",$H478=""),"",$H478-$G478)</f>
        <v>0</v>
      </c>
    </row>
    <row r="479" spans="1:9">
      <c r="A479" s="7" t="s">
        <v>560</v>
      </c>
      <c r="B479" s="7" t="s">
        <v>561</v>
      </c>
      <c r="C479" s="7" t="s">
        <v>659</v>
      </c>
      <c r="E479" s="7" t="s">
        <v>562</v>
      </c>
      <c r="F479" s="7" t="s">
        <v>564</v>
      </c>
      <c r="G479" s="8">
        <v>46209</v>
      </c>
      <c r="I479" s="9">
        <f>IF(OR($G479="",$H479=""),"",$H479-$G479)</f>
        <v>0</v>
      </c>
    </row>
    <row r="480" spans="1:9">
      <c r="A480" s="7" t="s">
        <v>560</v>
      </c>
      <c r="B480" s="7" t="s">
        <v>561</v>
      </c>
      <c r="C480" s="7" t="s">
        <v>660</v>
      </c>
      <c r="E480" s="7" t="s">
        <v>562</v>
      </c>
      <c r="F480" s="7" t="s">
        <v>564</v>
      </c>
      <c r="G480" s="8">
        <v>46209</v>
      </c>
      <c r="I480" s="9">
        <f>IF(OR($G480="",$H480=""),"",$H480-$G480)</f>
        <v>0</v>
      </c>
    </row>
    <row r="481" spans="1:10">
      <c r="A481" s="7" t="s">
        <v>560</v>
      </c>
      <c r="B481" s="7" t="s">
        <v>561</v>
      </c>
      <c r="C481" s="7" t="s">
        <v>661</v>
      </c>
      <c r="E481" s="7" t="s">
        <v>562</v>
      </c>
      <c r="F481" s="7" t="s">
        <v>564</v>
      </c>
      <c r="G481" s="8">
        <v>46209</v>
      </c>
      <c r="I481" s="9">
        <f>IF(OR($G481="",$H481=""),"",$H481-$G481)</f>
        <v>0</v>
      </c>
    </row>
    <row r="482" spans="1:10">
      <c r="A482" s="7" t="s">
        <v>560</v>
      </c>
      <c r="B482" s="7" t="s">
        <v>561</v>
      </c>
      <c r="C482" s="7" t="s">
        <v>662</v>
      </c>
      <c r="E482" s="7" t="s">
        <v>562</v>
      </c>
      <c r="F482" s="7" t="s">
        <v>564</v>
      </c>
      <c r="G482" s="8">
        <v>46209</v>
      </c>
      <c r="I482" s="9">
        <f>IF(OR($G482="",$H482=""),"",$H482-$G482)</f>
        <v>0</v>
      </c>
    </row>
    <row r="483" spans="1:10">
      <c r="A483" s="7" t="s">
        <v>560</v>
      </c>
      <c r="B483" s="7" t="s">
        <v>561</v>
      </c>
      <c r="C483" s="7" t="s">
        <v>663</v>
      </c>
      <c r="E483" s="7" t="s">
        <v>562</v>
      </c>
      <c r="F483" s="7" t="s">
        <v>564</v>
      </c>
      <c r="G483" s="8">
        <v>46209</v>
      </c>
      <c r="I483" s="9">
        <f>IF(OR($G483="",$H483=""),"",$H483-$G483)</f>
        <v>0</v>
      </c>
    </row>
    <row r="484" spans="1:10">
      <c r="A484" s="7" t="s">
        <v>560</v>
      </c>
      <c r="B484" s="7" t="s">
        <v>561</v>
      </c>
      <c r="C484" s="7" t="s">
        <v>664</v>
      </c>
      <c r="E484" s="7" t="s">
        <v>562</v>
      </c>
      <c r="F484" s="7" t="s">
        <v>564</v>
      </c>
      <c r="G484" s="8">
        <v>46209</v>
      </c>
      <c r="I484" s="9">
        <f>IF(OR($G484="",$H484=""),"",$H484-$G484)</f>
        <v>0</v>
      </c>
    </row>
    <row r="485" spans="1:10">
      <c r="A485" s="7" t="s">
        <v>560</v>
      </c>
      <c r="B485" s="7" t="s">
        <v>561</v>
      </c>
      <c r="C485" s="7" t="s">
        <v>665</v>
      </c>
      <c r="E485" s="7" t="s">
        <v>562</v>
      </c>
      <c r="F485" s="7" t="s">
        <v>564</v>
      </c>
      <c r="G485" s="8">
        <v>46180</v>
      </c>
      <c r="I485" s="9">
        <f>IF(OR($G485="",$H485=""),"",$H485-$G485)</f>
        <v>0</v>
      </c>
    </row>
    <row r="486" spans="1:10">
      <c r="A486" s="7" t="s">
        <v>46</v>
      </c>
      <c r="B486" s="7" t="s">
        <v>666</v>
      </c>
      <c r="C486" s="7" t="s">
        <v>667</v>
      </c>
      <c r="E486" s="7" t="s">
        <v>613</v>
      </c>
      <c r="F486" s="7" t="s">
        <v>51</v>
      </c>
      <c r="G486" s="8">
        <v>46216</v>
      </c>
      <c r="I486" s="9">
        <f>IF(OR($G486="",$H486=""),"",$H486-$G486)</f>
        <v>0</v>
      </c>
      <c r="J486" s="7" t="s">
        <v>668</v>
      </c>
    </row>
    <row r="487" spans="1:10">
      <c r="A487" s="7" t="s">
        <v>46</v>
      </c>
      <c r="B487" s="7" t="s">
        <v>666</v>
      </c>
      <c r="C487" s="7" t="s">
        <v>669</v>
      </c>
      <c r="E487" s="7" t="s">
        <v>613</v>
      </c>
      <c r="F487" s="7" t="s">
        <v>51</v>
      </c>
      <c r="G487" s="8">
        <v>46216</v>
      </c>
      <c r="I487" s="9">
        <f>IF(OR($G487="",$H487=""),"",$H487-$G487)</f>
        <v>0</v>
      </c>
    </row>
    <row r="488" spans="1:10">
      <c r="A488" s="7" t="s">
        <v>46</v>
      </c>
      <c r="B488" s="7" t="s">
        <v>666</v>
      </c>
      <c r="C488" s="7" t="s">
        <v>670</v>
      </c>
      <c r="E488" s="7" t="s">
        <v>613</v>
      </c>
      <c r="F488" s="7" t="s">
        <v>51</v>
      </c>
      <c r="G488" s="8">
        <v>46216</v>
      </c>
      <c r="I488" s="9">
        <f>IF(OR($G488="",$H488=""),"",$H488-$G488)</f>
        <v>0</v>
      </c>
    </row>
    <row r="489" spans="1:10">
      <c r="A489" s="7" t="s">
        <v>46</v>
      </c>
      <c r="B489" s="7" t="s">
        <v>666</v>
      </c>
      <c r="C489" s="7" t="s">
        <v>671</v>
      </c>
      <c r="E489" s="7" t="s">
        <v>613</v>
      </c>
      <c r="F489" s="7" t="s">
        <v>51</v>
      </c>
      <c r="G489" s="8">
        <v>46216</v>
      </c>
      <c r="I489" s="9">
        <f>IF(OR($G489="",$H489=""),"",$H489-$G489)</f>
        <v>0</v>
      </c>
    </row>
    <row r="490" spans="1:10">
      <c r="A490" s="7" t="s">
        <v>46</v>
      </c>
      <c r="B490" s="7" t="s">
        <v>666</v>
      </c>
      <c r="C490" s="7" t="s">
        <v>672</v>
      </c>
      <c r="E490" s="7" t="s">
        <v>613</v>
      </c>
      <c r="F490" s="7" t="s">
        <v>51</v>
      </c>
      <c r="G490" s="8">
        <v>46216</v>
      </c>
      <c r="I490" s="9">
        <f>IF(OR($G490="",$H490=""),"",$H490-$G490)</f>
        <v>0</v>
      </c>
    </row>
    <row r="491" spans="1:10">
      <c r="A491" s="7" t="s">
        <v>46</v>
      </c>
      <c r="B491" s="7" t="s">
        <v>666</v>
      </c>
      <c r="C491" s="7" t="s">
        <v>673</v>
      </c>
      <c r="E491" s="7" t="s">
        <v>613</v>
      </c>
      <c r="F491" s="7" t="s">
        <v>51</v>
      </c>
      <c r="G491" s="8">
        <v>46216</v>
      </c>
      <c r="I491" s="9">
        <f>IF(OR($G491="",$H491=""),"",$H491-$G491)</f>
        <v>0</v>
      </c>
    </row>
    <row r="492" spans="1:10">
      <c r="A492" s="7" t="s">
        <v>46</v>
      </c>
      <c r="B492" s="7" t="s">
        <v>674</v>
      </c>
      <c r="C492" s="7" t="s">
        <v>675</v>
      </c>
      <c r="E492" s="7" t="s">
        <v>613</v>
      </c>
      <c r="F492" s="7" t="s">
        <v>51</v>
      </c>
      <c r="G492" s="8">
        <v>46216</v>
      </c>
      <c r="I492" s="9">
        <f>IF(OR($G492="",$H492=""),"",$H492-$G492)</f>
        <v>0</v>
      </c>
    </row>
    <row r="493" spans="1:10">
      <c r="A493" s="7" t="s">
        <v>46</v>
      </c>
      <c r="B493" s="7" t="s">
        <v>666</v>
      </c>
      <c r="C493" s="7" t="s">
        <v>676</v>
      </c>
      <c r="E493" s="7" t="s">
        <v>613</v>
      </c>
      <c r="F493" s="7" t="s">
        <v>51</v>
      </c>
      <c r="G493" s="8">
        <v>46216</v>
      </c>
      <c r="I493" s="9">
        <f>IF(OR($G493="",$H493=""),"",$H493-$G493)</f>
        <v>0</v>
      </c>
    </row>
    <row r="494" spans="1:10">
      <c r="A494" s="7" t="s">
        <v>46</v>
      </c>
      <c r="B494" s="7" t="s">
        <v>666</v>
      </c>
      <c r="C494" s="7" t="s">
        <v>677</v>
      </c>
      <c r="E494" s="7" t="s">
        <v>613</v>
      </c>
      <c r="F494" s="7" t="s">
        <v>51</v>
      </c>
      <c r="G494" s="8">
        <v>46216</v>
      </c>
      <c r="I494" s="9">
        <f>IF(OR($G494="",$H494=""),"",$H494-$G494)</f>
        <v>0</v>
      </c>
    </row>
    <row r="495" spans="1:10">
      <c r="A495" s="7" t="s">
        <v>46</v>
      </c>
      <c r="B495" s="7" t="s">
        <v>674</v>
      </c>
      <c r="C495" s="7" t="s">
        <v>678</v>
      </c>
      <c r="E495" s="7" t="s">
        <v>613</v>
      </c>
      <c r="F495" s="7" t="s">
        <v>51</v>
      </c>
      <c r="G495" s="8">
        <v>46216</v>
      </c>
      <c r="I495" s="9">
        <f>IF(OR($G495="",$H495=""),"",$H495-$G495)</f>
        <v>0</v>
      </c>
    </row>
    <row r="496" spans="1:10">
      <c r="A496" s="7" t="s">
        <v>46</v>
      </c>
      <c r="B496" s="7" t="s">
        <v>674</v>
      </c>
      <c r="C496" s="7" t="s">
        <v>679</v>
      </c>
      <c r="E496" s="7" t="s">
        <v>613</v>
      </c>
      <c r="F496" s="7" t="s">
        <v>51</v>
      </c>
      <c r="G496" s="8">
        <v>46216</v>
      </c>
      <c r="I496" s="9">
        <f>IF(OR($G496="",$H496=""),"",$H496-$G496)</f>
        <v>0</v>
      </c>
    </row>
    <row r="497" spans="1:9">
      <c r="A497" s="7" t="s">
        <v>46</v>
      </c>
      <c r="B497" s="7" t="s">
        <v>674</v>
      </c>
      <c r="C497" s="7" t="s">
        <v>680</v>
      </c>
      <c r="E497" s="7" t="s">
        <v>613</v>
      </c>
      <c r="F497" s="7" t="s">
        <v>51</v>
      </c>
      <c r="G497" s="8">
        <v>46216</v>
      </c>
      <c r="I497" s="9">
        <f>IF(OR($G497="",$H497=""),"",$H497-$G497)</f>
        <v>0</v>
      </c>
    </row>
    <row r="498" spans="1:9">
      <c r="A498" s="7" t="s">
        <v>46</v>
      </c>
      <c r="B498" s="7" t="s">
        <v>674</v>
      </c>
      <c r="C498" s="7" t="s">
        <v>681</v>
      </c>
      <c r="E498" s="7" t="s">
        <v>613</v>
      </c>
      <c r="F498" s="7" t="s">
        <v>51</v>
      </c>
      <c r="G498" s="8">
        <v>46216</v>
      </c>
      <c r="I498" s="9">
        <f>IF(OR($G498="",$H498=""),"",$H498-$G498)</f>
        <v>0</v>
      </c>
    </row>
    <row r="499" spans="1:9">
      <c r="A499" s="7" t="s">
        <v>46</v>
      </c>
      <c r="B499" s="7" t="s">
        <v>674</v>
      </c>
      <c r="C499" s="7" t="s">
        <v>682</v>
      </c>
      <c r="E499" s="7" t="s">
        <v>613</v>
      </c>
      <c r="F499" s="7" t="s">
        <v>51</v>
      </c>
      <c r="G499" s="8">
        <v>46216</v>
      </c>
      <c r="I499" s="9">
        <f>IF(OR($G499="",$H499=""),"",$H499-$G499)</f>
        <v>0</v>
      </c>
    </row>
    <row r="500" spans="1:9">
      <c r="A500" s="7" t="s">
        <v>46</v>
      </c>
      <c r="B500" s="7" t="s">
        <v>674</v>
      </c>
      <c r="C500" s="7" t="s">
        <v>683</v>
      </c>
      <c r="E500" s="7" t="s">
        <v>613</v>
      </c>
      <c r="F500" s="7" t="s">
        <v>51</v>
      </c>
      <c r="G500" s="8">
        <v>46216</v>
      </c>
      <c r="I500" s="9">
        <f>IF(OR($G500="",$H500=""),"",$H500-$G500)</f>
        <v>0</v>
      </c>
    </row>
    <row r="501" spans="1:9">
      <c r="A501" s="7" t="s">
        <v>46</v>
      </c>
      <c r="B501" s="7" t="s">
        <v>674</v>
      </c>
      <c r="C501" s="7" t="s">
        <v>684</v>
      </c>
      <c r="E501" s="7" t="s">
        <v>613</v>
      </c>
      <c r="F501" s="7" t="s">
        <v>51</v>
      </c>
      <c r="G501" s="8">
        <v>46216</v>
      </c>
      <c r="I501" s="9">
        <f>IF(OR($G501="",$H501=""),"",$H501-$G501)</f>
        <v>0</v>
      </c>
    </row>
    <row r="502" spans="1:9">
      <c r="A502" s="7" t="s">
        <v>46</v>
      </c>
      <c r="B502" s="7" t="s">
        <v>674</v>
      </c>
      <c r="C502" s="7" t="s">
        <v>685</v>
      </c>
      <c r="E502" s="7" t="s">
        <v>613</v>
      </c>
      <c r="F502" s="7" t="s">
        <v>51</v>
      </c>
      <c r="G502" s="8">
        <v>46216</v>
      </c>
      <c r="I502" s="9">
        <f>IF(OR($G502="",$H502=""),"",$H502-$G502)</f>
        <v>0</v>
      </c>
    </row>
    <row r="503" spans="1:9">
      <c r="A503" s="7" t="s">
        <v>46</v>
      </c>
      <c r="B503" s="7" t="s">
        <v>674</v>
      </c>
      <c r="C503" s="7" t="s">
        <v>686</v>
      </c>
      <c r="E503" s="7" t="s">
        <v>613</v>
      </c>
      <c r="F503" s="7" t="s">
        <v>51</v>
      </c>
      <c r="G503" s="8">
        <v>46216</v>
      </c>
      <c r="I503" s="9">
        <f>IF(OR($G503="",$H503=""),"",$H503-$G503)</f>
        <v>0</v>
      </c>
    </row>
    <row r="504" spans="1:9">
      <c r="A504" s="7" t="s">
        <v>46</v>
      </c>
      <c r="B504" s="7" t="s">
        <v>674</v>
      </c>
      <c r="C504" s="7" t="s">
        <v>687</v>
      </c>
      <c r="E504" s="7" t="s">
        <v>613</v>
      </c>
      <c r="F504" s="7" t="s">
        <v>51</v>
      </c>
      <c r="G504" s="8">
        <v>46216</v>
      </c>
      <c r="I504" s="9">
        <f>IF(OR($G504="",$H504=""),"",$H504-$G504)</f>
        <v>0</v>
      </c>
    </row>
    <row r="505" spans="1:9">
      <c r="A505" s="7" t="s">
        <v>46</v>
      </c>
      <c r="B505" s="7" t="s">
        <v>666</v>
      </c>
      <c r="C505" s="7" t="s">
        <v>688</v>
      </c>
      <c r="E505" s="7" t="s">
        <v>613</v>
      </c>
      <c r="F505" s="7" t="s">
        <v>51</v>
      </c>
      <c r="G505" s="8">
        <v>46216</v>
      </c>
      <c r="I505" s="9">
        <f>IF(OR($G505="",$H505=""),"",$H505-$G505)</f>
        <v>0</v>
      </c>
    </row>
    <row r="506" spans="1:9">
      <c r="A506" s="7" t="s">
        <v>46</v>
      </c>
      <c r="B506" s="7" t="s">
        <v>666</v>
      </c>
      <c r="C506" s="7" t="s">
        <v>689</v>
      </c>
      <c r="E506" s="7" t="s">
        <v>613</v>
      </c>
      <c r="F506" s="7" t="s">
        <v>51</v>
      </c>
      <c r="G506" s="8">
        <v>46216</v>
      </c>
      <c r="I506" s="9">
        <f>IF(OR($G506="",$H506=""),"",$H506-$G506)</f>
        <v>0</v>
      </c>
    </row>
    <row r="507" spans="1:9">
      <c r="A507" s="7" t="s">
        <v>46</v>
      </c>
      <c r="B507" s="7" t="s">
        <v>666</v>
      </c>
      <c r="C507" s="7" t="s">
        <v>690</v>
      </c>
      <c r="E507" s="7" t="s">
        <v>613</v>
      </c>
      <c r="F507" s="7" t="s">
        <v>51</v>
      </c>
      <c r="G507" s="8">
        <v>46216</v>
      </c>
      <c r="I507" s="9">
        <f>IF(OR($G507="",$H507=""),"",$H507-$G507)</f>
        <v>0</v>
      </c>
    </row>
    <row r="508" spans="1:9">
      <c r="A508" s="7" t="s">
        <v>46</v>
      </c>
      <c r="B508" s="7" t="s">
        <v>666</v>
      </c>
      <c r="C508" s="7" t="s">
        <v>691</v>
      </c>
      <c r="E508" s="7" t="s">
        <v>613</v>
      </c>
      <c r="F508" s="7" t="s">
        <v>51</v>
      </c>
      <c r="G508" s="8">
        <v>46216</v>
      </c>
      <c r="I508" s="9">
        <f>IF(OR($G508="",$H508=""),"",$H508-$G508)</f>
        <v>0</v>
      </c>
    </row>
    <row r="509" spans="1:9">
      <c r="A509" s="7" t="s">
        <v>46</v>
      </c>
      <c r="B509" s="7" t="s">
        <v>692</v>
      </c>
      <c r="C509" s="7" t="s">
        <v>693</v>
      </c>
      <c r="E509" s="7" t="s">
        <v>613</v>
      </c>
      <c r="F509" s="7" t="s">
        <v>51</v>
      </c>
      <c r="G509" s="8">
        <v>46216</v>
      </c>
      <c r="I509" s="9">
        <f>IF(OR($G509="",$H509=""),"",$H509-$G509)</f>
        <v>0</v>
      </c>
    </row>
    <row r="510" spans="1:9">
      <c r="A510" s="7" t="s">
        <v>694</v>
      </c>
      <c r="B510" s="7" t="s">
        <v>695</v>
      </c>
      <c r="C510" s="7" t="s">
        <v>696</v>
      </c>
      <c r="E510" s="7" t="s">
        <v>697</v>
      </c>
      <c r="F510" s="7" t="s">
        <v>114</v>
      </c>
      <c r="G510" s="8">
        <v>46211</v>
      </c>
      <c r="I510" s="9">
        <f>IF(OR($G510="",$H510=""),"",$H510-$G510)</f>
        <v>0</v>
      </c>
    </row>
    <row r="511" spans="1:9">
      <c r="A511" s="7" t="s">
        <v>694</v>
      </c>
      <c r="B511" s="7" t="s">
        <v>695</v>
      </c>
      <c r="C511" s="7" t="s">
        <v>698</v>
      </c>
      <c r="E511" s="7" t="s">
        <v>697</v>
      </c>
      <c r="F511" s="7" t="s">
        <v>114</v>
      </c>
      <c r="G511" s="8">
        <v>46211</v>
      </c>
      <c r="I511" s="9">
        <f>IF(OR($G511="",$H511=""),"",$H511-$G511)</f>
        <v>0</v>
      </c>
    </row>
    <row r="512" spans="1:9">
      <c r="A512" s="7" t="s">
        <v>694</v>
      </c>
      <c r="B512" s="7" t="s">
        <v>695</v>
      </c>
      <c r="C512" s="7" t="s">
        <v>699</v>
      </c>
      <c r="E512" s="7" t="s">
        <v>697</v>
      </c>
      <c r="F512" s="7" t="s">
        <v>114</v>
      </c>
      <c r="G512" s="8">
        <v>46211</v>
      </c>
      <c r="I512" s="9">
        <f>IF(OR($G512="",$H512=""),"",$H512-$G512)</f>
        <v>0</v>
      </c>
    </row>
    <row r="513" spans="1:9">
      <c r="A513" s="7" t="s">
        <v>694</v>
      </c>
      <c r="B513" s="7" t="s">
        <v>695</v>
      </c>
      <c r="C513" s="7" t="s">
        <v>700</v>
      </c>
      <c r="E513" s="7" t="s">
        <v>697</v>
      </c>
      <c r="F513" s="7" t="s">
        <v>114</v>
      </c>
      <c r="G513" s="8">
        <v>46211</v>
      </c>
      <c r="I513" s="9">
        <f>IF(OR($G513="",$H513=""),"",$H513-$G513)</f>
        <v>0</v>
      </c>
    </row>
    <row r="514" spans="1:9">
      <c r="A514" s="7" t="s">
        <v>694</v>
      </c>
      <c r="B514" s="7" t="s">
        <v>695</v>
      </c>
      <c r="C514" s="7" t="s">
        <v>701</v>
      </c>
      <c r="E514" s="7" t="s">
        <v>697</v>
      </c>
      <c r="F514" s="7" t="s">
        <v>114</v>
      </c>
      <c r="G514" s="8">
        <v>46211</v>
      </c>
      <c r="I514" s="9">
        <f>IF(OR($G514="",$H514=""),"",$H514-$G514)</f>
        <v>0</v>
      </c>
    </row>
    <row r="515" spans="1:9">
      <c r="A515" s="7" t="s">
        <v>694</v>
      </c>
      <c r="B515" s="7" t="s">
        <v>695</v>
      </c>
      <c r="C515" s="7" t="s">
        <v>702</v>
      </c>
      <c r="E515" s="7" t="s">
        <v>697</v>
      </c>
      <c r="F515" s="7" t="s">
        <v>114</v>
      </c>
      <c r="G515" s="8">
        <v>46211</v>
      </c>
      <c r="I515" s="9">
        <f>IF(OR($G515="",$H515=""),"",$H515-$G515)</f>
        <v>0</v>
      </c>
    </row>
    <row r="516" spans="1:9">
      <c r="A516" s="7" t="s">
        <v>694</v>
      </c>
      <c r="B516" s="7" t="s">
        <v>695</v>
      </c>
      <c r="C516" s="7" t="s">
        <v>703</v>
      </c>
      <c r="E516" s="7" t="s">
        <v>697</v>
      </c>
      <c r="F516" s="7" t="s">
        <v>114</v>
      </c>
      <c r="G516" s="8">
        <v>46211</v>
      </c>
      <c r="I516" s="9">
        <f>IF(OR($G516="",$H516=""),"",$H516-$G516)</f>
        <v>0</v>
      </c>
    </row>
    <row r="517" spans="1:9">
      <c r="A517" s="7" t="s">
        <v>694</v>
      </c>
      <c r="B517" s="7" t="s">
        <v>695</v>
      </c>
      <c r="C517" s="7" t="s">
        <v>704</v>
      </c>
      <c r="E517" s="7" t="s">
        <v>697</v>
      </c>
      <c r="F517" s="7" t="s">
        <v>114</v>
      </c>
      <c r="G517" s="8">
        <v>46211</v>
      </c>
      <c r="I517" s="9">
        <f>IF(OR($G517="",$H517=""),"",$H517-$G517)</f>
        <v>0</v>
      </c>
    </row>
    <row r="518" spans="1:9">
      <c r="A518" s="7" t="s">
        <v>694</v>
      </c>
      <c r="B518" s="7" t="s">
        <v>695</v>
      </c>
      <c r="C518" s="7" t="s">
        <v>705</v>
      </c>
      <c r="E518" s="7" t="s">
        <v>697</v>
      </c>
      <c r="F518" s="7" t="s">
        <v>114</v>
      </c>
      <c r="G518" s="8">
        <v>46211</v>
      </c>
      <c r="I518" s="9">
        <f>IF(OR($G518="",$H518=""),"",$H518-$G518)</f>
        <v>0</v>
      </c>
    </row>
    <row r="519" spans="1:9">
      <c r="A519" s="7" t="s">
        <v>694</v>
      </c>
      <c r="B519" s="7" t="s">
        <v>695</v>
      </c>
      <c r="C519" s="7" t="s">
        <v>706</v>
      </c>
      <c r="E519" s="7" t="s">
        <v>697</v>
      </c>
      <c r="F519" s="7" t="s">
        <v>114</v>
      </c>
      <c r="G519" s="8">
        <v>46211</v>
      </c>
      <c r="I519" s="9">
        <f>IF(OR($G519="",$H519=""),"",$H519-$G519)</f>
        <v>0</v>
      </c>
    </row>
    <row r="520" spans="1:9">
      <c r="A520" s="7" t="s">
        <v>46</v>
      </c>
      <c r="B520" s="7" t="s">
        <v>251</v>
      </c>
      <c r="C520" s="7" t="s">
        <v>707</v>
      </c>
      <c r="E520" s="7" t="s">
        <v>613</v>
      </c>
      <c r="F520" s="7" t="s">
        <v>114</v>
      </c>
      <c r="G520" s="8">
        <v>46211</v>
      </c>
      <c r="I520" s="9">
        <f>IF(OR($G520="",$H520=""),"",$H520-$G520)</f>
        <v>0</v>
      </c>
    </row>
    <row r="521" spans="1:9">
      <c r="A521" s="7" t="s">
        <v>46</v>
      </c>
      <c r="B521" s="7" t="s">
        <v>251</v>
      </c>
      <c r="C521" s="7" t="s">
        <v>708</v>
      </c>
      <c r="E521" s="7" t="s">
        <v>613</v>
      </c>
      <c r="F521" s="7" t="s">
        <v>114</v>
      </c>
      <c r="G521" s="8">
        <v>46211</v>
      </c>
      <c r="I521" s="9">
        <f>IF(OR($G521="",$H521=""),"",$H521-$G521)</f>
        <v>0</v>
      </c>
    </row>
    <row r="522" spans="1:9">
      <c r="A522" s="7" t="s">
        <v>46</v>
      </c>
      <c r="B522" s="7" t="s">
        <v>251</v>
      </c>
      <c r="C522" s="7" t="s">
        <v>709</v>
      </c>
      <c r="E522" s="7" t="s">
        <v>613</v>
      </c>
      <c r="F522" s="7" t="s">
        <v>114</v>
      </c>
      <c r="G522" s="8">
        <v>46211</v>
      </c>
      <c r="I522" s="9">
        <f>IF(OR($G522="",$H522=""),"",$H522-$G522)</f>
        <v>0</v>
      </c>
    </row>
    <row r="523" spans="1:9">
      <c r="A523" s="7" t="s">
        <v>46</v>
      </c>
      <c r="B523" s="7" t="s">
        <v>251</v>
      </c>
      <c r="C523" s="7" t="s">
        <v>710</v>
      </c>
      <c r="E523" s="7" t="s">
        <v>613</v>
      </c>
      <c r="F523" s="7" t="s">
        <v>114</v>
      </c>
      <c r="G523" s="8">
        <v>46211</v>
      </c>
      <c r="I523" s="9">
        <f>IF(OR($G523="",$H523=""),"",$H523-$G523)</f>
        <v>0</v>
      </c>
    </row>
    <row r="524" spans="1:9">
      <c r="A524" s="7" t="s">
        <v>46</v>
      </c>
      <c r="B524" s="7" t="s">
        <v>251</v>
      </c>
      <c r="C524" s="7" t="s">
        <v>711</v>
      </c>
      <c r="E524" s="7" t="s">
        <v>613</v>
      </c>
      <c r="F524" s="7" t="s">
        <v>114</v>
      </c>
      <c r="G524" s="8">
        <v>46211</v>
      </c>
      <c r="I524" s="9">
        <f>IF(OR($G524="",$H524=""),"",$H524-$G524)</f>
        <v>0</v>
      </c>
    </row>
    <row r="525" spans="1:9">
      <c r="A525" s="7" t="s">
        <v>46</v>
      </c>
      <c r="B525" s="7" t="s">
        <v>251</v>
      </c>
      <c r="C525" s="7" t="s">
        <v>712</v>
      </c>
      <c r="E525" s="7" t="s">
        <v>613</v>
      </c>
      <c r="F525" s="7" t="s">
        <v>114</v>
      </c>
      <c r="G525" s="8">
        <v>46211</v>
      </c>
      <c r="I525" s="9">
        <f>IF(OR($G525="",$H525=""),"",$H525-$G525)</f>
        <v>0</v>
      </c>
    </row>
    <row r="526" spans="1:9">
      <c r="A526" s="7" t="s">
        <v>46</v>
      </c>
      <c r="B526" s="7" t="s">
        <v>251</v>
      </c>
      <c r="C526" s="7" t="s">
        <v>713</v>
      </c>
      <c r="E526" s="7" t="s">
        <v>613</v>
      </c>
      <c r="F526" s="7" t="s">
        <v>114</v>
      </c>
      <c r="G526" s="8">
        <v>46211</v>
      </c>
      <c r="I526" s="9">
        <f>IF(OR($G526="",$H526=""),"",$H526-$G526)</f>
        <v>0</v>
      </c>
    </row>
    <row r="527" spans="1:9">
      <c r="A527" s="7" t="s">
        <v>46</v>
      </c>
      <c r="B527" s="7" t="s">
        <v>714</v>
      </c>
      <c r="C527" s="7" t="s">
        <v>715</v>
      </c>
      <c r="E527" s="7" t="s">
        <v>541</v>
      </c>
      <c r="F527" s="7" t="s">
        <v>25</v>
      </c>
      <c r="G527" s="8">
        <v>46212</v>
      </c>
      <c r="I527" s="9">
        <f>IF(OR($G527="",$H527=""),"",$H527-$G527)</f>
        <v>0</v>
      </c>
    </row>
    <row r="528" spans="1:9">
      <c r="A528" s="7" t="s">
        <v>46</v>
      </c>
      <c r="B528" s="7" t="s">
        <v>714</v>
      </c>
      <c r="C528" s="7" t="s">
        <v>716</v>
      </c>
      <c r="E528" s="7" t="s">
        <v>541</v>
      </c>
      <c r="F528" s="7" t="s">
        <v>25</v>
      </c>
      <c r="G528" s="8">
        <v>46212</v>
      </c>
      <c r="I528" s="9">
        <f>IF(OR($G528="",$H528=""),"",$H528-$G528)</f>
        <v>0</v>
      </c>
    </row>
    <row r="529" spans="1:9">
      <c r="A529" s="7" t="s">
        <v>46</v>
      </c>
      <c r="B529" s="7" t="s">
        <v>717</v>
      </c>
      <c r="C529" s="7" t="s">
        <v>718</v>
      </c>
      <c r="E529" s="7" t="s">
        <v>541</v>
      </c>
      <c r="F529" s="7" t="s">
        <v>25</v>
      </c>
      <c r="G529" s="8">
        <v>46212</v>
      </c>
      <c r="I529" s="9">
        <f>IF(OR($G529="",$H529=""),"",$H529-$G529)</f>
        <v>0</v>
      </c>
    </row>
    <row r="530" spans="1:9">
      <c r="A530" s="7" t="s">
        <v>46</v>
      </c>
      <c r="B530" s="7" t="s">
        <v>714</v>
      </c>
      <c r="C530" s="7" t="s">
        <v>719</v>
      </c>
      <c r="E530" s="7" t="s">
        <v>541</v>
      </c>
      <c r="F530" s="7" t="s">
        <v>25</v>
      </c>
      <c r="G530" s="8">
        <v>46212</v>
      </c>
      <c r="I530" s="9">
        <f>IF(OR($G530="",$H530=""),"",$H530-$G530)</f>
        <v>0</v>
      </c>
    </row>
    <row r="531" spans="1:9">
      <c r="A531" s="7" t="s">
        <v>46</v>
      </c>
      <c r="B531" s="7" t="s">
        <v>714</v>
      </c>
      <c r="C531" s="7" t="s">
        <v>720</v>
      </c>
      <c r="E531" s="7" t="s">
        <v>541</v>
      </c>
      <c r="F531" s="7" t="s">
        <v>25</v>
      </c>
      <c r="G531" s="8">
        <v>46212</v>
      </c>
      <c r="I531" s="9">
        <f>IF(OR($G531="",$H531=""),"",$H531-$G531)</f>
        <v>0</v>
      </c>
    </row>
    <row r="532" spans="1:9">
      <c r="A532" s="7" t="s">
        <v>46</v>
      </c>
      <c r="B532" s="7" t="s">
        <v>714</v>
      </c>
      <c r="C532" s="7" t="s">
        <v>721</v>
      </c>
      <c r="E532" s="7" t="s">
        <v>541</v>
      </c>
      <c r="F532" s="7" t="s">
        <v>25</v>
      </c>
      <c r="G532" s="8">
        <v>46212</v>
      </c>
      <c r="I532" s="9">
        <f>IF(OR($G532="",$H532=""),"",$H532-$G532)</f>
        <v>0</v>
      </c>
    </row>
    <row r="533" spans="1:9">
      <c r="A533" s="7" t="s">
        <v>46</v>
      </c>
      <c r="B533" s="7" t="s">
        <v>714</v>
      </c>
      <c r="C533" s="7" t="s">
        <v>722</v>
      </c>
      <c r="E533" s="7" t="s">
        <v>541</v>
      </c>
      <c r="F533" s="7" t="s">
        <v>25</v>
      </c>
      <c r="G533" s="8">
        <v>46212</v>
      </c>
      <c r="I533" s="9">
        <f>IF(OR($G533="",$H533=""),"",$H533-$G533)</f>
        <v>0</v>
      </c>
    </row>
    <row r="534" spans="1:9">
      <c r="A534" s="7" t="s">
        <v>46</v>
      </c>
      <c r="B534" s="7" t="s">
        <v>714</v>
      </c>
      <c r="C534" s="7" t="s">
        <v>723</v>
      </c>
      <c r="E534" s="7" t="s">
        <v>541</v>
      </c>
      <c r="F534" s="7" t="s">
        <v>25</v>
      </c>
      <c r="G534" s="8">
        <v>46212</v>
      </c>
      <c r="I534" s="9">
        <f>IF(OR($G534="",$H534=""),"",$H534-$G534)</f>
        <v>0</v>
      </c>
    </row>
    <row r="535" spans="1:9">
      <c r="A535" s="7" t="s">
        <v>46</v>
      </c>
      <c r="B535" s="7" t="s">
        <v>717</v>
      </c>
      <c r="C535" s="7" t="s">
        <v>724</v>
      </c>
      <c r="E535" s="7" t="s">
        <v>541</v>
      </c>
      <c r="F535" s="7" t="s">
        <v>25</v>
      </c>
      <c r="G535" s="8">
        <v>46212</v>
      </c>
      <c r="I535" s="9">
        <f>IF(OR($G535="",$H535=""),"",$H535-$G535)</f>
        <v>0</v>
      </c>
    </row>
    <row r="536" spans="1:9">
      <c r="A536" s="7" t="s">
        <v>46</v>
      </c>
      <c r="B536" s="7" t="s">
        <v>717</v>
      </c>
      <c r="C536" s="7" t="s">
        <v>725</v>
      </c>
      <c r="E536" s="7" t="s">
        <v>541</v>
      </c>
      <c r="F536" s="7" t="s">
        <v>25</v>
      </c>
      <c r="G536" s="8">
        <v>46212</v>
      </c>
      <c r="I536" s="9">
        <f>IF(OR($G536="",$H536=""),"",$H536-$G536)</f>
        <v>0</v>
      </c>
    </row>
    <row r="537" spans="1:9">
      <c r="A537" s="7" t="s">
        <v>46</v>
      </c>
      <c r="B537" s="7" t="s">
        <v>714</v>
      </c>
      <c r="C537" s="7" t="s">
        <v>726</v>
      </c>
      <c r="E537" s="7" t="s">
        <v>541</v>
      </c>
      <c r="F537" s="7" t="s">
        <v>25</v>
      </c>
      <c r="G537" s="8">
        <v>46212</v>
      </c>
      <c r="I537" s="9">
        <f>IF(OR($G537="",$H537=""),"",$H537-$G537)</f>
        <v>0</v>
      </c>
    </row>
    <row r="538" spans="1:9">
      <c r="A538" s="7" t="s">
        <v>46</v>
      </c>
      <c r="B538" s="7" t="s">
        <v>714</v>
      </c>
      <c r="C538" s="7" t="s">
        <v>727</v>
      </c>
      <c r="E538" s="7" t="s">
        <v>541</v>
      </c>
      <c r="F538" s="7" t="s">
        <v>25</v>
      </c>
      <c r="G538" s="8">
        <v>46212</v>
      </c>
      <c r="I538" s="9">
        <f>IF(OR($G538="",$H538=""),"",$H538-$G538)</f>
        <v>0</v>
      </c>
    </row>
    <row r="539" spans="1:9">
      <c r="A539" s="7" t="s">
        <v>46</v>
      </c>
      <c r="B539" s="7" t="s">
        <v>714</v>
      </c>
      <c r="C539" s="7" t="s">
        <v>728</v>
      </c>
      <c r="E539" s="7" t="s">
        <v>541</v>
      </c>
      <c r="F539" s="7" t="s">
        <v>25</v>
      </c>
      <c r="G539" s="8">
        <v>46212</v>
      </c>
      <c r="I539" s="9">
        <f>IF(OR($G539="",$H539=""),"",$H539-$G539)</f>
        <v>0</v>
      </c>
    </row>
    <row r="540" spans="1:9">
      <c r="A540" s="7" t="s">
        <v>46</v>
      </c>
      <c r="B540" s="7" t="s">
        <v>714</v>
      </c>
      <c r="C540" s="7" t="s">
        <v>729</v>
      </c>
      <c r="E540" s="7" t="s">
        <v>541</v>
      </c>
      <c r="F540" s="7" t="s">
        <v>25</v>
      </c>
      <c r="G540" s="8">
        <v>46212</v>
      </c>
      <c r="I540" s="9">
        <f>IF(OR($G540="",$H540=""),"",$H540-$G540)</f>
        <v>0</v>
      </c>
    </row>
    <row r="541" spans="1:9">
      <c r="A541" s="7" t="s">
        <v>46</v>
      </c>
      <c r="B541" s="7" t="s">
        <v>717</v>
      </c>
      <c r="C541" s="7" t="s">
        <v>730</v>
      </c>
      <c r="E541" s="7" t="s">
        <v>541</v>
      </c>
      <c r="F541" s="7" t="s">
        <v>25</v>
      </c>
      <c r="G541" s="8">
        <v>46212</v>
      </c>
      <c r="I541" s="9">
        <f>IF(OR($G541="",$H541=""),"",$H541-$G541)</f>
        <v>0</v>
      </c>
    </row>
    <row r="542" spans="1:9">
      <c r="A542" s="7" t="s">
        <v>46</v>
      </c>
      <c r="B542" s="7" t="s">
        <v>714</v>
      </c>
      <c r="C542" s="7" t="s">
        <v>731</v>
      </c>
      <c r="E542" s="7" t="s">
        <v>541</v>
      </c>
      <c r="F542" s="7" t="s">
        <v>25</v>
      </c>
      <c r="G542" s="8">
        <v>46212</v>
      </c>
      <c r="I542" s="9">
        <f>IF(OR($G542="",$H542=""),"",$H542-$G542)</f>
        <v>0</v>
      </c>
    </row>
    <row r="543" spans="1:9">
      <c r="A543" s="7" t="s">
        <v>46</v>
      </c>
      <c r="B543" s="7" t="s">
        <v>714</v>
      </c>
      <c r="C543" s="7" t="s">
        <v>732</v>
      </c>
      <c r="E543" s="7" t="s">
        <v>541</v>
      </c>
      <c r="F543" s="7" t="s">
        <v>25</v>
      </c>
      <c r="G543" s="8">
        <v>46212</v>
      </c>
      <c r="I543" s="9">
        <f>IF(OR($G543="",$H543=""),"",$H543-$G543)</f>
        <v>0</v>
      </c>
    </row>
    <row r="544" spans="1:9">
      <c r="A544" s="7" t="s">
        <v>46</v>
      </c>
      <c r="B544" s="7" t="s">
        <v>714</v>
      </c>
      <c r="C544" s="7" t="s">
        <v>733</v>
      </c>
      <c r="E544" s="7" t="s">
        <v>541</v>
      </c>
      <c r="F544" s="7" t="s">
        <v>25</v>
      </c>
      <c r="G544" s="8">
        <v>46212</v>
      </c>
      <c r="I544" s="9">
        <f>IF(OR($G544="",$H544=""),"",$H544-$G544)</f>
        <v>0</v>
      </c>
    </row>
    <row r="545" spans="1:9">
      <c r="A545" s="7" t="s">
        <v>46</v>
      </c>
      <c r="B545" s="7" t="s">
        <v>714</v>
      </c>
      <c r="C545" s="7" t="s">
        <v>734</v>
      </c>
      <c r="E545" s="7" t="s">
        <v>541</v>
      </c>
      <c r="F545" s="7" t="s">
        <v>25</v>
      </c>
      <c r="G545" s="8">
        <v>46212</v>
      </c>
      <c r="I545" s="9">
        <f>IF(OR($G545="",$H545=""),"",$H545-$G545)</f>
        <v>0</v>
      </c>
    </row>
    <row r="546" spans="1:9">
      <c r="A546" s="7" t="s">
        <v>46</v>
      </c>
      <c r="B546" s="7" t="s">
        <v>714</v>
      </c>
      <c r="C546" s="7" t="s">
        <v>735</v>
      </c>
      <c r="E546" s="7" t="s">
        <v>541</v>
      </c>
      <c r="F546" s="7" t="s">
        <v>25</v>
      </c>
      <c r="G546" s="8">
        <v>46212</v>
      </c>
      <c r="I546" s="9">
        <f>IF(OR($G546="",$H546=""),"",$H546-$G546)</f>
        <v>0</v>
      </c>
    </row>
    <row r="547" spans="1:9">
      <c r="A547" s="7" t="s">
        <v>46</v>
      </c>
      <c r="B547" s="7" t="s">
        <v>714</v>
      </c>
      <c r="C547" s="7" t="s">
        <v>736</v>
      </c>
      <c r="E547" s="7" t="s">
        <v>541</v>
      </c>
      <c r="F547" s="7" t="s">
        <v>25</v>
      </c>
      <c r="G547" s="8">
        <v>46212</v>
      </c>
      <c r="I547" s="9">
        <f>IF(OR($G547="",$H547=""),"",$H547-$G547)</f>
        <v>0</v>
      </c>
    </row>
    <row r="548" spans="1:9">
      <c r="A548" s="7" t="s">
        <v>46</v>
      </c>
      <c r="B548" s="7" t="s">
        <v>714</v>
      </c>
      <c r="C548" s="7" t="s">
        <v>737</v>
      </c>
      <c r="E548" s="7" t="s">
        <v>541</v>
      </c>
      <c r="F548" s="7" t="s">
        <v>25</v>
      </c>
      <c r="G548" s="8">
        <v>46212</v>
      </c>
      <c r="I548" s="9">
        <f>IF(OR($G548="",$H548=""),"",$H548-$G548)</f>
        <v>0</v>
      </c>
    </row>
    <row r="549" spans="1:9">
      <c r="A549" s="7" t="s">
        <v>46</v>
      </c>
      <c r="B549" s="7" t="s">
        <v>714</v>
      </c>
      <c r="C549" s="7" t="s">
        <v>738</v>
      </c>
      <c r="E549" s="7" t="s">
        <v>541</v>
      </c>
      <c r="F549" s="7" t="s">
        <v>25</v>
      </c>
      <c r="G549" s="8">
        <v>46212</v>
      </c>
      <c r="I549" s="9">
        <f>IF(OR($G549="",$H549=""),"",$H549-$G549)</f>
        <v>0</v>
      </c>
    </row>
    <row r="550" spans="1:9">
      <c r="A550" s="7" t="s">
        <v>46</v>
      </c>
      <c r="B550" s="7" t="s">
        <v>714</v>
      </c>
      <c r="C550" s="7" t="s">
        <v>739</v>
      </c>
      <c r="E550" s="7" t="s">
        <v>541</v>
      </c>
      <c r="F550" s="7" t="s">
        <v>25</v>
      </c>
      <c r="G550" s="8">
        <v>46212</v>
      </c>
      <c r="I550" s="9">
        <f>IF(OR($G550="",$H550=""),"",$H550-$G550)</f>
        <v>0</v>
      </c>
    </row>
    <row r="551" spans="1:9">
      <c r="A551" s="7" t="s">
        <v>46</v>
      </c>
      <c r="B551" s="7" t="s">
        <v>714</v>
      </c>
      <c r="C551" s="7" t="s">
        <v>740</v>
      </c>
      <c r="E551" s="7" t="s">
        <v>541</v>
      </c>
      <c r="F551" s="7" t="s">
        <v>25</v>
      </c>
      <c r="G551" s="8">
        <v>46212</v>
      </c>
      <c r="I551" s="9">
        <f>IF(OR($G551="",$H551=""),"",$H551-$G551)</f>
        <v>0</v>
      </c>
    </row>
    <row r="552" spans="1:9">
      <c r="A552" s="7" t="s">
        <v>46</v>
      </c>
      <c r="B552" s="7" t="s">
        <v>717</v>
      </c>
      <c r="C552" s="7" t="s">
        <v>741</v>
      </c>
      <c r="E552" s="7" t="s">
        <v>541</v>
      </c>
      <c r="F552" s="7" t="s">
        <v>25</v>
      </c>
      <c r="G552" s="8">
        <v>46212</v>
      </c>
      <c r="I552" s="9">
        <f>IF(OR($G552="",$H552=""),"",$H552-$G552)</f>
        <v>0</v>
      </c>
    </row>
    <row r="553" spans="1:9">
      <c r="A553" s="7" t="s">
        <v>46</v>
      </c>
      <c r="B553" s="7" t="s">
        <v>714</v>
      </c>
      <c r="C553" s="7" t="s">
        <v>742</v>
      </c>
      <c r="E553" s="7" t="s">
        <v>541</v>
      </c>
      <c r="F553" s="7" t="s">
        <v>25</v>
      </c>
      <c r="G553" s="8">
        <v>46212</v>
      </c>
      <c r="I553" s="9">
        <f>IF(OR($G553="",$H553=""),"",$H553-$G553)</f>
        <v>0</v>
      </c>
    </row>
    <row r="554" spans="1:9">
      <c r="A554" s="7" t="s">
        <v>46</v>
      </c>
      <c r="B554" s="7" t="s">
        <v>714</v>
      </c>
      <c r="C554" s="7" t="s">
        <v>743</v>
      </c>
      <c r="E554" s="7" t="s">
        <v>541</v>
      </c>
      <c r="F554" s="7" t="s">
        <v>25</v>
      </c>
      <c r="G554" s="8">
        <v>46212</v>
      </c>
      <c r="I554" s="9">
        <f>IF(OR($G554="",$H554=""),"",$H554-$G554)</f>
        <v>0</v>
      </c>
    </row>
    <row r="555" spans="1:9">
      <c r="A555" s="7" t="s">
        <v>46</v>
      </c>
      <c r="B555" s="7" t="s">
        <v>714</v>
      </c>
      <c r="C555" s="7" t="s">
        <v>744</v>
      </c>
      <c r="E555" s="7" t="s">
        <v>541</v>
      </c>
      <c r="F555" s="7" t="s">
        <v>25</v>
      </c>
      <c r="G555" s="8">
        <v>46212</v>
      </c>
      <c r="I555" s="9">
        <f>IF(OR($G555="",$H555=""),"",$H555-$G555)</f>
        <v>0</v>
      </c>
    </row>
    <row r="556" spans="1:9">
      <c r="A556" s="7" t="s">
        <v>46</v>
      </c>
      <c r="B556" s="7" t="s">
        <v>714</v>
      </c>
      <c r="C556" s="7" t="s">
        <v>745</v>
      </c>
      <c r="E556" s="7" t="s">
        <v>541</v>
      </c>
      <c r="F556" s="7" t="s">
        <v>25</v>
      </c>
      <c r="G556" s="8">
        <v>46212</v>
      </c>
      <c r="I556" s="9">
        <f>IF(OR($G556="",$H556=""),"",$H556-$G556)</f>
        <v>0</v>
      </c>
    </row>
    <row r="557" spans="1:9">
      <c r="A557" s="7" t="s">
        <v>46</v>
      </c>
      <c r="B557" s="7" t="s">
        <v>714</v>
      </c>
      <c r="C557" s="7" t="s">
        <v>746</v>
      </c>
      <c r="E557" s="7" t="s">
        <v>541</v>
      </c>
      <c r="F557" s="7" t="s">
        <v>25</v>
      </c>
      <c r="G557" s="8">
        <v>46212</v>
      </c>
      <c r="I557" s="9">
        <f>IF(OR($G557="",$H557=""),"",$H557-$G557)</f>
        <v>0</v>
      </c>
    </row>
    <row r="558" spans="1:9">
      <c r="A558" s="7" t="s">
        <v>46</v>
      </c>
      <c r="B558" s="7" t="s">
        <v>714</v>
      </c>
      <c r="C558" s="7" t="s">
        <v>747</v>
      </c>
      <c r="E558" s="7" t="s">
        <v>541</v>
      </c>
      <c r="F558" s="7" t="s">
        <v>25</v>
      </c>
      <c r="G558" s="8">
        <v>46212</v>
      </c>
      <c r="I558" s="9">
        <f>IF(OR($G558="",$H558=""),"",$H558-$G558)</f>
        <v>0</v>
      </c>
    </row>
    <row r="559" spans="1:9">
      <c r="A559" s="7" t="s">
        <v>46</v>
      </c>
      <c r="B559" s="7" t="s">
        <v>748</v>
      </c>
      <c r="C559" s="7" t="s">
        <v>749</v>
      </c>
      <c r="E559" s="7" t="s">
        <v>541</v>
      </c>
      <c r="F559" s="7" t="s">
        <v>25</v>
      </c>
      <c r="G559" s="8">
        <v>46212</v>
      </c>
      <c r="I559" s="9">
        <f>IF(OR($G559="",$H559=""),"",$H559-$G559)</f>
        <v>0</v>
      </c>
    </row>
    <row r="560" spans="1:9">
      <c r="A560" s="7" t="s">
        <v>46</v>
      </c>
      <c r="B560" s="7" t="s">
        <v>714</v>
      </c>
      <c r="C560" s="7" t="s">
        <v>750</v>
      </c>
      <c r="E560" s="7" t="s">
        <v>541</v>
      </c>
      <c r="F560" s="7" t="s">
        <v>25</v>
      </c>
      <c r="G560" s="8">
        <v>46212</v>
      </c>
      <c r="I560" s="9">
        <f>IF(OR($G560="",$H560=""),"",$H560-$G560)</f>
        <v>0</v>
      </c>
    </row>
    <row r="561" spans="1:9">
      <c r="A561" s="7" t="s">
        <v>46</v>
      </c>
      <c r="B561" s="7" t="s">
        <v>714</v>
      </c>
      <c r="C561" s="7" t="s">
        <v>751</v>
      </c>
      <c r="E561" s="7" t="s">
        <v>541</v>
      </c>
      <c r="F561" s="7" t="s">
        <v>25</v>
      </c>
      <c r="G561" s="8">
        <v>46212</v>
      </c>
      <c r="I561" s="9">
        <f>IF(OR($G561="",$H561=""),"",$H561-$G561)</f>
        <v>0</v>
      </c>
    </row>
    <row r="562" spans="1:9">
      <c r="A562" s="7" t="s">
        <v>46</v>
      </c>
      <c r="B562" s="7" t="s">
        <v>714</v>
      </c>
      <c r="C562" s="7" t="s">
        <v>752</v>
      </c>
      <c r="E562" s="7" t="s">
        <v>541</v>
      </c>
      <c r="F562" s="7" t="s">
        <v>25</v>
      </c>
      <c r="G562" s="8">
        <v>46212</v>
      </c>
      <c r="I562" s="9">
        <f>IF(OR($G562="",$H562=""),"",$H562-$G562)</f>
        <v>0</v>
      </c>
    </row>
    <row r="563" spans="1:9">
      <c r="A563" s="7" t="s">
        <v>46</v>
      </c>
      <c r="B563" s="7" t="s">
        <v>714</v>
      </c>
      <c r="C563" s="7" t="s">
        <v>753</v>
      </c>
      <c r="E563" s="7" t="s">
        <v>541</v>
      </c>
      <c r="F563" s="7" t="s">
        <v>25</v>
      </c>
      <c r="G563" s="8">
        <v>46212</v>
      </c>
      <c r="I563" s="9">
        <f>IF(OR($G563="",$H563=""),"",$H563-$G563)</f>
        <v>0</v>
      </c>
    </row>
    <row r="564" spans="1:9">
      <c r="A564" s="7" t="s">
        <v>46</v>
      </c>
      <c r="B564" s="7" t="s">
        <v>748</v>
      </c>
      <c r="C564" s="7" t="s">
        <v>754</v>
      </c>
      <c r="E564" s="7" t="s">
        <v>541</v>
      </c>
      <c r="F564" s="7" t="s">
        <v>25</v>
      </c>
      <c r="G564" s="8">
        <v>46212</v>
      </c>
      <c r="I564" s="9">
        <f>IF(OR($G564="",$H564=""),"",$H564-$G564)</f>
        <v>0</v>
      </c>
    </row>
    <row r="565" spans="1:9">
      <c r="A565" s="7" t="s">
        <v>46</v>
      </c>
      <c r="B565" s="7" t="s">
        <v>717</v>
      </c>
      <c r="C565" s="7" t="s">
        <v>755</v>
      </c>
      <c r="E565" s="7" t="s">
        <v>541</v>
      </c>
      <c r="F565" s="7" t="s">
        <v>25</v>
      </c>
      <c r="G565" s="8">
        <v>46212</v>
      </c>
      <c r="I565" s="9">
        <f>IF(OR($G565="",$H565=""),"",$H565-$G565)</f>
        <v>0</v>
      </c>
    </row>
    <row r="566" spans="1:9">
      <c r="A566" s="7" t="s">
        <v>46</v>
      </c>
      <c r="B566" s="7" t="s">
        <v>717</v>
      </c>
      <c r="C566" s="7" t="s">
        <v>756</v>
      </c>
      <c r="E566" s="7" t="s">
        <v>541</v>
      </c>
      <c r="F566" s="7" t="s">
        <v>25</v>
      </c>
      <c r="G566" s="8">
        <v>46212</v>
      </c>
      <c r="I566" s="9">
        <f>IF(OR($G566="",$H566=""),"",$H566-$G566)</f>
        <v>0</v>
      </c>
    </row>
    <row r="567" spans="1:9">
      <c r="A567" s="7" t="s">
        <v>56</v>
      </c>
      <c r="B567" s="7" t="s">
        <v>757</v>
      </c>
      <c r="C567" s="7" t="s">
        <v>758</v>
      </c>
      <c r="E567" s="7" t="s">
        <v>759</v>
      </c>
      <c r="F567" s="7" t="s">
        <v>25</v>
      </c>
      <c r="G567" s="8">
        <v>46213</v>
      </c>
      <c r="I567" s="9">
        <f>IF(OR($G567="",$H567=""),"",$H567-$G567)</f>
        <v>0</v>
      </c>
    </row>
    <row r="568" spans="1:9">
      <c r="A568" s="7" t="s">
        <v>56</v>
      </c>
      <c r="B568" s="7" t="s">
        <v>757</v>
      </c>
      <c r="C568" s="7" t="s">
        <v>760</v>
      </c>
      <c r="E568" s="7" t="s">
        <v>759</v>
      </c>
      <c r="F568" s="7" t="s">
        <v>25</v>
      </c>
      <c r="G568" s="8">
        <v>46213</v>
      </c>
      <c r="I568" s="9">
        <f>IF(OR($G568="",$H568=""),"",$H568-$G568)</f>
        <v>0</v>
      </c>
    </row>
    <row r="569" spans="1:9">
      <c r="A569" s="7" t="s">
        <v>56</v>
      </c>
      <c r="B569" s="7" t="s">
        <v>757</v>
      </c>
      <c r="C569" s="7" t="s">
        <v>761</v>
      </c>
      <c r="E569" s="7" t="s">
        <v>759</v>
      </c>
      <c r="F569" s="7" t="s">
        <v>25</v>
      </c>
      <c r="G569" s="8">
        <v>46213</v>
      </c>
      <c r="I569" s="9">
        <f>IF(OR($G569="",$H569=""),"",$H569-$G569)</f>
        <v>0</v>
      </c>
    </row>
    <row r="570" spans="1:9">
      <c r="A570" s="7" t="s">
        <v>56</v>
      </c>
      <c r="B570" s="7" t="s">
        <v>757</v>
      </c>
      <c r="C570" s="7" t="s">
        <v>762</v>
      </c>
      <c r="E570" s="7" t="s">
        <v>759</v>
      </c>
      <c r="F570" s="7" t="s">
        <v>25</v>
      </c>
      <c r="G570" s="8">
        <v>46213</v>
      </c>
      <c r="I570" s="9">
        <f>IF(OR($G570="",$H570=""),"",$H570-$G570)</f>
        <v>0</v>
      </c>
    </row>
    <row r="571" spans="1:9">
      <c r="A571" s="7" t="s">
        <v>56</v>
      </c>
      <c r="B571" s="7" t="s">
        <v>757</v>
      </c>
      <c r="C571" s="7" t="s">
        <v>763</v>
      </c>
      <c r="E571" s="7" t="s">
        <v>759</v>
      </c>
      <c r="F571" s="7" t="s">
        <v>25</v>
      </c>
      <c r="G571" s="8">
        <v>46213</v>
      </c>
      <c r="I571" s="9">
        <f>IF(OR($G571="",$H571=""),"",$H571-$G571)</f>
        <v>0</v>
      </c>
    </row>
    <row r="572" spans="1:9">
      <c r="A572" s="7" t="s">
        <v>56</v>
      </c>
      <c r="B572" s="7" t="s">
        <v>764</v>
      </c>
      <c r="C572" s="7" t="s">
        <v>765</v>
      </c>
      <c r="E572" s="7" t="s">
        <v>759</v>
      </c>
      <c r="F572" s="7" t="s">
        <v>25</v>
      </c>
      <c r="G572" s="8">
        <v>46213</v>
      </c>
      <c r="I572" s="9">
        <f>IF(OR($G572="",$H572=""),"",$H572-$G572)</f>
        <v>0</v>
      </c>
    </row>
    <row r="573" spans="1:9">
      <c r="A573" s="7" t="s">
        <v>56</v>
      </c>
      <c r="B573" s="7" t="s">
        <v>764</v>
      </c>
      <c r="C573" s="7" t="s">
        <v>766</v>
      </c>
      <c r="E573" s="7" t="s">
        <v>759</v>
      </c>
      <c r="F573" s="7" t="s">
        <v>25</v>
      </c>
      <c r="G573" s="8">
        <v>46213</v>
      </c>
      <c r="I573" s="9">
        <f>IF(OR($G573="",$H573=""),"",$H573-$G573)</f>
        <v>0</v>
      </c>
    </row>
    <row r="574" spans="1:9">
      <c r="A574" s="7" t="s">
        <v>56</v>
      </c>
      <c r="B574" s="7" t="s">
        <v>764</v>
      </c>
      <c r="C574" s="7" t="s">
        <v>767</v>
      </c>
      <c r="E574" s="7" t="s">
        <v>759</v>
      </c>
      <c r="F574" s="7" t="s">
        <v>25</v>
      </c>
      <c r="G574" s="8">
        <v>46213</v>
      </c>
      <c r="I574" s="9">
        <f>IF(OR($G574="",$H574=""),"",$H574-$G574)</f>
        <v>0</v>
      </c>
    </row>
    <row r="575" spans="1:9">
      <c r="A575" s="7" t="s">
        <v>56</v>
      </c>
      <c r="B575" s="7" t="s">
        <v>764</v>
      </c>
      <c r="C575" s="7" t="s">
        <v>768</v>
      </c>
      <c r="E575" s="7" t="s">
        <v>759</v>
      </c>
      <c r="F575" s="7" t="s">
        <v>25</v>
      </c>
      <c r="G575" s="8">
        <v>46213</v>
      </c>
      <c r="I575" s="9">
        <f>IF(OR($G575="",$H575=""),"",$H575-$G575)</f>
        <v>0</v>
      </c>
    </row>
    <row r="576" spans="1:9">
      <c r="A576" s="7" t="s">
        <v>56</v>
      </c>
      <c r="B576" s="7" t="s">
        <v>764</v>
      </c>
      <c r="C576" s="7" t="s">
        <v>769</v>
      </c>
      <c r="E576" s="7" t="s">
        <v>759</v>
      </c>
      <c r="F576" s="7" t="s">
        <v>25</v>
      </c>
      <c r="G576" s="8">
        <v>46217</v>
      </c>
      <c r="I576" s="9">
        <f>IF(OR($G576="",$H576=""),"",$H576-$G576)</f>
        <v>0</v>
      </c>
    </row>
    <row r="577" spans="1:9">
      <c r="A577" s="7" t="s">
        <v>56</v>
      </c>
      <c r="B577" s="7" t="s">
        <v>764</v>
      </c>
      <c r="C577" s="7" t="s">
        <v>770</v>
      </c>
      <c r="E577" s="7" t="s">
        <v>759</v>
      </c>
      <c r="F577" s="7" t="s">
        <v>25</v>
      </c>
      <c r="G577" s="8">
        <v>46213</v>
      </c>
      <c r="I577" s="9">
        <f>IF(OR($G577="",$H577=""),"",$H577-$G577)</f>
        <v>0</v>
      </c>
    </row>
    <row r="578" spans="1:9">
      <c r="A578" s="7" t="s">
        <v>56</v>
      </c>
      <c r="B578" s="7" t="s">
        <v>764</v>
      </c>
      <c r="C578" s="7" t="s">
        <v>771</v>
      </c>
      <c r="E578" s="7" t="s">
        <v>759</v>
      </c>
      <c r="F578" s="7" t="s">
        <v>25</v>
      </c>
      <c r="G578" s="8">
        <v>46213</v>
      </c>
      <c r="I578" s="9">
        <f>IF(OR($G578="",$H578=""),"",$H578-$G578)</f>
        <v>0</v>
      </c>
    </row>
    <row r="579" spans="1:9">
      <c r="A579" s="7" t="s">
        <v>56</v>
      </c>
      <c r="B579" s="7" t="s">
        <v>764</v>
      </c>
      <c r="C579" s="7" t="s">
        <v>772</v>
      </c>
      <c r="E579" s="7" t="s">
        <v>759</v>
      </c>
      <c r="F579" s="7" t="s">
        <v>25</v>
      </c>
      <c r="G579" s="8">
        <v>46213</v>
      </c>
      <c r="I579" s="9">
        <f>IF(OR($G579="",$H579=""),"",$H579-$G579)</f>
        <v>0</v>
      </c>
    </row>
    <row r="580" spans="1:9">
      <c r="A580" s="7" t="s">
        <v>56</v>
      </c>
      <c r="B580" s="7" t="s">
        <v>764</v>
      </c>
      <c r="C580" s="7" t="s">
        <v>773</v>
      </c>
      <c r="E580" s="7" t="s">
        <v>759</v>
      </c>
      <c r="F580" s="7" t="s">
        <v>25</v>
      </c>
      <c r="G580" s="8">
        <v>46213</v>
      </c>
      <c r="I580" s="9">
        <f>IF(OR($G580="",$H580=""),"",$H580-$G580)</f>
        <v>0</v>
      </c>
    </row>
    <row r="581" spans="1:9">
      <c r="A581" s="7" t="s">
        <v>56</v>
      </c>
      <c r="B581" s="7" t="s">
        <v>764</v>
      </c>
      <c r="C581" s="7" t="s">
        <v>774</v>
      </c>
      <c r="E581" s="7" t="s">
        <v>759</v>
      </c>
      <c r="F581" s="7" t="s">
        <v>25</v>
      </c>
      <c r="G581" s="8">
        <v>46213</v>
      </c>
      <c r="I581" s="9">
        <f>IF(OR($G581="",$H581=""),"",$H581-$G581)</f>
        <v>0</v>
      </c>
    </row>
    <row r="582" spans="1:9">
      <c r="A582" s="7" t="s">
        <v>56</v>
      </c>
      <c r="B582" s="7" t="s">
        <v>764</v>
      </c>
      <c r="C582" s="7" t="s">
        <v>775</v>
      </c>
      <c r="E582" s="7" t="s">
        <v>759</v>
      </c>
      <c r="F582" s="7" t="s">
        <v>25</v>
      </c>
      <c r="G582" s="8">
        <v>46213</v>
      </c>
      <c r="I582" s="9">
        <f>IF(OR($G582="",$H582=""),"",$H582-$G582)</f>
        <v>0</v>
      </c>
    </row>
    <row r="583" spans="1:9">
      <c r="A583" s="7" t="s">
        <v>56</v>
      </c>
      <c r="B583" s="7" t="s">
        <v>764</v>
      </c>
      <c r="C583" s="7" t="s">
        <v>776</v>
      </c>
      <c r="E583" s="7" t="s">
        <v>759</v>
      </c>
      <c r="F583" s="7" t="s">
        <v>25</v>
      </c>
      <c r="G583" s="8">
        <v>46213</v>
      </c>
      <c r="I583" s="9">
        <f>IF(OR($G583="",$H583=""),"",$H583-$G583)</f>
        <v>0</v>
      </c>
    </row>
    <row r="584" spans="1:9">
      <c r="A584" s="7" t="s">
        <v>56</v>
      </c>
      <c r="B584" s="7" t="s">
        <v>764</v>
      </c>
      <c r="C584" s="7" t="s">
        <v>777</v>
      </c>
      <c r="E584" s="7" t="s">
        <v>759</v>
      </c>
      <c r="F584" s="7" t="s">
        <v>25</v>
      </c>
      <c r="G584" s="8">
        <v>46213</v>
      </c>
      <c r="I584" s="9">
        <f>IF(OR($G584="",$H584=""),"",$H584-$G584)</f>
        <v>0</v>
      </c>
    </row>
    <row r="585" spans="1:9">
      <c r="A585" s="7" t="s">
        <v>56</v>
      </c>
      <c r="B585" s="7" t="s">
        <v>764</v>
      </c>
      <c r="C585" s="7" t="s">
        <v>778</v>
      </c>
      <c r="E585" s="7" t="s">
        <v>759</v>
      </c>
      <c r="F585" s="7" t="s">
        <v>25</v>
      </c>
      <c r="G585" s="8">
        <v>46213</v>
      </c>
      <c r="I585" s="9">
        <f>IF(OR($G585="",$H585=""),"",$H585-$G585)</f>
        <v>0</v>
      </c>
    </row>
    <row r="586" spans="1:9">
      <c r="A586" s="7" t="s">
        <v>56</v>
      </c>
      <c r="B586" s="7" t="s">
        <v>764</v>
      </c>
      <c r="C586" s="7" t="s">
        <v>779</v>
      </c>
      <c r="E586" s="7" t="s">
        <v>759</v>
      </c>
      <c r="F586" s="7" t="s">
        <v>25</v>
      </c>
      <c r="G586" s="8">
        <v>46213</v>
      </c>
      <c r="I586" s="9">
        <f>IF(OR($G586="",$H586=""),"",$H586-$G586)</f>
        <v>0</v>
      </c>
    </row>
    <row r="587" spans="1:9">
      <c r="A587" s="7" t="s">
        <v>56</v>
      </c>
      <c r="B587" s="7" t="s">
        <v>764</v>
      </c>
      <c r="C587" s="7" t="s">
        <v>780</v>
      </c>
      <c r="E587" s="7" t="s">
        <v>759</v>
      </c>
      <c r="F587" s="7" t="s">
        <v>25</v>
      </c>
      <c r="G587" s="8">
        <v>46213</v>
      </c>
      <c r="I587" s="9">
        <f>IF(OR($G587="",$H587=""),"",$H587-$G587)</f>
        <v>0</v>
      </c>
    </row>
    <row r="588" spans="1:9">
      <c r="A588" s="7" t="s">
        <v>56</v>
      </c>
      <c r="B588" s="7" t="s">
        <v>764</v>
      </c>
      <c r="C588" s="7" t="s">
        <v>781</v>
      </c>
      <c r="E588" s="7" t="s">
        <v>759</v>
      </c>
      <c r="F588" s="7" t="s">
        <v>25</v>
      </c>
      <c r="G588" s="8">
        <v>46213</v>
      </c>
      <c r="I588" s="9">
        <f>IF(OR($G588="",$H588=""),"",$H588-$G588)</f>
        <v>0</v>
      </c>
    </row>
    <row r="589" spans="1:9">
      <c r="A589" s="7" t="s">
        <v>56</v>
      </c>
      <c r="B589" s="7" t="s">
        <v>764</v>
      </c>
      <c r="C589" s="7" t="s">
        <v>782</v>
      </c>
      <c r="E589" s="7" t="s">
        <v>759</v>
      </c>
      <c r="F589" s="7" t="s">
        <v>25</v>
      </c>
      <c r="G589" s="8">
        <v>46213</v>
      </c>
      <c r="I589" s="9">
        <f>IF(OR($G589="",$H589=""),"",$H589-$G589)</f>
        <v>0</v>
      </c>
    </row>
    <row r="590" spans="1:9">
      <c r="A590" s="7" t="s">
        <v>56</v>
      </c>
      <c r="B590" s="7" t="s">
        <v>764</v>
      </c>
      <c r="C590" s="7" t="s">
        <v>783</v>
      </c>
      <c r="E590" s="7" t="s">
        <v>759</v>
      </c>
      <c r="F590" s="7" t="s">
        <v>25</v>
      </c>
      <c r="G590" s="8">
        <v>46213</v>
      </c>
      <c r="I590" s="9">
        <f>IF(OR($G590="",$H590=""),"",$H590-$G590)</f>
        <v>0</v>
      </c>
    </row>
    <row r="591" spans="1:9">
      <c r="A591" s="7" t="s">
        <v>56</v>
      </c>
      <c r="B591" s="7" t="s">
        <v>764</v>
      </c>
      <c r="C591" s="7" t="s">
        <v>784</v>
      </c>
      <c r="E591" s="7" t="s">
        <v>759</v>
      </c>
      <c r="F591" s="7" t="s">
        <v>25</v>
      </c>
      <c r="G591" s="8">
        <v>46213</v>
      </c>
      <c r="I591" s="9">
        <f>IF(OR($G591="",$H591=""),"",$H591-$G591)</f>
        <v>0</v>
      </c>
    </row>
    <row r="592" spans="1:9">
      <c r="A592" s="7" t="s">
        <v>56</v>
      </c>
      <c r="B592" s="7" t="s">
        <v>785</v>
      </c>
      <c r="C592" s="7" t="s">
        <v>786</v>
      </c>
      <c r="E592" s="7" t="s">
        <v>759</v>
      </c>
      <c r="F592" s="7" t="s">
        <v>25</v>
      </c>
      <c r="G592" s="8">
        <v>46213</v>
      </c>
      <c r="I592" s="9">
        <f>IF(OR($G592="",$H592=""),"",$H592-$G592)</f>
        <v>0</v>
      </c>
    </row>
    <row r="593" spans="1:9">
      <c r="A593" s="7" t="s">
        <v>56</v>
      </c>
      <c r="B593" s="7" t="s">
        <v>785</v>
      </c>
      <c r="C593" s="7" t="s">
        <v>787</v>
      </c>
      <c r="E593" s="7" t="s">
        <v>759</v>
      </c>
      <c r="F593" s="7" t="s">
        <v>25</v>
      </c>
      <c r="G593" s="8">
        <v>46213</v>
      </c>
      <c r="I593" s="9">
        <f>IF(OR($G593="",$H593=""),"",$H593-$G593)</f>
        <v>0</v>
      </c>
    </row>
    <row r="594" spans="1:9">
      <c r="A594" s="7" t="s">
        <v>56</v>
      </c>
      <c r="B594" s="7" t="s">
        <v>785</v>
      </c>
      <c r="C594" s="7" t="s">
        <v>788</v>
      </c>
      <c r="E594" s="7" t="s">
        <v>759</v>
      </c>
      <c r="F594" s="7" t="s">
        <v>25</v>
      </c>
      <c r="G594" s="8">
        <v>46213</v>
      </c>
      <c r="I594" s="9">
        <f>IF(OR($G594="",$H594=""),"",$H594-$G594)</f>
        <v>0</v>
      </c>
    </row>
    <row r="595" spans="1:9">
      <c r="A595" s="7" t="s">
        <v>56</v>
      </c>
      <c r="B595" s="7" t="s">
        <v>785</v>
      </c>
      <c r="C595" s="7" t="s">
        <v>789</v>
      </c>
      <c r="E595" s="7" t="s">
        <v>759</v>
      </c>
      <c r="F595" s="7" t="s">
        <v>25</v>
      </c>
      <c r="G595" s="8">
        <v>46213</v>
      </c>
      <c r="I595" s="9">
        <f>IF(OR($G595="",$H595=""),"",$H595-$G595)</f>
        <v>0</v>
      </c>
    </row>
    <row r="596" spans="1:9">
      <c r="A596" s="7" t="s">
        <v>56</v>
      </c>
      <c r="B596" s="7" t="s">
        <v>785</v>
      </c>
      <c r="C596" s="7" t="s">
        <v>790</v>
      </c>
      <c r="E596" s="7" t="s">
        <v>759</v>
      </c>
      <c r="F596" s="7" t="s">
        <v>25</v>
      </c>
      <c r="G596" s="8">
        <v>46213</v>
      </c>
      <c r="I596" s="9">
        <f>IF(OR($G596="",$H596=""),"",$H596-$G596)</f>
        <v>0</v>
      </c>
    </row>
    <row r="597" spans="1:9">
      <c r="A597" s="7" t="s">
        <v>56</v>
      </c>
      <c r="B597" s="7" t="s">
        <v>757</v>
      </c>
      <c r="C597" s="7" t="s">
        <v>791</v>
      </c>
      <c r="E597" s="7" t="s">
        <v>792</v>
      </c>
      <c r="F597" s="7" t="s">
        <v>25</v>
      </c>
      <c r="G597" s="8">
        <v>46217</v>
      </c>
      <c r="I597" s="9">
        <f>IF(OR($G597="",$H597=""),"",$H597-$G597)</f>
        <v>0</v>
      </c>
    </row>
    <row r="598" spans="1:9">
      <c r="A598" s="7" t="s">
        <v>56</v>
      </c>
      <c r="B598" s="7" t="s">
        <v>757</v>
      </c>
      <c r="C598" s="7" t="s">
        <v>793</v>
      </c>
      <c r="E598" s="7" t="s">
        <v>792</v>
      </c>
      <c r="F598" s="7" t="s">
        <v>25</v>
      </c>
      <c r="G598" s="8">
        <v>46217</v>
      </c>
      <c r="I598" s="9">
        <f>IF(OR($G598="",$H598=""),"",$H598-$G598)</f>
        <v>0</v>
      </c>
    </row>
    <row r="599" spans="1:9">
      <c r="A599" s="7" t="s">
        <v>56</v>
      </c>
      <c r="B599" s="7" t="s">
        <v>757</v>
      </c>
      <c r="C599" s="7" t="s">
        <v>794</v>
      </c>
      <c r="E599" s="7" t="s">
        <v>792</v>
      </c>
      <c r="F599" s="7" t="s">
        <v>25</v>
      </c>
      <c r="G599" s="8">
        <v>46217</v>
      </c>
      <c r="I599" s="9">
        <f>IF(OR($G599="",$H599=""),"",$H599-$G599)</f>
        <v>0</v>
      </c>
    </row>
    <row r="600" spans="1:9">
      <c r="A600" s="7" t="s">
        <v>56</v>
      </c>
      <c r="B600" s="7" t="s">
        <v>757</v>
      </c>
      <c r="C600" s="7" t="s">
        <v>795</v>
      </c>
      <c r="E600" s="7" t="s">
        <v>792</v>
      </c>
      <c r="F600" s="7" t="s">
        <v>25</v>
      </c>
      <c r="G600" s="8">
        <v>46217</v>
      </c>
      <c r="I600" s="9">
        <f>IF(OR($G600="",$H600=""),"",$H600-$G600)</f>
        <v>0</v>
      </c>
    </row>
    <row r="601" spans="1:9">
      <c r="A601" s="7" t="s">
        <v>56</v>
      </c>
      <c r="B601" s="7" t="s">
        <v>757</v>
      </c>
      <c r="C601" s="7" t="s">
        <v>796</v>
      </c>
      <c r="E601" s="7" t="s">
        <v>792</v>
      </c>
      <c r="F601" s="7" t="s">
        <v>25</v>
      </c>
      <c r="G601" s="8">
        <v>46217</v>
      </c>
      <c r="I601" s="9">
        <f>IF(OR($G601="",$H601=""),"",$H601-$G601)</f>
        <v>0</v>
      </c>
    </row>
    <row r="602" spans="1:9">
      <c r="A602" s="7" t="s">
        <v>56</v>
      </c>
      <c r="B602" s="7" t="s">
        <v>757</v>
      </c>
      <c r="C602" s="7" t="s">
        <v>797</v>
      </c>
      <c r="E602" s="7" t="s">
        <v>792</v>
      </c>
      <c r="F602" s="7" t="s">
        <v>25</v>
      </c>
      <c r="G602" s="8">
        <v>46217</v>
      </c>
      <c r="I602" s="9">
        <f>IF(OR($G602="",$H602=""),"",$H602-$G602)</f>
        <v>0</v>
      </c>
    </row>
    <row r="603" spans="1:9">
      <c r="A603" s="7" t="s">
        <v>56</v>
      </c>
      <c r="B603" s="7" t="s">
        <v>757</v>
      </c>
      <c r="C603" s="7" t="s">
        <v>798</v>
      </c>
      <c r="E603" s="7" t="s">
        <v>792</v>
      </c>
      <c r="F603" s="7" t="s">
        <v>25</v>
      </c>
      <c r="G603" s="8">
        <v>46217</v>
      </c>
      <c r="I603" s="9">
        <f>IF(OR($G603="",$H603=""),"",$H603-$G603)</f>
        <v>0</v>
      </c>
    </row>
    <row r="604" spans="1:9">
      <c r="A604" s="7" t="s">
        <v>56</v>
      </c>
      <c r="B604" s="7" t="s">
        <v>757</v>
      </c>
      <c r="C604" s="7" t="s">
        <v>799</v>
      </c>
      <c r="E604" s="7" t="s">
        <v>792</v>
      </c>
      <c r="F604" s="7" t="s">
        <v>25</v>
      </c>
      <c r="G604" s="8">
        <v>46217</v>
      </c>
      <c r="I604" s="9">
        <f>IF(OR($G604="",$H604=""),"",$H604-$G604)</f>
        <v>0</v>
      </c>
    </row>
    <row r="605" spans="1:9">
      <c r="A605" s="7" t="s">
        <v>56</v>
      </c>
      <c r="B605" s="7" t="s">
        <v>757</v>
      </c>
      <c r="C605" s="7" t="s">
        <v>800</v>
      </c>
      <c r="E605" s="7" t="s">
        <v>792</v>
      </c>
      <c r="F605" s="7" t="s">
        <v>25</v>
      </c>
      <c r="G605" s="8">
        <v>46217</v>
      </c>
      <c r="I605" s="9">
        <f>IF(OR($G605="",$H605=""),"",$H605-$G605)</f>
        <v>0</v>
      </c>
    </row>
    <row r="606" spans="1:9">
      <c r="A606" s="7" t="s">
        <v>56</v>
      </c>
      <c r="B606" s="7" t="s">
        <v>757</v>
      </c>
      <c r="C606" s="7" t="s">
        <v>801</v>
      </c>
      <c r="E606" s="7" t="s">
        <v>792</v>
      </c>
      <c r="F606" s="7" t="s">
        <v>25</v>
      </c>
      <c r="G606" s="8">
        <v>46217</v>
      </c>
      <c r="I606" s="9">
        <f>IF(OR($G606="",$H606=""),"",$H606-$G606)</f>
        <v>0</v>
      </c>
    </row>
    <row r="607" spans="1:9">
      <c r="A607" s="7" t="s">
        <v>56</v>
      </c>
      <c r="B607" s="7" t="s">
        <v>757</v>
      </c>
      <c r="C607" s="7" t="s">
        <v>802</v>
      </c>
      <c r="E607" s="7" t="s">
        <v>792</v>
      </c>
      <c r="F607" s="7" t="s">
        <v>25</v>
      </c>
      <c r="G607" s="8">
        <v>46217</v>
      </c>
      <c r="I607" s="9">
        <f>IF(OR($G607="",$H607=""),"",$H607-$G607)</f>
        <v>0</v>
      </c>
    </row>
    <row r="608" spans="1:9">
      <c r="A608" s="7" t="s">
        <v>56</v>
      </c>
      <c r="B608" s="7" t="s">
        <v>757</v>
      </c>
      <c r="C608" s="7" t="s">
        <v>803</v>
      </c>
      <c r="E608" s="7" t="s">
        <v>792</v>
      </c>
      <c r="F608" s="7" t="s">
        <v>25</v>
      </c>
      <c r="G608" s="8">
        <v>46217</v>
      </c>
      <c r="I608" s="9">
        <f>IF(OR($G608="",$H608=""),"",$H608-$G608)</f>
        <v>0</v>
      </c>
    </row>
    <row r="609" spans="1:9">
      <c r="A609" s="7" t="s">
        <v>56</v>
      </c>
      <c r="B609" s="7" t="s">
        <v>757</v>
      </c>
      <c r="C609" s="7" t="s">
        <v>804</v>
      </c>
      <c r="E609" s="7" t="s">
        <v>792</v>
      </c>
      <c r="F609" s="7" t="s">
        <v>25</v>
      </c>
      <c r="G609" s="8">
        <v>46217</v>
      </c>
      <c r="I609" s="9">
        <f>IF(OR($G609="",$H609=""),"",$H609-$G609)</f>
        <v>0</v>
      </c>
    </row>
    <row r="610" spans="1:9">
      <c r="A610" s="7" t="s">
        <v>56</v>
      </c>
      <c r="B610" s="7" t="s">
        <v>757</v>
      </c>
      <c r="C610" s="7" t="s">
        <v>805</v>
      </c>
      <c r="E610" s="7" t="s">
        <v>792</v>
      </c>
      <c r="F610" s="7" t="s">
        <v>25</v>
      </c>
      <c r="G610" s="8">
        <v>46217</v>
      </c>
      <c r="I610" s="9">
        <f>IF(OR($G610="",$H610=""),"",$H610-$G610)</f>
        <v>0</v>
      </c>
    </row>
    <row r="611" spans="1:9">
      <c r="A611" s="7" t="s">
        <v>56</v>
      </c>
      <c r="B611" s="7" t="s">
        <v>757</v>
      </c>
      <c r="C611" s="7" t="s">
        <v>806</v>
      </c>
      <c r="E611" s="7" t="s">
        <v>792</v>
      </c>
      <c r="F611" s="7" t="s">
        <v>25</v>
      </c>
      <c r="G611" s="8">
        <v>46217</v>
      </c>
      <c r="I611" s="9">
        <f>IF(OR($G611="",$H611=""),"",$H611-$G611)</f>
        <v>0</v>
      </c>
    </row>
    <row r="612" spans="1:9">
      <c r="A612" s="7" t="s">
        <v>56</v>
      </c>
      <c r="B612" s="7" t="s">
        <v>764</v>
      </c>
      <c r="C612" s="7" t="s">
        <v>807</v>
      </c>
      <c r="E612" s="7" t="s">
        <v>792</v>
      </c>
      <c r="F612" s="7" t="s">
        <v>25</v>
      </c>
      <c r="G612" s="8">
        <v>46217</v>
      </c>
      <c r="I612" s="9">
        <f>IF(OR($G612="",$H612=""),"",$H612-$G612)</f>
        <v>0</v>
      </c>
    </row>
    <row r="613" spans="1:9">
      <c r="A613" s="7" t="s">
        <v>56</v>
      </c>
      <c r="B613" s="7" t="s">
        <v>764</v>
      </c>
      <c r="C613" s="7" t="s">
        <v>808</v>
      </c>
      <c r="E613" s="7" t="s">
        <v>792</v>
      </c>
      <c r="F613" s="7" t="s">
        <v>25</v>
      </c>
      <c r="G613" s="8">
        <v>46217</v>
      </c>
      <c r="I613" s="9">
        <f>IF(OR($G613="",$H613=""),"",$H613-$G613)</f>
        <v>0</v>
      </c>
    </row>
    <row r="614" spans="1:9">
      <c r="A614" s="7" t="s">
        <v>56</v>
      </c>
      <c r="B614" s="7" t="s">
        <v>764</v>
      </c>
      <c r="C614" s="7" t="s">
        <v>809</v>
      </c>
      <c r="E614" s="7" t="s">
        <v>792</v>
      </c>
      <c r="F614" s="7" t="s">
        <v>25</v>
      </c>
      <c r="G614" s="8">
        <v>46217</v>
      </c>
      <c r="I614" s="9">
        <f>IF(OR($G614="",$H614=""),"",$H614-$G614)</f>
        <v>0</v>
      </c>
    </row>
    <row r="615" spans="1:9">
      <c r="A615" s="7" t="s">
        <v>56</v>
      </c>
      <c r="B615" s="7" t="s">
        <v>764</v>
      </c>
      <c r="C615" s="7" t="s">
        <v>810</v>
      </c>
      <c r="E615" s="7" t="s">
        <v>792</v>
      </c>
      <c r="F615" s="7" t="s">
        <v>25</v>
      </c>
      <c r="G615" s="8">
        <v>46217</v>
      </c>
      <c r="I615" s="9">
        <f>IF(OR($G615="",$H615=""),"",$H615-$G615)</f>
        <v>0</v>
      </c>
    </row>
    <row r="616" spans="1:9">
      <c r="A616" s="7" t="s">
        <v>56</v>
      </c>
      <c r="B616" s="7" t="s">
        <v>764</v>
      </c>
      <c r="C616" s="7" t="s">
        <v>811</v>
      </c>
      <c r="E616" s="7" t="s">
        <v>792</v>
      </c>
      <c r="F616" s="7" t="s">
        <v>25</v>
      </c>
      <c r="G616" s="8">
        <v>46217</v>
      </c>
      <c r="I616" s="9">
        <f>IF(OR($G616="",$H616=""),"",$H616-$G616)</f>
        <v>0</v>
      </c>
    </row>
    <row r="617" spans="1:9">
      <c r="A617" s="7" t="s">
        <v>56</v>
      </c>
      <c r="B617" s="7" t="s">
        <v>764</v>
      </c>
      <c r="C617" s="7" t="s">
        <v>812</v>
      </c>
      <c r="E617" s="7" t="s">
        <v>792</v>
      </c>
      <c r="F617" s="7" t="s">
        <v>25</v>
      </c>
      <c r="G617" s="8">
        <v>46217</v>
      </c>
      <c r="I617" s="9">
        <f>IF(OR($G617="",$H617=""),"",$H617-$G617)</f>
        <v>0</v>
      </c>
    </row>
    <row r="618" spans="1:9">
      <c r="A618" s="7" t="s">
        <v>56</v>
      </c>
      <c r="B618" s="7" t="s">
        <v>764</v>
      </c>
      <c r="C618" s="7" t="s">
        <v>813</v>
      </c>
      <c r="E618" s="7" t="s">
        <v>792</v>
      </c>
      <c r="F618" s="7" t="s">
        <v>25</v>
      </c>
      <c r="G618" s="8">
        <v>46217</v>
      </c>
      <c r="I618" s="9">
        <f>IF(OR($G618="",$H618=""),"",$H618-$G618)</f>
        <v>0</v>
      </c>
    </row>
    <row r="619" spans="1:9">
      <c r="A619" s="7" t="s">
        <v>56</v>
      </c>
      <c r="B619" s="7" t="s">
        <v>764</v>
      </c>
      <c r="C619" s="7" t="s">
        <v>814</v>
      </c>
      <c r="E619" s="7" t="s">
        <v>792</v>
      </c>
      <c r="F619" s="7" t="s">
        <v>25</v>
      </c>
      <c r="G619" s="8">
        <v>46217</v>
      </c>
      <c r="I619" s="9">
        <f>IF(OR($G619="",$H619=""),"",$H619-$G619)</f>
        <v>0</v>
      </c>
    </row>
    <row r="620" spans="1:9">
      <c r="A620" s="7" t="s">
        <v>56</v>
      </c>
      <c r="B620" s="7" t="s">
        <v>764</v>
      </c>
      <c r="C620" s="7" t="s">
        <v>815</v>
      </c>
      <c r="E620" s="7" t="s">
        <v>792</v>
      </c>
      <c r="F620" s="7" t="s">
        <v>25</v>
      </c>
      <c r="G620" s="8">
        <v>46217</v>
      </c>
      <c r="I620" s="9">
        <f>IF(OR($G620="",$H620=""),"",$H620-$G620)</f>
        <v>0</v>
      </c>
    </row>
    <row r="621" spans="1:9">
      <c r="A621" s="7" t="s">
        <v>56</v>
      </c>
      <c r="B621" s="7" t="s">
        <v>764</v>
      </c>
      <c r="C621" s="7" t="s">
        <v>816</v>
      </c>
      <c r="E621" s="7" t="s">
        <v>792</v>
      </c>
      <c r="F621" s="7" t="s">
        <v>25</v>
      </c>
      <c r="G621" s="8">
        <v>46217</v>
      </c>
      <c r="I621" s="9">
        <f>IF(OR($G621="",$H621=""),"",$H621-$G621)</f>
        <v>0</v>
      </c>
    </row>
    <row r="622" spans="1:9">
      <c r="A622" s="7" t="s">
        <v>56</v>
      </c>
      <c r="B622" s="7" t="s">
        <v>764</v>
      </c>
      <c r="C622" s="7" t="s">
        <v>817</v>
      </c>
      <c r="E622" s="7" t="s">
        <v>792</v>
      </c>
      <c r="F622" s="7" t="s">
        <v>25</v>
      </c>
      <c r="G622" s="8">
        <v>46217</v>
      </c>
      <c r="I622" s="9">
        <f>IF(OR($G622="",$H622=""),"",$H622-$G622)</f>
        <v>0</v>
      </c>
    </row>
    <row r="623" spans="1:9">
      <c r="A623" s="7" t="s">
        <v>56</v>
      </c>
      <c r="B623" s="7" t="s">
        <v>764</v>
      </c>
      <c r="C623" s="7" t="s">
        <v>818</v>
      </c>
      <c r="E623" s="7" t="s">
        <v>792</v>
      </c>
      <c r="F623" s="7" t="s">
        <v>25</v>
      </c>
      <c r="G623" s="8">
        <v>46217</v>
      </c>
      <c r="I623" s="9">
        <f>IF(OR($G623="",$H623=""),"",$H623-$G623)</f>
        <v>0</v>
      </c>
    </row>
    <row r="624" spans="1:9">
      <c r="A624" s="7" t="s">
        <v>56</v>
      </c>
      <c r="B624" s="7" t="s">
        <v>764</v>
      </c>
      <c r="C624" s="7" t="s">
        <v>819</v>
      </c>
      <c r="E624" s="7" t="s">
        <v>792</v>
      </c>
      <c r="F624" s="7" t="s">
        <v>25</v>
      </c>
      <c r="G624" s="8">
        <v>46217</v>
      </c>
      <c r="I624" s="9">
        <f>IF(OR($G624="",$H624=""),"",$H624-$G624)</f>
        <v>0</v>
      </c>
    </row>
    <row r="625" spans="1:9">
      <c r="A625" s="7" t="s">
        <v>56</v>
      </c>
      <c r="B625" s="7" t="s">
        <v>764</v>
      </c>
      <c r="C625" s="7" t="s">
        <v>820</v>
      </c>
      <c r="E625" s="7" t="s">
        <v>792</v>
      </c>
      <c r="F625" s="7" t="s">
        <v>25</v>
      </c>
      <c r="G625" s="8">
        <v>46217</v>
      </c>
      <c r="I625" s="9">
        <f>IF(OR($G625="",$H625=""),"",$H625-$G625)</f>
        <v>0</v>
      </c>
    </row>
    <row r="626" spans="1:9">
      <c r="A626" s="7" t="s">
        <v>56</v>
      </c>
      <c r="B626" s="7" t="s">
        <v>764</v>
      </c>
      <c r="C626" s="7" t="s">
        <v>821</v>
      </c>
      <c r="E626" s="7" t="s">
        <v>792</v>
      </c>
      <c r="F626" s="7" t="s">
        <v>25</v>
      </c>
      <c r="G626" s="8">
        <v>46217</v>
      </c>
      <c r="I626" s="9">
        <f>IF(OR($G626="",$H626=""),"",$H626-$G626)</f>
        <v>0</v>
      </c>
    </row>
    <row r="627" spans="1:9">
      <c r="A627" s="7" t="s">
        <v>46</v>
      </c>
      <c r="B627" s="7" t="s">
        <v>53</v>
      </c>
      <c r="C627" s="7" t="s">
        <v>822</v>
      </c>
      <c r="E627" s="7" t="s">
        <v>49</v>
      </c>
      <c r="F627" s="7" t="s">
        <v>51</v>
      </c>
      <c r="G627" s="8">
        <v>46216</v>
      </c>
      <c r="I627" s="9">
        <f>IF(OR($G627="",$H627=""),"",$H627-$G627)</f>
        <v>0</v>
      </c>
    </row>
    <row r="628" spans="1:9">
      <c r="A628" s="7" t="s">
        <v>156</v>
      </c>
      <c r="B628" s="7" t="s">
        <v>157</v>
      </c>
      <c r="C628" s="7" t="s">
        <v>823</v>
      </c>
      <c r="F628" s="7" t="s">
        <v>114</v>
      </c>
      <c r="G628" s="8">
        <v>46217</v>
      </c>
      <c r="I628" s="9">
        <f>IF(OR($G628="",$H628=""),"",$H628-$G628)</f>
        <v>0</v>
      </c>
    </row>
    <row r="629" spans="1:9">
      <c r="A629" s="7" t="s">
        <v>56</v>
      </c>
      <c r="B629" s="7" t="s">
        <v>824</v>
      </c>
      <c r="C629" s="7" t="s">
        <v>825</v>
      </c>
      <c r="E629" s="7" t="s">
        <v>59</v>
      </c>
      <c r="F629" s="7" t="s">
        <v>61</v>
      </c>
      <c r="G629" s="8">
        <v>46217</v>
      </c>
      <c r="I629" s="9">
        <f>IF(OR($G629="",$H629=""),"",$H629-$G629)</f>
        <v>0</v>
      </c>
    </row>
    <row r="630" spans="1:9">
      <c r="A630" s="7" t="s">
        <v>56</v>
      </c>
      <c r="B630" s="7" t="s">
        <v>824</v>
      </c>
      <c r="C630" s="7" t="s">
        <v>826</v>
      </c>
      <c r="E630" s="7" t="s">
        <v>59</v>
      </c>
      <c r="F630" s="7" t="s">
        <v>61</v>
      </c>
      <c r="G630" s="8">
        <v>46217</v>
      </c>
      <c r="I630" s="9">
        <f>IF(OR($G630="",$H630=""),"",$H630-$G630)</f>
        <v>0</v>
      </c>
    </row>
    <row r="631" spans="1:9">
      <c r="A631" s="7" t="s">
        <v>56</v>
      </c>
      <c r="B631" s="7" t="s">
        <v>824</v>
      </c>
      <c r="C631" s="7" t="s">
        <v>827</v>
      </c>
      <c r="E631" s="7" t="s">
        <v>59</v>
      </c>
      <c r="F631" s="7" t="s">
        <v>61</v>
      </c>
      <c r="G631" s="8">
        <v>46217</v>
      </c>
      <c r="I631" s="9">
        <f>IF(OR($G631="",$H631=""),"",$H631-$G631)</f>
        <v>0</v>
      </c>
    </row>
    <row r="632" spans="1:9">
      <c r="A632" s="7" t="s">
        <v>56</v>
      </c>
      <c r="B632" s="7" t="s">
        <v>824</v>
      </c>
      <c r="C632" s="7" t="s">
        <v>828</v>
      </c>
      <c r="E632" s="7" t="s">
        <v>59</v>
      </c>
      <c r="F632" s="7" t="s">
        <v>61</v>
      </c>
      <c r="G632" s="8">
        <v>46217</v>
      </c>
      <c r="I632" s="9">
        <f>IF(OR($G632="",$H632=""),"",$H632-$G632)</f>
        <v>0</v>
      </c>
    </row>
    <row r="633" spans="1:9">
      <c r="A633" s="7" t="s">
        <v>56</v>
      </c>
      <c r="B633" s="7" t="s">
        <v>824</v>
      </c>
      <c r="C633" s="7" t="s">
        <v>829</v>
      </c>
      <c r="E633" s="7" t="s">
        <v>59</v>
      </c>
      <c r="F633" s="7" t="s">
        <v>61</v>
      </c>
      <c r="G633" s="8">
        <v>46217</v>
      </c>
      <c r="I633" s="9">
        <f>IF(OR($G633="",$H633=""),"",$H633-$G633)</f>
        <v>0</v>
      </c>
    </row>
    <row r="634" spans="1:9">
      <c r="A634" s="7" t="s">
        <v>56</v>
      </c>
      <c r="B634" s="7" t="s">
        <v>824</v>
      </c>
      <c r="C634" s="7" t="s">
        <v>830</v>
      </c>
      <c r="E634" s="7" t="s">
        <v>59</v>
      </c>
      <c r="F634" s="7" t="s">
        <v>61</v>
      </c>
      <c r="G634" s="8">
        <v>46217</v>
      </c>
      <c r="I634" s="9">
        <f>IF(OR($G634="",$H634=""),"",$H634-$G634)</f>
        <v>0</v>
      </c>
    </row>
    <row r="635" spans="1:9">
      <c r="A635" s="7" t="s">
        <v>56</v>
      </c>
      <c r="B635" s="7" t="s">
        <v>824</v>
      </c>
      <c r="C635" s="7" t="s">
        <v>831</v>
      </c>
      <c r="E635" s="7" t="s">
        <v>59</v>
      </c>
      <c r="F635" s="7" t="s">
        <v>61</v>
      </c>
      <c r="G635" s="8">
        <v>46217</v>
      </c>
      <c r="I635" s="9">
        <f>IF(OR($G635="",$H635=""),"",$H635-$G635)</f>
        <v>0</v>
      </c>
    </row>
    <row r="636" spans="1:9">
      <c r="A636" s="7" t="s">
        <v>56</v>
      </c>
      <c r="B636" s="7" t="s">
        <v>824</v>
      </c>
      <c r="C636" s="7" t="s">
        <v>832</v>
      </c>
      <c r="E636" s="7" t="s">
        <v>59</v>
      </c>
      <c r="F636" s="7" t="s">
        <v>61</v>
      </c>
      <c r="G636" s="8">
        <v>46217</v>
      </c>
      <c r="I636" s="9">
        <f>IF(OR($G636="",$H636=""),"",$H636-$G636)</f>
        <v>0</v>
      </c>
    </row>
    <row r="637" spans="1:9">
      <c r="A637" s="7" t="s">
        <v>56</v>
      </c>
      <c r="B637" s="7" t="s">
        <v>824</v>
      </c>
      <c r="C637" s="7" t="s">
        <v>833</v>
      </c>
      <c r="E637" s="7" t="s">
        <v>59</v>
      </c>
      <c r="F637" s="7" t="s">
        <v>61</v>
      </c>
      <c r="G637" s="8">
        <v>46217</v>
      </c>
      <c r="I637" s="9">
        <f>IF(OR($G637="",$H637=""),"",$H637-$G637)</f>
        <v>0</v>
      </c>
    </row>
    <row r="638" spans="1:9">
      <c r="A638" s="7" t="s">
        <v>56</v>
      </c>
      <c r="B638" s="7" t="s">
        <v>57</v>
      </c>
      <c r="C638" s="7" t="s">
        <v>834</v>
      </c>
      <c r="E638" s="7" t="s">
        <v>59</v>
      </c>
      <c r="F638" s="7" t="s">
        <v>61</v>
      </c>
      <c r="G638" s="8">
        <v>46217</v>
      </c>
      <c r="I638" s="9">
        <f>IF(OR($G638="",$H638=""),"",$H638-$G638)</f>
        <v>0</v>
      </c>
    </row>
    <row r="639" spans="1:9">
      <c r="A639" s="7" t="s">
        <v>56</v>
      </c>
      <c r="B639" s="7" t="s">
        <v>57</v>
      </c>
      <c r="C639" s="7" t="s">
        <v>835</v>
      </c>
      <c r="E639" s="7" t="s">
        <v>59</v>
      </c>
      <c r="F639" s="7" t="s">
        <v>61</v>
      </c>
      <c r="G639" s="8">
        <v>46217</v>
      </c>
      <c r="I639" s="9">
        <f>IF(OR($G639="",$H639=""),"",$H639-$G639)</f>
        <v>0</v>
      </c>
    </row>
    <row r="640" spans="1:9">
      <c r="A640" s="7" t="s">
        <v>56</v>
      </c>
      <c r="B640" s="7" t="s">
        <v>57</v>
      </c>
      <c r="C640" s="7" t="s">
        <v>836</v>
      </c>
      <c r="E640" s="7" t="s">
        <v>59</v>
      </c>
      <c r="F640" s="7" t="s">
        <v>61</v>
      </c>
      <c r="G640" s="8">
        <v>46217</v>
      </c>
      <c r="I640" s="9">
        <f>IF(OR($G640="",$H640=""),"",$H640-$G640)</f>
        <v>0</v>
      </c>
    </row>
    <row r="641" spans="1:9">
      <c r="A641" s="7" t="s">
        <v>56</v>
      </c>
      <c r="B641" s="7" t="s">
        <v>64</v>
      </c>
      <c r="C641" s="7" t="s">
        <v>837</v>
      </c>
      <c r="E641" s="7" t="s">
        <v>59</v>
      </c>
      <c r="F641" s="7" t="s">
        <v>61</v>
      </c>
      <c r="G641" s="8">
        <v>46217</v>
      </c>
      <c r="I641" s="9">
        <f>IF(OR($G641="",$H641=""),"",$H641-$G641)</f>
        <v>0</v>
      </c>
    </row>
    <row r="642" spans="1:9">
      <c r="A642" s="7" t="s">
        <v>56</v>
      </c>
      <c r="B642" s="7" t="s">
        <v>64</v>
      </c>
      <c r="C642" s="7" t="s">
        <v>838</v>
      </c>
      <c r="E642" s="7" t="s">
        <v>59</v>
      </c>
      <c r="F642" s="7" t="s">
        <v>61</v>
      </c>
      <c r="G642" s="8">
        <v>46217</v>
      </c>
      <c r="I642" s="9">
        <f>IF(OR($G642="",$H642=""),"",$H642-$G642)</f>
        <v>0</v>
      </c>
    </row>
    <row r="643" spans="1:9">
      <c r="A643" s="7" t="s">
        <v>56</v>
      </c>
      <c r="B643" s="7" t="s">
        <v>66</v>
      </c>
      <c r="C643" s="7" t="s">
        <v>839</v>
      </c>
      <c r="E643" s="7" t="s">
        <v>59</v>
      </c>
      <c r="F643" s="7" t="s">
        <v>61</v>
      </c>
      <c r="G643" s="8">
        <v>46217</v>
      </c>
      <c r="I643" s="9">
        <f>IF(OR($G643="",$H643=""),"",$H643-$G643)</f>
        <v>0</v>
      </c>
    </row>
    <row r="644" spans="1:9">
      <c r="A644" s="7" t="s">
        <v>56</v>
      </c>
      <c r="B644" s="7" t="s">
        <v>66</v>
      </c>
      <c r="C644" s="7" t="s">
        <v>840</v>
      </c>
      <c r="E644" s="7" t="s">
        <v>59</v>
      </c>
      <c r="F644" s="7" t="s">
        <v>61</v>
      </c>
      <c r="G644" s="8">
        <v>46217</v>
      </c>
      <c r="I644" s="9">
        <f>IF(OR($G644="",$H644=""),"",$H644-$G644)</f>
        <v>0</v>
      </c>
    </row>
    <row r="645" spans="1:9">
      <c r="A645" s="7" t="s">
        <v>56</v>
      </c>
      <c r="B645" s="7" t="s">
        <v>66</v>
      </c>
      <c r="C645" s="7" t="s">
        <v>841</v>
      </c>
      <c r="E645" s="7" t="s">
        <v>59</v>
      </c>
      <c r="F645" s="7" t="s">
        <v>61</v>
      </c>
      <c r="G645" s="8">
        <v>46217</v>
      </c>
      <c r="I645" s="9">
        <f>IF(OR($G645="",$H645=""),"",$H645-$G645)</f>
        <v>0</v>
      </c>
    </row>
    <row r="646" spans="1:9">
      <c r="A646" s="7" t="s">
        <v>56</v>
      </c>
      <c r="B646" s="7" t="s">
        <v>66</v>
      </c>
      <c r="C646" s="7" t="s">
        <v>842</v>
      </c>
      <c r="E646" s="7" t="s">
        <v>59</v>
      </c>
      <c r="F646" s="7" t="s">
        <v>61</v>
      </c>
      <c r="G646" s="8">
        <v>46217</v>
      </c>
      <c r="I646" s="9">
        <f>IF(OR($G646="",$H646=""),"",$H646-$G646)</f>
        <v>0</v>
      </c>
    </row>
    <row r="647" spans="1:9">
      <c r="A647" s="7" t="s">
        <v>56</v>
      </c>
      <c r="B647" s="7" t="s">
        <v>66</v>
      </c>
      <c r="C647" s="7" t="s">
        <v>843</v>
      </c>
      <c r="E647" s="7" t="s">
        <v>59</v>
      </c>
      <c r="F647" s="7" t="s">
        <v>61</v>
      </c>
      <c r="G647" s="8">
        <v>46217</v>
      </c>
      <c r="I647" s="9">
        <f>IF(OR($G647="",$H647=""),"",$H647-$G647)</f>
        <v>0</v>
      </c>
    </row>
    <row r="648" spans="1:9">
      <c r="A648" s="7" t="s">
        <v>56</v>
      </c>
      <c r="B648" s="7" t="s">
        <v>68</v>
      </c>
      <c r="C648" s="7" t="s">
        <v>844</v>
      </c>
      <c r="E648" s="7" t="s">
        <v>59</v>
      </c>
      <c r="F648" s="7" t="s">
        <v>61</v>
      </c>
      <c r="G648" s="8">
        <v>46217</v>
      </c>
      <c r="I648" s="9">
        <f>IF(OR($G648="",$H648=""),"",$H648-$G648)</f>
        <v>0</v>
      </c>
    </row>
    <row r="649" spans="1:9">
      <c r="A649" s="7" t="s">
        <v>56</v>
      </c>
      <c r="B649" s="7" t="s">
        <v>68</v>
      </c>
      <c r="C649" s="7" t="s">
        <v>845</v>
      </c>
      <c r="E649" s="7" t="s">
        <v>59</v>
      </c>
      <c r="F649" s="7" t="s">
        <v>61</v>
      </c>
      <c r="G649" s="8">
        <v>46217</v>
      </c>
      <c r="I649" s="9">
        <f>IF(OR($G649="",$H649=""),"",$H649-$G649)</f>
        <v>0</v>
      </c>
    </row>
    <row r="650" spans="1:9">
      <c r="A650" s="7" t="s">
        <v>56</v>
      </c>
      <c r="B650" s="7" t="s">
        <v>68</v>
      </c>
      <c r="C650" s="7" t="s">
        <v>846</v>
      </c>
      <c r="E650" s="7" t="s">
        <v>59</v>
      </c>
      <c r="F650" s="7" t="s">
        <v>61</v>
      </c>
      <c r="G650" s="8">
        <v>46217</v>
      </c>
      <c r="I650" s="9">
        <f>IF(OR($G650="",$H650=""),"",$H650-$G650)</f>
        <v>0</v>
      </c>
    </row>
    <row r="651" spans="1:9">
      <c r="A651" s="7" t="s">
        <v>56</v>
      </c>
      <c r="B651" s="7" t="s">
        <v>75</v>
      </c>
      <c r="C651" s="7" t="s">
        <v>847</v>
      </c>
      <c r="E651" s="7" t="s">
        <v>59</v>
      </c>
      <c r="F651" s="7" t="s">
        <v>61</v>
      </c>
      <c r="G651" s="8">
        <v>46217</v>
      </c>
      <c r="I651" s="9">
        <f>IF(OR($G651="",$H651=""),"",$H651-$G651)</f>
        <v>0</v>
      </c>
    </row>
    <row r="652" spans="1:9">
      <c r="A652" s="7" t="s">
        <v>56</v>
      </c>
      <c r="B652" s="7" t="s">
        <v>75</v>
      </c>
      <c r="C652" s="7" t="s">
        <v>848</v>
      </c>
      <c r="E652" s="7" t="s">
        <v>59</v>
      </c>
      <c r="F652" s="7" t="s">
        <v>61</v>
      </c>
      <c r="G652" s="8">
        <v>46217</v>
      </c>
      <c r="I652" s="9">
        <f>IF(OR($G652="",$H652=""),"",$H652-$G652)</f>
        <v>0</v>
      </c>
    </row>
    <row r="653" spans="1:9">
      <c r="A653" s="7" t="s">
        <v>56</v>
      </c>
      <c r="B653" s="7" t="s">
        <v>77</v>
      </c>
      <c r="C653" s="7" t="s">
        <v>849</v>
      </c>
      <c r="E653" s="7" t="s">
        <v>59</v>
      </c>
      <c r="F653" s="7" t="s">
        <v>61</v>
      </c>
      <c r="G653" s="8">
        <v>46217</v>
      </c>
      <c r="I653" s="9">
        <f>IF(OR($G653="",$H653=""),"",$H653-$G653)</f>
        <v>0</v>
      </c>
    </row>
    <row r="654" spans="1:9">
      <c r="A654" s="7" t="s">
        <v>56</v>
      </c>
      <c r="B654" s="7" t="s">
        <v>757</v>
      </c>
      <c r="C654" s="7" t="s">
        <v>850</v>
      </c>
      <c r="E654" s="7" t="s">
        <v>851</v>
      </c>
      <c r="F654" s="7" t="s">
        <v>114</v>
      </c>
      <c r="G654" s="8">
        <v>46217</v>
      </c>
      <c r="I654" s="9">
        <f>IF(OR($G654="",$H654=""),"",$H654-$G654)</f>
        <v>0</v>
      </c>
    </row>
    <row r="655" spans="1:9">
      <c r="A655" s="7" t="s">
        <v>56</v>
      </c>
      <c r="B655" s="7" t="s">
        <v>757</v>
      </c>
      <c r="C655" s="7" t="s">
        <v>852</v>
      </c>
      <c r="E655" s="7" t="s">
        <v>851</v>
      </c>
      <c r="F655" s="7" t="s">
        <v>114</v>
      </c>
      <c r="G655" s="8">
        <v>46217</v>
      </c>
      <c r="I655" s="9">
        <f>IF(OR($G655="",$H655=""),"",$H655-$G655)</f>
        <v>0</v>
      </c>
    </row>
    <row r="656" spans="1:9">
      <c r="A656" s="7" t="s">
        <v>56</v>
      </c>
      <c r="B656" s="7" t="s">
        <v>757</v>
      </c>
      <c r="C656" s="7" t="s">
        <v>853</v>
      </c>
      <c r="E656" s="7" t="s">
        <v>851</v>
      </c>
      <c r="F656" s="7" t="s">
        <v>114</v>
      </c>
      <c r="G656" s="8">
        <v>46217</v>
      </c>
      <c r="I656" s="9">
        <f>IF(OR($G656="",$H656=""),"",$H656-$G656)</f>
        <v>0</v>
      </c>
    </row>
    <row r="657" spans="1:9">
      <c r="A657" s="7" t="s">
        <v>56</v>
      </c>
      <c r="B657" s="7" t="s">
        <v>757</v>
      </c>
      <c r="C657" s="7" t="s">
        <v>854</v>
      </c>
      <c r="E657" s="7" t="s">
        <v>851</v>
      </c>
      <c r="F657" s="7" t="s">
        <v>114</v>
      </c>
      <c r="G657" s="8">
        <v>46217</v>
      </c>
      <c r="I657" s="9">
        <f>IF(OR($G657="",$H657=""),"",$H657-$G657)</f>
        <v>0</v>
      </c>
    </row>
    <row r="658" spans="1:9">
      <c r="A658" s="7" t="s">
        <v>56</v>
      </c>
      <c r="B658" s="7" t="s">
        <v>757</v>
      </c>
      <c r="C658" s="7" t="s">
        <v>855</v>
      </c>
      <c r="E658" s="7" t="s">
        <v>851</v>
      </c>
      <c r="F658" s="7" t="s">
        <v>114</v>
      </c>
      <c r="G658" s="8">
        <v>46217</v>
      </c>
      <c r="I658" s="9">
        <f>IF(OR($G658="",$H658=""),"",$H658-$G658)</f>
        <v>0</v>
      </c>
    </row>
    <row r="659" spans="1:9">
      <c r="A659" s="7" t="s">
        <v>56</v>
      </c>
      <c r="B659" s="7" t="s">
        <v>757</v>
      </c>
      <c r="C659" s="7" t="s">
        <v>856</v>
      </c>
      <c r="E659" s="7" t="s">
        <v>851</v>
      </c>
      <c r="F659" s="7" t="s">
        <v>114</v>
      </c>
      <c r="G659" s="8">
        <v>46217</v>
      </c>
      <c r="I659" s="9">
        <f>IF(OR($G659="",$H659=""),"",$H659-$G659)</f>
        <v>0</v>
      </c>
    </row>
    <row r="660" spans="1:9">
      <c r="A660" s="7" t="s">
        <v>56</v>
      </c>
      <c r="B660" s="7" t="s">
        <v>757</v>
      </c>
      <c r="C660" s="7" t="s">
        <v>857</v>
      </c>
      <c r="E660" s="7" t="s">
        <v>851</v>
      </c>
      <c r="F660" s="7" t="s">
        <v>114</v>
      </c>
      <c r="G660" s="8">
        <v>46217</v>
      </c>
      <c r="I660" s="9">
        <f>IF(OR($G660="",$H660=""),"",$H660-$G660)</f>
        <v>0</v>
      </c>
    </row>
    <row r="661" spans="1:9">
      <c r="A661" s="7" t="s">
        <v>56</v>
      </c>
      <c r="B661" s="7" t="s">
        <v>757</v>
      </c>
      <c r="C661" s="7" t="s">
        <v>858</v>
      </c>
      <c r="E661" s="7" t="s">
        <v>851</v>
      </c>
      <c r="F661" s="7" t="s">
        <v>114</v>
      </c>
      <c r="G661" s="8">
        <v>46217</v>
      </c>
      <c r="I661" s="9">
        <f>IF(OR($G661="",$H661=""),"",$H661-$G661)</f>
        <v>0</v>
      </c>
    </row>
    <row r="662" spans="1:9">
      <c r="A662" s="7" t="s">
        <v>56</v>
      </c>
      <c r="B662" s="7" t="s">
        <v>757</v>
      </c>
      <c r="C662" s="7" t="s">
        <v>859</v>
      </c>
      <c r="E662" s="7" t="s">
        <v>851</v>
      </c>
      <c r="F662" s="7" t="s">
        <v>114</v>
      </c>
      <c r="G662" s="8">
        <v>46217</v>
      </c>
      <c r="I662" s="9">
        <f>IF(OR($G662="",$H662=""),"",$H662-$G662)</f>
        <v>0</v>
      </c>
    </row>
    <row r="663" spans="1:9">
      <c r="A663" s="7" t="s">
        <v>56</v>
      </c>
      <c r="B663" s="7" t="s">
        <v>764</v>
      </c>
      <c r="C663" s="7" t="s">
        <v>860</v>
      </c>
      <c r="E663" s="7" t="s">
        <v>851</v>
      </c>
      <c r="F663" s="7" t="s">
        <v>114</v>
      </c>
      <c r="G663" s="8">
        <v>46217</v>
      </c>
      <c r="I663" s="9">
        <f>IF(OR($G663="",$H663=""),"",$H663-$G663)</f>
        <v>0</v>
      </c>
    </row>
    <row r="664" spans="1:9">
      <c r="A664" s="7" t="s">
        <v>56</v>
      </c>
      <c r="B664" s="7" t="s">
        <v>764</v>
      </c>
      <c r="C664" s="7" t="s">
        <v>861</v>
      </c>
      <c r="E664" s="7" t="s">
        <v>851</v>
      </c>
      <c r="F664" s="7" t="s">
        <v>114</v>
      </c>
      <c r="G664" s="8">
        <v>46217</v>
      </c>
      <c r="I664" s="9">
        <f>IF(OR($G664="",$H664=""),"",$H664-$G664)</f>
        <v>0</v>
      </c>
    </row>
    <row r="665" spans="1:9">
      <c r="A665" s="7" t="s">
        <v>56</v>
      </c>
      <c r="B665" s="7" t="s">
        <v>764</v>
      </c>
      <c r="C665" s="7" t="s">
        <v>862</v>
      </c>
      <c r="E665" s="7" t="s">
        <v>851</v>
      </c>
      <c r="F665" s="7" t="s">
        <v>114</v>
      </c>
      <c r="G665" s="8">
        <v>46217</v>
      </c>
      <c r="I665" s="9">
        <f>IF(OR($G665="",$H665=""),"",$H665-$G665)</f>
        <v>0</v>
      </c>
    </row>
    <row r="666" spans="1:9">
      <c r="A666" s="7" t="s">
        <v>56</v>
      </c>
      <c r="B666" s="7" t="s">
        <v>764</v>
      </c>
      <c r="C666" s="7" t="s">
        <v>863</v>
      </c>
      <c r="E666" s="7" t="s">
        <v>851</v>
      </c>
      <c r="F666" s="7" t="s">
        <v>114</v>
      </c>
      <c r="G666" s="8">
        <v>46217</v>
      </c>
      <c r="I666" s="9">
        <f>IF(OR($G666="",$H666=""),"",$H666-$G666)</f>
        <v>0</v>
      </c>
    </row>
    <row r="667" spans="1:9">
      <c r="A667" s="7" t="s">
        <v>56</v>
      </c>
      <c r="B667" s="7" t="s">
        <v>764</v>
      </c>
      <c r="C667" s="7" t="s">
        <v>864</v>
      </c>
      <c r="E667" s="7" t="s">
        <v>851</v>
      </c>
      <c r="F667" s="7" t="s">
        <v>114</v>
      </c>
      <c r="G667" s="8">
        <v>46217</v>
      </c>
      <c r="I667" s="9">
        <f>IF(OR($G667="",$H667=""),"",$H667-$G667)</f>
        <v>0</v>
      </c>
    </row>
    <row r="668" spans="1:9">
      <c r="A668" s="7" t="s">
        <v>56</v>
      </c>
      <c r="B668" s="7" t="s">
        <v>764</v>
      </c>
      <c r="C668" s="7" t="s">
        <v>865</v>
      </c>
      <c r="E668" s="7" t="s">
        <v>851</v>
      </c>
      <c r="F668" s="7" t="s">
        <v>114</v>
      </c>
      <c r="G668" s="8">
        <v>46217</v>
      </c>
      <c r="I668" s="9">
        <f>IF(OR($G668="",$H668=""),"",$H668-$G668)</f>
        <v>0</v>
      </c>
    </row>
    <row r="669" spans="1:9">
      <c r="A669" s="7" t="s">
        <v>56</v>
      </c>
      <c r="B669" s="7" t="s">
        <v>764</v>
      </c>
      <c r="C669" s="7" t="s">
        <v>866</v>
      </c>
      <c r="E669" s="7" t="s">
        <v>851</v>
      </c>
      <c r="F669" s="7" t="s">
        <v>114</v>
      </c>
      <c r="G669" s="8">
        <v>46217</v>
      </c>
      <c r="I669" s="9">
        <f>IF(OR($G669="",$H669=""),"",$H669-$G669)</f>
        <v>0</v>
      </c>
    </row>
    <row r="670" spans="1:9">
      <c r="A670" s="7" t="s">
        <v>56</v>
      </c>
      <c r="B670" s="7" t="s">
        <v>785</v>
      </c>
      <c r="C670" s="7" t="s">
        <v>867</v>
      </c>
      <c r="E670" s="7" t="s">
        <v>851</v>
      </c>
      <c r="F670" s="7" t="s">
        <v>114</v>
      </c>
      <c r="G670" s="8">
        <v>46217</v>
      </c>
      <c r="I670" s="9">
        <f>IF(OR($G670="",$H670=""),"",$H670-$G670)</f>
        <v>0</v>
      </c>
    </row>
    <row r="671" spans="1:9">
      <c r="A671" s="7" t="s">
        <v>56</v>
      </c>
      <c r="B671" s="7" t="s">
        <v>785</v>
      </c>
      <c r="C671" s="7" t="s">
        <v>868</v>
      </c>
      <c r="E671" s="7" t="s">
        <v>851</v>
      </c>
      <c r="F671" s="7" t="s">
        <v>114</v>
      </c>
      <c r="G671" s="8">
        <v>46217</v>
      </c>
      <c r="I671" s="9">
        <f>IF(OR($G671="",$H671=""),"",$H671-$G671)</f>
        <v>0</v>
      </c>
    </row>
    <row r="672" spans="1:9">
      <c r="A672" s="7" t="s">
        <v>56</v>
      </c>
      <c r="B672" s="7" t="s">
        <v>785</v>
      </c>
      <c r="C672" s="7" t="s">
        <v>869</v>
      </c>
      <c r="E672" s="7" t="s">
        <v>851</v>
      </c>
      <c r="F672" s="7" t="s">
        <v>114</v>
      </c>
      <c r="G672" s="8">
        <v>46217</v>
      </c>
      <c r="I672" s="9">
        <f>IF(OR($G672="",$H672=""),"",$H672-$G672)</f>
        <v>0</v>
      </c>
    </row>
    <row r="673" spans="1:9">
      <c r="A673" s="7" t="s">
        <v>56</v>
      </c>
      <c r="B673" s="7" t="s">
        <v>785</v>
      </c>
      <c r="C673" s="7" t="s">
        <v>870</v>
      </c>
      <c r="E673" s="7" t="s">
        <v>851</v>
      </c>
      <c r="F673" s="7" t="s">
        <v>114</v>
      </c>
      <c r="G673" s="8">
        <v>46217</v>
      </c>
      <c r="I673" s="9">
        <f>IF(OR($G673="",$H673=""),"",$H673-$G673)</f>
        <v>0</v>
      </c>
    </row>
    <row r="674" spans="1:9">
      <c r="A674" s="7" t="s">
        <v>46</v>
      </c>
      <c r="B674" s="7" t="s">
        <v>251</v>
      </c>
      <c r="C674" s="7" t="s">
        <v>871</v>
      </c>
      <c r="E674" s="7" t="s">
        <v>613</v>
      </c>
      <c r="F674" s="7" t="s">
        <v>25</v>
      </c>
      <c r="G674" s="8">
        <v>46219</v>
      </c>
      <c r="I674" s="9">
        <f>IF(OR($G674="",$H674=""),"",$H674-$G674)</f>
        <v>0</v>
      </c>
    </row>
    <row r="675" spans="1:9">
      <c r="A675" s="7" t="s">
        <v>46</v>
      </c>
      <c r="B675" s="7" t="s">
        <v>251</v>
      </c>
      <c r="C675" s="7" t="s">
        <v>872</v>
      </c>
      <c r="E675" s="7" t="s">
        <v>613</v>
      </c>
      <c r="F675" s="7" t="s">
        <v>25</v>
      </c>
      <c r="G675" s="8">
        <v>46219</v>
      </c>
      <c r="I675" s="9">
        <f>IF(OR($G675="",$H675=""),"",$H675-$G675)</f>
        <v>0</v>
      </c>
    </row>
    <row r="676" spans="1:9">
      <c r="A676" s="7" t="s">
        <v>46</v>
      </c>
      <c r="B676" s="7" t="s">
        <v>251</v>
      </c>
      <c r="C676" s="7" t="s">
        <v>873</v>
      </c>
      <c r="E676" s="7" t="s">
        <v>613</v>
      </c>
      <c r="F676" s="7" t="s">
        <v>25</v>
      </c>
      <c r="G676" s="8">
        <v>46219</v>
      </c>
      <c r="I676" s="9">
        <f>IF(OR($G676="",$H676=""),"",$H676-$G676)</f>
        <v>0</v>
      </c>
    </row>
    <row r="677" spans="1:9">
      <c r="A677" s="7" t="s">
        <v>46</v>
      </c>
      <c r="B677" s="7" t="s">
        <v>251</v>
      </c>
      <c r="C677" s="7" t="s">
        <v>874</v>
      </c>
      <c r="E677" s="7" t="s">
        <v>613</v>
      </c>
      <c r="F677" s="7" t="s">
        <v>25</v>
      </c>
      <c r="G677" s="8">
        <v>46219</v>
      </c>
      <c r="I677" s="9">
        <f>IF(OR($G677="",$H677=""),"",$H677-$G677)</f>
        <v>0</v>
      </c>
    </row>
    <row r="678" spans="1:9">
      <c r="A678" s="7" t="s">
        <v>46</v>
      </c>
      <c r="B678" s="7" t="s">
        <v>251</v>
      </c>
      <c r="C678" s="7" t="s">
        <v>875</v>
      </c>
      <c r="E678" s="7" t="s">
        <v>613</v>
      </c>
      <c r="F678" s="7" t="s">
        <v>25</v>
      </c>
      <c r="G678" s="8">
        <v>46219</v>
      </c>
      <c r="I678" s="9">
        <f>IF(OR($G678="",$H678=""),"",$H678-$G678)</f>
        <v>0</v>
      </c>
    </row>
    <row r="679" spans="1:9">
      <c r="A679" s="7" t="s">
        <v>46</v>
      </c>
      <c r="B679" s="7" t="s">
        <v>251</v>
      </c>
      <c r="C679" s="7" t="s">
        <v>876</v>
      </c>
      <c r="E679" s="7" t="s">
        <v>613</v>
      </c>
      <c r="F679" s="7" t="s">
        <v>25</v>
      </c>
      <c r="G679" s="8">
        <v>46219</v>
      </c>
      <c r="I679" s="9">
        <f>IF(OR($G679="",$H679=""),"",$H679-$G679)</f>
        <v>0</v>
      </c>
    </row>
    <row r="680" spans="1:9">
      <c r="A680" s="7" t="s">
        <v>46</v>
      </c>
      <c r="B680" s="7" t="s">
        <v>877</v>
      </c>
      <c r="C680" s="7" t="s">
        <v>878</v>
      </c>
      <c r="E680" s="7" t="s">
        <v>613</v>
      </c>
      <c r="F680" s="7" t="s">
        <v>25</v>
      </c>
      <c r="G680" s="8">
        <v>46219</v>
      </c>
      <c r="I680" s="9">
        <f>IF(OR($G680="",$H680=""),"",$H680-$G680)</f>
        <v>0</v>
      </c>
    </row>
    <row r="681" spans="1:9">
      <c r="A681" s="7" t="s">
        <v>46</v>
      </c>
      <c r="B681" s="7" t="s">
        <v>877</v>
      </c>
      <c r="C681" s="7" t="s">
        <v>879</v>
      </c>
      <c r="E681" s="7" t="s">
        <v>613</v>
      </c>
      <c r="F681" s="7" t="s">
        <v>25</v>
      </c>
      <c r="G681" s="8">
        <v>46219</v>
      </c>
      <c r="I681" s="9">
        <f>IF(OR($G681="",$H681=""),"",$H681-$G681)</f>
        <v>0</v>
      </c>
    </row>
    <row r="682" spans="1:9">
      <c r="A682" s="7" t="s">
        <v>46</v>
      </c>
      <c r="B682" s="7" t="s">
        <v>877</v>
      </c>
      <c r="C682" s="7" t="s">
        <v>880</v>
      </c>
      <c r="E682" s="7" t="s">
        <v>613</v>
      </c>
      <c r="F682" s="7" t="s">
        <v>25</v>
      </c>
      <c r="G682" s="8">
        <v>46219</v>
      </c>
      <c r="I682" s="9">
        <f>IF(OR($G682="",$H682=""),"",$H682-$G682)</f>
        <v>0</v>
      </c>
    </row>
    <row r="683" spans="1:9">
      <c r="A683" s="7" t="s">
        <v>46</v>
      </c>
      <c r="B683" s="7" t="s">
        <v>877</v>
      </c>
      <c r="C683" s="7" t="s">
        <v>881</v>
      </c>
      <c r="E683" s="7" t="s">
        <v>613</v>
      </c>
      <c r="F683" s="7" t="s">
        <v>25</v>
      </c>
      <c r="G683" s="8">
        <v>46219</v>
      </c>
      <c r="I683" s="9">
        <f>IF(OR($G683="",$H683=""),"",$H683-$G683)</f>
        <v>0</v>
      </c>
    </row>
    <row r="684" spans="1:9">
      <c r="A684" s="7" t="s">
        <v>46</v>
      </c>
      <c r="B684" s="7" t="s">
        <v>877</v>
      </c>
      <c r="C684" s="7" t="s">
        <v>882</v>
      </c>
      <c r="E684" s="7" t="s">
        <v>613</v>
      </c>
      <c r="F684" s="7" t="s">
        <v>25</v>
      </c>
      <c r="G684" s="8">
        <v>46219</v>
      </c>
      <c r="I684" s="9">
        <f>IF(OR($G684="",$H684=""),"",$H684-$G684)</f>
        <v>0</v>
      </c>
    </row>
    <row r="685" spans="1:9">
      <c r="A685" s="7" t="s">
        <v>46</v>
      </c>
      <c r="B685" s="7" t="s">
        <v>877</v>
      </c>
      <c r="C685" s="7" t="s">
        <v>883</v>
      </c>
      <c r="E685" s="7" t="s">
        <v>613</v>
      </c>
      <c r="F685" s="7" t="s">
        <v>25</v>
      </c>
      <c r="G685" s="8">
        <v>46219</v>
      </c>
      <c r="I685" s="9">
        <f>IF(OR($G685="",$H685=""),"",$H685-$G685)</f>
        <v>0</v>
      </c>
    </row>
    <row r="686" spans="1:9">
      <c r="A686" s="7" t="s">
        <v>46</v>
      </c>
      <c r="B686" s="7" t="s">
        <v>877</v>
      </c>
      <c r="C686" s="7" t="s">
        <v>884</v>
      </c>
      <c r="E686" s="7" t="s">
        <v>613</v>
      </c>
      <c r="F686" s="7" t="s">
        <v>25</v>
      </c>
      <c r="G686" s="8">
        <v>46219</v>
      </c>
      <c r="I686" s="9">
        <f>IF(OR($G686="",$H686=""),"",$H686-$G686)</f>
        <v>0</v>
      </c>
    </row>
    <row r="687" spans="1:9">
      <c r="A687" s="7" t="s">
        <v>46</v>
      </c>
      <c r="B687" s="7" t="s">
        <v>877</v>
      </c>
      <c r="C687" s="7" t="s">
        <v>885</v>
      </c>
      <c r="E687" s="7" t="s">
        <v>613</v>
      </c>
      <c r="F687" s="7" t="s">
        <v>25</v>
      </c>
      <c r="G687" s="8">
        <v>46219</v>
      </c>
      <c r="I687" s="9">
        <f>IF(OR($G687="",$H687=""),"",$H687-$G687)</f>
        <v>0</v>
      </c>
    </row>
    <row r="688" spans="1:9">
      <c r="A688" s="7" t="s">
        <v>46</v>
      </c>
      <c r="B688" s="7" t="s">
        <v>877</v>
      </c>
      <c r="C688" s="7" t="s">
        <v>886</v>
      </c>
      <c r="E688" s="7" t="s">
        <v>613</v>
      </c>
      <c r="F688" s="7" t="s">
        <v>25</v>
      </c>
      <c r="G688" s="8">
        <v>46219</v>
      </c>
      <c r="I688" s="9">
        <f>IF(OR($G688="",$H688=""),"",$H688-$G688)</f>
        <v>0</v>
      </c>
    </row>
    <row r="689" spans="1:9">
      <c r="A689" s="7" t="s">
        <v>46</v>
      </c>
      <c r="B689" s="7" t="s">
        <v>877</v>
      </c>
      <c r="C689" s="7" t="s">
        <v>887</v>
      </c>
      <c r="E689" s="7" t="s">
        <v>613</v>
      </c>
      <c r="F689" s="7" t="s">
        <v>25</v>
      </c>
      <c r="G689" s="8">
        <v>46219</v>
      </c>
      <c r="I689" s="9">
        <f>IF(OR($G689="",$H689=""),"",$H689-$G689)</f>
        <v>0</v>
      </c>
    </row>
    <row r="690" spans="1:9">
      <c r="A690" s="7" t="s">
        <v>46</v>
      </c>
      <c r="B690" s="7" t="s">
        <v>877</v>
      </c>
      <c r="C690" s="7" t="s">
        <v>888</v>
      </c>
      <c r="E690" s="7" t="s">
        <v>613</v>
      </c>
      <c r="F690" s="7" t="s">
        <v>25</v>
      </c>
      <c r="G690" s="8">
        <v>46219</v>
      </c>
      <c r="I690" s="9">
        <f>IF(OR($G690="",$H690=""),"",$H690-$G690)</f>
        <v>0</v>
      </c>
    </row>
    <row r="691" spans="1:9">
      <c r="A691" s="7" t="s">
        <v>46</v>
      </c>
      <c r="B691" s="7" t="s">
        <v>877</v>
      </c>
      <c r="C691" s="7" t="s">
        <v>889</v>
      </c>
      <c r="E691" s="7" t="s">
        <v>613</v>
      </c>
      <c r="F691" s="7" t="s">
        <v>25</v>
      </c>
      <c r="G691" s="8">
        <v>46219</v>
      </c>
      <c r="I691" s="9">
        <f>IF(OR($G691="",$H691=""),"",$H691-$G691)</f>
        <v>0</v>
      </c>
    </row>
    <row r="692" spans="1:9">
      <c r="A692" s="7" t="s">
        <v>46</v>
      </c>
      <c r="B692" s="7" t="s">
        <v>877</v>
      </c>
      <c r="C692" s="7" t="s">
        <v>890</v>
      </c>
      <c r="E692" s="7" t="s">
        <v>613</v>
      </c>
      <c r="F692" s="7" t="s">
        <v>25</v>
      </c>
      <c r="G692" s="8">
        <v>46219</v>
      </c>
      <c r="I692" s="9">
        <f>IF(OR($G692="",$H692=""),"",$H692-$G692)</f>
        <v>0</v>
      </c>
    </row>
    <row r="693" spans="1:9">
      <c r="A693" s="7" t="s">
        <v>46</v>
      </c>
      <c r="B693" s="7" t="s">
        <v>877</v>
      </c>
      <c r="C693" s="7" t="s">
        <v>891</v>
      </c>
      <c r="E693" s="7" t="s">
        <v>613</v>
      </c>
      <c r="F693" s="7" t="s">
        <v>25</v>
      </c>
      <c r="G693" s="8">
        <v>46219</v>
      </c>
      <c r="I693" s="9">
        <f>IF(OR($G693="",$H693=""),"",$H693-$G693)</f>
        <v>0</v>
      </c>
    </row>
    <row r="694" spans="1:9">
      <c r="A694" s="7" t="s">
        <v>46</v>
      </c>
      <c r="B694" s="7" t="s">
        <v>877</v>
      </c>
      <c r="C694" s="7" t="s">
        <v>892</v>
      </c>
      <c r="E694" s="7" t="s">
        <v>613</v>
      </c>
      <c r="F694" s="7" t="s">
        <v>25</v>
      </c>
      <c r="G694" s="8">
        <v>46219</v>
      </c>
      <c r="I694" s="9">
        <f>IF(OR($G694="",$H694=""),"",$H694-$G694)</f>
        <v>0</v>
      </c>
    </row>
    <row r="695" spans="1:9">
      <c r="A695" s="7" t="s">
        <v>46</v>
      </c>
      <c r="B695" s="7" t="s">
        <v>251</v>
      </c>
      <c r="C695" s="7" t="s">
        <v>893</v>
      </c>
      <c r="E695" s="7" t="s">
        <v>613</v>
      </c>
      <c r="F695" s="7" t="s">
        <v>25</v>
      </c>
      <c r="G695" s="8">
        <v>46219</v>
      </c>
      <c r="I695" s="9">
        <f>IF(OR($G695="",$H695=""),"",$H695-$G695)</f>
        <v>0</v>
      </c>
    </row>
    <row r="696" spans="1:9">
      <c r="A696" s="7" t="s">
        <v>46</v>
      </c>
      <c r="B696" s="7" t="s">
        <v>251</v>
      </c>
      <c r="C696" s="7" t="s">
        <v>894</v>
      </c>
      <c r="E696" s="7" t="s">
        <v>613</v>
      </c>
      <c r="F696" s="7" t="s">
        <v>25</v>
      </c>
      <c r="G696" s="8">
        <v>46219</v>
      </c>
      <c r="I696" s="9">
        <f>IF(OR($G696="",$H696=""),"",$H696-$G696)</f>
        <v>0</v>
      </c>
    </row>
    <row r="697" spans="1:9">
      <c r="A697" s="7" t="s">
        <v>46</v>
      </c>
      <c r="B697" s="7" t="s">
        <v>251</v>
      </c>
      <c r="C697" s="7" t="s">
        <v>895</v>
      </c>
      <c r="E697" s="7" t="s">
        <v>613</v>
      </c>
      <c r="F697" s="7" t="s">
        <v>25</v>
      </c>
      <c r="G697" s="8">
        <v>46219</v>
      </c>
      <c r="I697" s="9">
        <f>IF(OR($G697="",$H697=""),"",$H697-$G697)</f>
        <v>0</v>
      </c>
    </row>
    <row r="698" spans="1:9">
      <c r="A698" s="7" t="s">
        <v>46</v>
      </c>
      <c r="B698" s="7" t="s">
        <v>251</v>
      </c>
      <c r="C698" s="7" t="s">
        <v>896</v>
      </c>
      <c r="E698" s="7" t="s">
        <v>613</v>
      </c>
      <c r="F698" s="7" t="s">
        <v>25</v>
      </c>
      <c r="G698" s="8">
        <v>46219</v>
      </c>
      <c r="I698" s="9">
        <f>IF(OR($G698="",$H698=""),"",$H698-$G698)</f>
        <v>0</v>
      </c>
    </row>
    <row r="699" spans="1:9">
      <c r="A699" s="7" t="s">
        <v>46</v>
      </c>
      <c r="B699" s="7" t="s">
        <v>251</v>
      </c>
      <c r="C699" s="7" t="s">
        <v>897</v>
      </c>
      <c r="E699" s="7" t="s">
        <v>613</v>
      </c>
      <c r="F699" s="7" t="s">
        <v>25</v>
      </c>
      <c r="G699" s="8">
        <v>46219</v>
      </c>
      <c r="I699" s="9">
        <f>IF(OR($G699="",$H699=""),"",$H699-$G699)</f>
        <v>0</v>
      </c>
    </row>
    <row r="700" spans="1:9">
      <c r="A700" s="7" t="s">
        <v>46</v>
      </c>
      <c r="B700" s="7" t="s">
        <v>251</v>
      </c>
      <c r="C700" s="7" t="s">
        <v>898</v>
      </c>
      <c r="E700" s="7" t="s">
        <v>613</v>
      </c>
      <c r="F700" s="7" t="s">
        <v>25</v>
      </c>
      <c r="G700" s="8">
        <v>46219</v>
      </c>
      <c r="I700" s="9">
        <f>IF(OR($G700="",$H700=""),"",$H700-$G700)</f>
        <v>0</v>
      </c>
    </row>
    <row r="701" spans="1:9">
      <c r="A701" s="7" t="s">
        <v>46</v>
      </c>
      <c r="B701" s="7" t="s">
        <v>251</v>
      </c>
      <c r="C701" s="7" t="s">
        <v>899</v>
      </c>
      <c r="E701" s="7" t="s">
        <v>613</v>
      </c>
      <c r="F701" s="7" t="s">
        <v>25</v>
      </c>
      <c r="G701" s="8">
        <v>46219</v>
      </c>
      <c r="I701" s="9">
        <f>IF(OR($G701="",$H701=""),"",$H701-$G701)</f>
        <v>0</v>
      </c>
    </row>
    <row r="702" spans="1:9">
      <c r="A702" s="7" t="s">
        <v>46</v>
      </c>
      <c r="B702" s="7" t="s">
        <v>251</v>
      </c>
      <c r="C702" s="7" t="s">
        <v>900</v>
      </c>
      <c r="E702" s="7" t="s">
        <v>613</v>
      </c>
      <c r="F702" s="7" t="s">
        <v>25</v>
      </c>
      <c r="G702" s="8">
        <v>46219</v>
      </c>
      <c r="I702" s="9">
        <f>IF(OR($G702="",$H702=""),"",$H702-$G702)</f>
        <v>0</v>
      </c>
    </row>
    <row r="703" spans="1:9">
      <c r="A703" s="7" t="s">
        <v>46</v>
      </c>
      <c r="B703" s="7" t="s">
        <v>251</v>
      </c>
      <c r="C703" s="7" t="s">
        <v>901</v>
      </c>
      <c r="E703" s="7" t="s">
        <v>613</v>
      </c>
      <c r="F703" s="7" t="s">
        <v>25</v>
      </c>
      <c r="G703" s="8">
        <v>46219</v>
      </c>
      <c r="I703" s="9">
        <f>IF(OR($G703="",$H703=""),"",$H703-$G703)</f>
        <v>0</v>
      </c>
    </row>
    <row r="704" spans="1:9">
      <c r="A704" s="7" t="s">
        <v>46</v>
      </c>
      <c r="B704" s="7" t="s">
        <v>251</v>
      </c>
      <c r="C704" s="7" t="s">
        <v>902</v>
      </c>
      <c r="E704" s="7" t="s">
        <v>613</v>
      </c>
      <c r="F704" s="7" t="s">
        <v>25</v>
      </c>
      <c r="G704" s="8">
        <v>46219</v>
      </c>
      <c r="I704" s="9">
        <f>IF(OR($G704="",$H704=""),"",$H704-$G704)</f>
        <v>0</v>
      </c>
    </row>
    <row r="705" spans="1:9">
      <c r="A705" s="7" t="s">
        <v>46</v>
      </c>
      <c r="B705" s="7" t="s">
        <v>251</v>
      </c>
      <c r="C705" s="7" t="s">
        <v>903</v>
      </c>
      <c r="E705" s="7" t="s">
        <v>613</v>
      </c>
      <c r="F705" s="7" t="s">
        <v>25</v>
      </c>
      <c r="G705" s="8">
        <v>46219</v>
      </c>
      <c r="I705" s="9">
        <f>IF(OR($G705="",$H705=""),"",$H705-$G705)</f>
        <v>0</v>
      </c>
    </row>
    <row r="706" spans="1:9">
      <c r="A706" s="7" t="s">
        <v>46</v>
      </c>
      <c r="B706" s="7" t="s">
        <v>251</v>
      </c>
      <c r="C706" s="7" t="s">
        <v>904</v>
      </c>
      <c r="E706" s="7" t="s">
        <v>613</v>
      </c>
      <c r="F706" s="7" t="s">
        <v>25</v>
      </c>
      <c r="G706" s="8">
        <v>46219</v>
      </c>
      <c r="I706" s="9">
        <f>IF(OR($G706="",$H706=""),"",$H706-$G706)</f>
        <v>0</v>
      </c>
    </row>
    <row r="707" spans="1:9">
      <c r="A707" s="7" t="s">
        <v>46</v>
      </c>
      <c r="B707" s="7" t="s">
        <v>251</v>
      </c>
      <c r="C707" s="7" t="s">
        <v>905</v>
      </c>
      <c r="E707" s="7" t="s">
        <v>613</v>
      </c>
      <c r="F707" s="7" t="s">
        <v>25</v>
      </c>
      <c r="G707" s="8">
        <v>46219</v>
      </c>
      <c r="I707" s="9">
        <f>IF(OR($G707="",$H707=""),"",$H707-$G707)</f>
        <v>0</v>
      </c>
    </row>
    <row r="708" spans="1:9">
      <c r="A708" s="7" t="s">
        <v>46</v>
      </c>
      <c r="B708" s="7" t="s">
        <v>251</v>
      </c>
      <c r="C708" s="7" t="s">
        <v>906</v>
      </c>
      <c r="E708" s="7" t="s">
        <v>613</v>
      </c>
      <c r="F708" s="7" t="s">
        <v>25</v>
      </c>
      <c r="G708" s="8">
        <v>46219</v>
      </c>
      <c r="I708" s="9">
        <f>IF(OR($G708="",$H708=""),"",$H708-$G708)</f>
        <v>0</v>
      </c>
    </row>
    <row r="709" spans="1:9">
      <c r="A709" s="7" t="s">
        <v>46</v>
      </c>
      <c r="B709" s="7" t="s">
        <v>251</v>
      </c>
      <c r="C709" s="7" t="s">
        <v>907</v>
      </c>
      <c r="E709" s="7" t="s">
        <v>613</v>
      </c>
      <c r="F709" s="7" t="s">
        <v>25</v>
      </c>
      <c r="G709" s="8">
        <v>46219</v>
      </c>
      <c r="I709" s="9">
        <f>IF(OR($G709="",$H709=""),"",$H709-$G709)</f>
        <v>0</v>
      </c>
    </row>
    <row r="710" spans="1:9">
      <c r="A710" s="7" t="s">
        <v>46</v>
      </c>
      <c r="B710" s="7" t="s">
        <v>251</v>
      </c>
      <c r="C710" s="7" t="s">
        <v>908</v>
      </c>
      <c r="E710" s="7" t="s">
        <v>613</v>
      </c>
      <c r="F710" s="7" t="s">
        <v>25</v>
      </c>
      <c r="G710" s="8">
        <v>46219</v>
      </c>
      <c r="I710" s="9">
        <f>IF(OR($G710="",$H710=""),"",$H710-$G710)</f>
        <v>0</v>
      </c>
    </row>
    <row r="711" spans="1:9">
      <c r="A711" s="7" t="s">
        <v>46</v>
      </c>
      <c r="B711" s="7" t="s">
        <v>251</v>
      </c>
      <c r="C711" s="7" t="s">
        <v>909</v>
      </c>
      <c r="E711" s="7" t="s">
        <v>613</v>
      </c>
      <c r="F711" s="7" t="s">
        <v>25</v>
      </c>
      <c r="G711" s="8">
        <v>46219</v>
      </c>
      <c r="I711" s="9">
        <f>IF(OR($G711="",$H711=""),"",$H711-$G711)</f>
        <v>0</v>
      </c>
    </row>
    <row r="712" spans="1:9">
      <c r="A712" s="7" t="s">
        <v>46</v>
      </c>
      <c r="B712" s="7" t="s">
        <v>251</v>
      </c>
      <c r="C712" s="7" t="s">
        <v>910</v>
      </c>
      <c r="E712" s="7" t="s">
        <v>613</v>
      </c>
      <c r="F712" s="7" t="s">
        <v>25</v>
      </c>
      <c r="G712" s="8">
        <v>46219</v>
      </c>
      <c r="I712" s="9">
        <f>IF(OR($G712="",$H712=""),"",$H712-$G712)</f>
        <v>0</v>
      </c>
    </row>
    <row r="713" spans="1:9">
      <c r="A713" s="7" t="s">
        <v>46</v>
      </c>
      <c r="B713" s="7" t="s">
        <v>251</v>
      </c>
      <c r="C713" s="7" t="s">
        <v>911</v>
      </c>
      <c r="E713" s="7" t="s">
        <v>613</v>
      </c>
      <c r="F713" s="7" t="s">
        <v>25</v>
      </c>
      <c r="G713" s="8">
        <v>46219</v>
      </c>
      <c r="I713" s="9">
        <f>IF(OR($G713="",$H713=""),"",$H713-$G713)</f>
        <v>0</v>
      </c>
    </row>
    <row r="714" spans="1:9">
      <c r="A714" s="7" t="s">
        <v>46</v>
      </c>
      <c r="B714" s="7" t="s">
        <v>251</v>
      </c>
      <c r="C714" s="7" t="s">
        <v>912</v>
      </c>
      <c r="E714" s="7" t="s">
        <v>613</v>
      </c>
      <c r="F714" s="7" t="s">
        <v>25</v>
      </c>
      <c r="G714" s="8">
        <v>46219</v>
      </c>
      <c r="I714" s="9">
        <f>IF(OR($G714="",$H714=""),"",$H714-$G714)</f>
        <v>0</v>
      </c>
    </row>
    <row r="715" spans="1:9">
      <c r="A715" s="7" t="s">
        <v>46</v>
      </c>
      <c r="B715" s="7" t="s">
        <v>251</v>
      </c>
      <c r="C715" s="7" t="s">
        <v>913</v>
      </c>
      <c r="E715" s="7" t="s">
        <v>613</v>
      </c>
      <c r="F715" s="7" t="s">
        <v>25</v>
      </c>
      <c r="G715" s="8">
        <v>46219</v>
      </c>
      <c r="I715" s="9">
        <f>IF(OR($G715="",$H715=""),"",$H715-$G715)</f>
        <v>0</v>
      </c>
    </row>
    <row r="716" spans="1:9">
      <c r="A716" s="7" t="s">
        <v>46</v>
      </c>
      <c r="B716" s="7" t="s">
        <v>251</v>
      </c>
      <c r="C716" s="7" t="s">
        <v>914</v>
      </c>
      <c r="E716" s="7" t="s">
        <v>613</v>
      </c>
      <c r="F716" s="7" t="s">
        <v>25</v>
      </c>
      <c r="G716" s="8">
        <v>46219</v>
      </c>
      <c r="I716" s="9">
        <f>IF(OR($G716="",$H716=""),"",$H716-$G716)</f>
        <v>0</v>
      </c>
    </row>
    <row r="717" spans="1:9">
      <c r="A717" s="7" t="s">
        <v>46</v>
      </c>
      <c r="B717" s="7" t="s">
        <v>251</v>
      </c>
      <c r="C717" s="7" t="s">
        <v>915</v>
      </c>
      <c r="E717" s="7" t="s">
        <v>613</v>
      </c>
      <c r="F717" s="7" t="s">
        <v>25</v>
      </c>
      <c r="G717" s="8">
        <v>46219</v>
      </c>
      <c r="I717" s="9">
        <f>IF(OR($G717="",$H717=""),"",$H717-$G717)</f>
        <v>0</v>
      </c>
    </row>
    <row r="718" spans="1:9">
      <c r="A718" s="7" t="s">
        <v>46</v>
      </c>
      <c r="B718" s="7" t="s">
        <v>251</v>
      </c>
      <c r="C718" s="7" t="s">
        <v>916</v>
      </c>
      <c r="E718" s="7" t="s">
        <v>613</v>
      </c>
      <c r="F718" s="7" t="s">
        <v>25</v>
      </c>
      <c r="G718" s="8">
        <v>46219</v>
      </c>
      <c r="I718" s="9">
        <f>IF(OR($G718="",$H718=""),"",$H718-$G718)</f>
        <v>0</v>
      </c>
    </row>
    <row r="719" spans="1:9">
      <c r="A719" s="7" t="s">
        <v>46</v>
      </c>
      <c r="B719" s="7" t="s">
        <v>251</v>
      </c>
      <c r="C719" s="7" t="s">
        <v>917</v>
      </c>
      <c r="E719" s="7" t="s">
        <v>613</v>
      </c>
      <c r="F719" s="7" t="s">
        <v>25</v>
      </c>
      <c r="G719" s="8">
        <v>46219</v>
      </c>
      <c r="I719" s="9">
        <f>IF(OR($G719="",$H719=""),"",$H719-$G719)</f>
        <v>0</v>
      </c>
    </row>
    <row r="720" spans="1:9">
      <c r="A720" s="7" t="s">
        <v>46</v>
      </c>
      <c r="B720" s="7" t="s">
        <v>251</v>
      </c>
      <c r="C720" s="7" t="s">
        <v>918</v>
      </c>
      <c r="E720" s="7" t="s">
        <v>613</v>
      </c>
      <c r="F720" s="7" t="s">
        <v>25</v>
      </c>
      <c r="G720" s="8">
        <v>46219</v>
      </c>
      <c r="I720" s="9">
        <f>IF(OR($G720="",$H720=""),"",$H720-$G720)</f>
        <v>0</v>
      </c>
    </row>
    <row r="721" spans="1:9">
      <c r="A721" s="7" t="s">
        <v>46</v>
      </c>
      <c r="B721" s="7" t="s">
        <v>251</v>
      </c>
      <c r="C721" s="7" t="s">
        <v>919</v>
      </c>
      <c r="E721" s="7" t="s">
        <v>613</v>
      </c>
      <c r="F721" s="7" t="s">
        <v>25</v>
      </c>
      <c r="G721" s="8">
        <v>46219</v>
      </c>
      <c r="I721" s="9">
        <f>IF(OR($G721="",$H721=""),"",$H721-$G721)</f>
        <v>0</v>
      </c>
    </row>
    <row r="722" spans="1:9">
      <c r="A722" s="7" t="s">
        <v>46</v>
      </c>
      <c r="B722" s="7" t="s">
        <v>251</v>
      </c>
      <c r="C722" s="7" t="s">
        <v>920</v>
      </c>
      <c r="E722" s="7" t="s">
        <v>613</v>
      </c>
      <c r="F722" s="7" t="s">
        <v>25</v>
      </c>
      <c r="G722" s="8">
        <v>46219</v>
      </c>
      <c r="I722" s="9">
        <f>IF(OR($G722="",$H722=""),"",$H722-$G722)</f>
        <v>0</v>
      </c>
    </row>
    <row r="723" spans="1:9">
      <c r="A723" s="7" t="s">
        <v>46</v>
      </c>
      <c r="B723" s="7" t="s">
        <v>251</v>
      </c>
      <c r="C723" s="7" t="s">
        <v>921</v>
      </c>
      <c r="E723" s="7" t="s">
        <v>613</v>
      </c>
      <c r="F723" s="7" t="s">
        <v>25</v>
      </c>
      <c r="G723" s="8">
        <v>46219</v>
      </c>
      <c r="I723" s="9">
        <f>IF(OR($G723="",$H723=""),"",$H723-$G723)</f>
        <v>0</v>
      </c>
    </row>
    <row r="724" spans="1:9">
      <c r="A724" s="7" t="s">
        <v>46</v>
      </c>
      <c r="B724" s="7" t="s">
        <v>251</v>
      </c>
      <c r="C724" s="7" t="s">
        <v>922</v>
      </c>
      <c r="E724" s="7" t="s">
        <v>613</v>
      </c>
      <c r="F724" s="7" t="s">
        <v>25</v>
      </c>
      <c r="G724" s="8">
        <v>46219</v>
      </c>
      <c r="I724" s="9">
        <f>IF(OR($G724="",$H724=""),"",$H724-$G724)</f>
        <v>0</v>
      </c>
    </row>
    <row r="725" spans="1:9">
      <c r="A725" s="7" t="s">
        <v>46</v>
      </c>
      <c r="B725" s="7" t="s">
        <v>251</v>
      </c>
      <c r="C725" s="7" t="s">
        <v>923</v>
      </c>
      <c r="E725" s="7" t="s">
        <v>613</v>
      </c>
      <c r="F725" s="7" t="s">
        <v>25</v>
      </c>
      <c r="G725" s="8">
        <v>46219</v>
      </c>
      <c r="I725" s="9">
        <f>IF(OR($G725="",$H725=""),"",$H725-$G725)</f>
        <v>0</v>
      </c>
    </row>
    <row r="726" spans="1:9">
      <c r="A726" s="7" t="s">
        <v>46</v>
      </c>
      <c r="B726" s="7" t="s">
        <v>251</v>
      </c>
      <c r="C726" s="7" t="s">
        <v>924</v>
      </c>
      <c r="E726" s="7" t="s">
        <v>613</v>
      </c>
      <c r="F726" s="7" t="s">
        <v>25</v>
      </c>
      <c r="G726" s="8">
        <v>46219</v>
      </c>
      <c r="I726" s="9">
        <f>IF(OR($G726="",$H726=""),"",$H726-$G726)</f>
        <v>0</v>
      </c>
    </row>
    <row r="727" spans="1:9">
      <c r="A727" s="7" t="s">
        <v>46</v>
      </c>
      <c r="B727" s="7" t="s">
        <v>251</v>
      </c>
      <c r="C727" s="7" t="s">
        <v>925</v>
      </c>
      <c r="E727" s="7" t="s">
        <v>613</v>
      </c>
      <c r="F727" s="7" t="s">
        <v>25</v>
      </c>
      <c r="G727" s="8">
        <v>46219</v>
      </c>
      <c r="I727" s="9">
        <f>IF(OR($G727="",$H727=""),"",$H727-$G727)</f>
        <v>0</v>
      </c>
    </row>
    <row r="728" spans="1:9">
      <c r="A728" s="7" t="s">
        <v>46</v>
      </c>
      <c r="B728" s="7" t="s">
        <v>251</v>
      </c>
      <c r="C728" s="7" t="s">
        <v>926</v>
      </c>
      <c r="E728" s="7" t="s">
        <v>613</v>
      </c>
      <c r="F728" s="7" t="s">
        <v>25</v>
      </c>
      <c r="G728" s="8">
        <v>46219</v>
      </c>
      <c r="I728" s="9">
        <f>IF(OR($G728="",$H728=""),"",$H728-$G728)</f>
        <v>0</v>
      </c>
    </row>
    <row r="729" spans="1:9">
      <c r="A729" s="7" t="s">
        <v>46</v>
      </c>
      <c r="B729" s="7" t="s">
        <v>251</v>
      </c>
      <c r="C729" s="7" t="s">
        <v>927</v>
      </c>
      <c r="E729" s="7" t="s">
        <v>613</v>
      </c>
      <c r="F729" s="7" t="s">
        <v>25</v>
      </c>
      <c r="G729" s="8">
        <v>46219</v>
      </c>
      <c r="I729" s="9">
        <f>IF(OR($G729="",$H729=""),"",$H729-$G729)</f>
        <v>0</v>
      </c>
    </row>
    <row r="730" spans="1:9">
      <c r="A730" s="7" t="s">
        <v>46</v>
      </c>
      <c r="B730" s="7" t="s">
        <v>877</v>
      </c>
      <c r="C730" s="7" t="s">
        <v>928</v>
      </c>
      <c r="E730" s="7" t="s">
        <v>613</v>
      </c>
      <c r="F730" s="7" t="s">
        <v>25</v>
      </c>
      <c r="G730" s="8">
        <v>46219</v>
      </c>
      <c r="I730" s="9">
        <f>IF(OR($G730="",$H730=""),"",$H730-$G730)</f>
        <v>0</v>
      </c>
    </row>
    <row r="731" spans="1:9">
      <c r="A731" s="7" t="s">
        <v>46</v>
      </c>
      <c r="B731" s="7" t="s">
        <v>877</v>
      </c>
      <c r="C731" s="7" t="s">
        <v>929</v>
      </c>
      <c r="E731" s="7" t="s">
        <v>613</v>
      </c>
      <c r="F731" s="7" t="s">
        <v>25</v>
      </c>
      <c r="G731" s="8">
        <v>46219</v>
      </c>
      <c r="I731" s="9">
        <f>IF(OR($G731="",$H731=""),"",$H731-$G731)</f>
        <v>0</v>
      </c>
    </row>
    <row r="732" spans="1:9">
      <c r="A732" s="7" t="s">
        <v>46</v>
      </c>
      <c r="B732" s="7" t="s">
        <v>877</v>
      </c>
      <c r="C732" s="7" t="s">
        <v>930</v>
      </c>
      <c r="E732" s="7" t="s">
        <v>613</v>
      </c>
      <c r="F732" s="7" t="s">
        <v>25</v>
      </c>
      <c r="G732" s="8">
        <v>46219</v>
      </c>
      <c r="I732" s="9">
        <f>IF(OR($G732="",$H732=""),"",$H732-$G732)</f>
        <v>0</v>
      </c>
    </row>
    <row r="733" spans="1:9">
      <c r="A733" s="7" t="s">
        <v>46</v>
      </c>
      <c r="B733" s="7" t="s">
        <v>877</v>
      </c>
      <c r="C733" s="7" t="s">
        <v>931</v>
      </c>
      <c r="E733" s="7" t="s">
        <v>613</v>
      </c>
      <c r="F733" s="7" t="s">
        <v>25</v>
      </c>
      <c r="G733" s="8">
        <v>46219</v>
      </c>
      <c r="I733" s="9">
        <f>IF(OR($G733="",$H733=""),"",$H733-$G733)</f>
        <v>0</v>
      </c>
    </row>
    <row r="734" spans="1:9">
      <c r="A734" s="7" t="s">
        <v>46</v>
      </c>
      <c r="B734" s="7" t="s">
        <v>877</v>
      </c>
      <c r="C734" s="7" t="s">
        <v>932</v>
      </c>
      <c r="E734" s="7" t="s">
        <v>613</v>
      </c>
      <c r="F734" s="7" t="s">
        <v>25</v>
      </c>
      <c r="G734" s="8">
        <v>46219</v>
      </c>
      <c r="I734" s="9">
        <f>IF(OR($G734="",$H734=""),"",$H734-$G734)</f>
        <v>0</v>
      </c>
    </row>
    <row r="735" spans="1:9">
      <c r="A735" s="7" t="s">
        <v>46</v>
      </c>
      <c r="B735" s="7" t="s">
        <v>877</v>
      </c>
      <c r="C735" s="7" t="s">
        <v>933</v>
      </c>
      <c r="E735" s="7" t="s">
        <v>613</v>
      </c>
      <c r="F735" s="7" t="s">
        <v>25</v>
      </c>
      <c r="G735" s="8">
        <v>46219</v>
      </c>
      <c r="I735" s="9">
        <f>IF(OR($G735="",$H735=""),"",$H735-$G735)</f>
        <v>0</v>
      </c>
    </row>
    <row r="736" spans="1:9">
      <c r="A736" s="7" t="s">
        <v>46</v>
      </c>
      <c r="B736" s="7" t="s">
        <v>877</v>
      </c>
      <c r="C736" s="7" t="s">
        <v>934</v>
      </c>
      <c r="E736" s="7" t="s">
        <v>613</v>
      </c>
      <c r="F736" s="7" t="s">
        <v>25</v>
      </c>
      <c r="G736" s="8">
        <v>46219</v>
      </c>
      <c r="I736" s="9">
        <f>IF(OR($G736="",$H736=""),"",$H736-$G736)</f>
        <v>0</v>
      </c>
    </row>
    <row r="737" spans="1:9">
      <c r="A737" s="7" t="s">
        <v>46</v>
      </c>
      <c r="B737" s="7" t="s">
        <v>877</v>
      </c>
      <c r="C737" s="7" t="s">
        <v>935</v>
      </c>
      <c r="E737" s="7" t="s">
        <v>613</v>
      </c>
      <c r="F737" s="7" t="s">
        <v>25</v>
      </c>
      <c r="G737" s="8">
        <v>46219</v>
      </c>
      <c r="I737" s="9">
        <f>IF(OR($G737="",$H737=""),"",$H737-$G737)</f>
        <v>0</v>
      </c>
    </row>
    <row r="738" spans="1:9">
      <c r="A738" s="7" t="s">
        <v>46</v>
      </c>
      <c r="B738" s="7" t="s">
        <v>877</v>
      </c>
      <c r="C738" s="7" t="s">
        <v>936</v>
      </c>
      <c r="E738" s="7" t="s">
        <v>613</v>
      </c>
      <c r="F738" s="7" t="s">
        <v>25</v>
      </c>
      <c r="G738" s="8">
        <v>46219</v>
      </c>
      <c r="I738" s="9">
        <f>IF(OR($G738="",$H738=""),"",$H738-$G738)</f>
        <v>0</v>
      </c>
    </row>
    <row r="739" spans="1:9">
      <c r="A739" s="7" t="s">
        <v>46</v>
      </c>
      <c r="B739" s="7" t="s">
        <v>877</v>
      </c>
      <c r="C739" s="7" t="s">
        <v>937</v>
      </c>
      <c r="E739" s="7" t="s">
        <v>613</v>
      </c>
      <c r="F739" s="7" t="s">
        <v>25</v>
      </c>
      <c r="G739" s="8">
        <v>46219</v>
      </c>
      <c r="I739" s="9">
        <f>IF(OR($G739="",$H739=""),"",$H739-$G739)</f>
        <v>0</v>
      </c>
    </row>
    <row r="740" spans="1:9">
      <c r="A740" s="7" t="s">
        <v>46</v>
      </c>
      <c r="B740" s="7" t="s">
        <v>877</v>
      </c>
      <c r="C740" s="7" t="s">
        <v>938</v>
      </c>
      <c r="E740" s="7" t="s">
        <v>613</v>
      </c>
      <c r="F740" s="7" t="s">
        <v>25</v>
      </c>
      <c r="G740" s="8">
        <v>46219</v>
      </c>
      <c r="I740" s="9">
        <f>IF(OR($G740="",$H740=""),"",$H740-$G740)</f>
        <v>0</v>
      </c>
    </row>
    <row r="741" spans="1:9">
      <c r="A741" s="7" t="s">
        <v>46</v>
      </c>
      <c r="B741" s="7" t="s">
        <v>877</v>
      </c>
      <c r="C741" s="7" t="s">
        <v>939</v>
      </c>
      <c r="E741" s="7" t="s">
        <v>613</v>
      </c>
      <c r="F741" s="7" t="s">
        <v>25</v>
      </c>
      <c r="G741" s="8">
        <v>46219</v>
      </c>
      <c r="I741" s="9">
        <f>IF(OR($G741="",$H741=""),"",$H741-$G741)</f>
        <v>0</v>
      </c>
    </row>
    <row r="742" spans="1:9">
      <c r="A742" s="7" t="s">
        <v>46</v>
      </c>
      <c r="B742" s="7" t="s">
        <v>877</v>
      </c>
      <c r="C742" s="7" t="s">
        <v>940</v>
      </c>
      <c r="E742" s="7" t="s">
        <v>613</v>
      </c>
      <c r="F742" s="7" t="s">
        <v>25</v>
      </c>
      <c r="G742" s="8">
        <v>46219</v>
      </c>
      <c r="I742" s="9">
        <f>IF(OR($G742="",$H742=""),"",$H742-$G742)</f>
        <v>0</v>
      </c>
    </row>
    <row r="743" spans="1:9">
      <c r="A743" s="7" t="s">
        <v>46</v>
      </c>
      <c r="B743" s="7" t="s">
        <v>877</v>
      </c>
      <c r="C743" s="7" t="s">
        <v>941</v>
      </c>
      <c r="E743" s="7" t="s">
        <v>613</v>
      </c>
      <c r="F743" s="7" t="s">
        <v>25</v>
      </c>
      <c r="G743" s="8">
        <v>46219</v>
      </c>
      <c r="I743" s="9">
        <f>IF(OR($G743="",$H743=""),"",$H743-$G743)</f>
        <v>0</v>
      </c>
    </row>
    <row r="744" spans="1:9">
      <c r="A744" s="7" t="s">
        <v>46</v>
      </c>
      <c r="B744" s="7" t="s">
        <v>877</v>
      </c>
      <c r="C744" s="7" t="s">
        <v>942</v>
      </c>
      <c r="E744" s="7" t="s">
        <v>613</v>
      </c>
      <c r="F744" s="7" t="s">
        <v>25</v>
      </c>
      <c r="G744" s="8">
        <v>46219</v>
      </c>
      <c r="I744" s="9">
        <f>IF(OR($G744="",$H744=""),"",$H744-$G744)</f>
        <v>0</v>
      </c>
    </row>
    <row r="745" spans="1:9">
      <c r="A745" s="7" t="s">
        <v>46</v>
      </c>
      <c r="B745" s="7" t="s">
        <v>877</v>
      </c>
      <c r="C745" s="7" t="s">
        <v>943</v>
      </c>
      <c r="E745" s="7" t="s">
        <v>613</v>
      </c>
      <c r="F745" s="7" t="s">
        <v>25</v>
      </c>
      <c r="G745" s="8">
        <v>46219</v>
      </c>
      <c r="I745" s="9">
        <f>IF(OR($G745="",$H745=""),"",$H745-$G745)</f>
        <v>0</v>
      </c>
    </row>
    <row r="746" spans="1:9">
      <c r="A746" s="7" t="s">
        <v>46</v>
      </c>
      <c r="B746" s="7" t="s">
        <v>877</v>
      </c>
      <c r="C746" s="7" t="s">
        <v>944</v>
      </c>
      <c r="E746" s="7" t="s">
        <v>613</v>
      </c>
      <c r="F746" s="7" t="s">
        <v>25</v>
      </c>
      <c r="G746" s="8">
        <v>46219</v>
      </c>
      <c r="I746" s="9">
        <f>IF(OR($G746="",$H746=""),"",$H746-$G746)</f>
        <v>0</v>
      </c>
    </row>
    <row r="747" spans="1:9">
      <c r="A747" s="7" t="s">
        <v>46</v>
      </c>
      <c r="B747" s="7" t="s">
        <v>877</v>
      </c>
      <c r="C747" s="7" t="s">
        <v>945</v>
      </c>
      <c r="E747" s="7" t="s">
        <v>613</v>
      </c>
      <c r="F747" s="7" t="s">
        <v>25</v>
      </c>
      <c r="G747" s="8">
        <v>46219</v>
      </c>
      <c r="I747" s="9">
        <f>IF(OR($G747="",$H747=""),"",$H747-$G747)</f>
        <v>0</v>
      </c>
    </row>
    <row r="748" spans="1:9">
      <c r="A748" s="7" t="s">
        <v>46</v>
      </c>
      <c r="B748" s="7" t="s">
        <v>877</v>
      </c>
      <c r="C748" s="7" t="s">
        <v>946</v>
      </c>
      <c r="E748" s="7" t="s">
        <v>613</v>
      </c>
      <c r="F748" s="7" t="s">
        <v>25</v>
      </c>
      <c r="G748" s="8">
        <v>46219</v>
      </c>
      <c r="I748" s="9">
        <f>IF(OR($G748="",$H748=""),"",$H748-$G748)</f>
        <v>0</v>
      </c>
    </row>
    <row r="749" spans="1:9">
      <c r="A749" s="7" t="s">
        <v>46</v>
      </c>
      <c r="B749" s="7" t="s">
        <v>877</v>
      </c>
      <c r="C749" s="7" t="s">
        <v>947</v>
      </c>
      <c r="E749" s="7" t="s">
        <v>613</v>
      </c>
      <c r="F749" s="7" t="s">
        <v>25</v>
      </c>
      <c r="G749" s="8">
        <v>46219</v>
      </c>
      <c r="I749" s="9">
        <f>IF(OR($G749="",$H749=""),"",$H749-$G749)</f>
        <v>0</v>
      </c>
    </row>
    <row r="750" spans="1:9">
      <c r="A750" s="7" t="s">
        <v>46</v>
      </c>
      <c r="B750" s="7" t="s">
        <v>948</v>
      </c>
      <c r="C750" s="7" t="s">
        <v>949</v>
      </c>
      <c r="E750" s="7" t="s">
        <v>950</v>
      </c>
      <c r="F750" s="7" t="s">
        <v>114</v>
      </c>
      <c r="G750" s="8">
        <v>46219</v>
      </c>
      <c r="I750" s="9">
        <f>IF(OR($G750="",$H750=""),"",$H750-$G750)</f>
        <v>0</v>
      </c>
    </row>
    <row r="751" spans="1:9">
      <c r="A751" s="7" t="s">
        <v>46</v>
      </c>
      <c r="B751" s="7" t="s">
        <v>948</v>
      </c>
      <c r="C751" s="7" t="s">
        <v>951</v>
      </c>
      <c r="E751" s="7" t="s">
        <v>950</v>
      </c>
      <c r="F751" s="7" t="s">
        <v>114</v>
      </c>
      <c r="G751" s="8">
        <v>46219</v>
      </c>
      <c r="I751" s="9">
        <f>IF(OR($G751="",$H751=""),"",$H751-$G751)</f>
        <v>0</v>
      </c>
    </row>
    <row r="752" spans="1:9">
      <c r="A752" s="7" t="s">
        <v>46</v>
      </c>
      <c r="B752" s="7" t="s">
        <v>948</v>
      </c>
      <c r="C752" s="7" t="s">
        <v>952</v>
      </c>
      <c r="E752" s="7" t="s">
        <v>950</v>
      </c>
      <c r="F752" s="7" t="s">
        <v>114</v>
      </c>
      <c r="G752" s="8">
        <v>46219</v>
      </c>
      <c r="I752" s="9">
        <f>IF(OR($G752="",$H752=""),"",$H752-$G752)</f>
        <v>0</v>
      </c>
    </row>
    <row r="753" spans="1:9">
      <c r="A753" s="7" t="s">
        <v>46</v>
      </c>
      <c r="B753" s="7" t="s">
        <v>948</v>
      </c>
      <c r="C753" s="7" t="s">
        <v>953</v>
      </c>
      <c r="E753" s="7" t="s">
        <v>950</v>
      </c>
      <c r="F753" s="7" t="s">
        <v>114</v>
      </c>
      <c r="G753" s="8">
        <v>46219</v>
      </c>
      <c r="I753" s="9">
        <f>IF(OR($G753="",$H753=""),"",$H753-$G753)</f>
        <v>0</v>
      </c>
    </row>
    <row r="754" spans="1:9">
      <c r="A754" s="7" t="s">
        <v>46</v>
      </c>
      <c r="B754" s="7" t="s">
        <v>948</v>
      </c>
      <c r="C754" s="7" t="s">
        <v>954</v>
      </c>
      <c r="E754" s="7" t="s">
        <v>950</v>
      </c>
      <c r="F754" s="7" t="s">
        <v>114</v>
      </c>
      <c r="G754" s="8">
        <v>46219</v>
      </c>
      <c r="I754" s="9">
        <f>IF(OR($G754="",$H754=""),"",$H754-$G754)</f>
        <v>0</v>
      </c>
    </row>
    <row r="755" spans="1:9">
      <c r="A755" s="7" t="s">
        <v>46</v>
      </c>
      <c r="B755" s="7" t="s">
        <v>948</v>
      </c>
      <c r="C755" s="7" t="s">
        <v>955</v>
      </c>
      <c r="E755" s="7" t="s">
        <v>950</v>
      </c>
      <c r="F755" s="7" t="s">
        <v>114</v>
      </c>
      <c r="G755" s="8">
        <v>46219</v>
      </c>
      <c r="I755" s="9">
        <f>IF(OR($G755="",$H755=""),"",$H755-$G755)</f>
        <v>0</v>
      </c>
    </row>
    <row r="756" spans="1:9">
      <c r="A756" s="7" t="s">
        <v>46</v>
      </c>
      <c r="B756" s="7" t="s">
        <v>948</v>
      </c>
      <c r="C756" s="7" t="s">
        <v>956</v>
      </c>
      <c r="E756" s="7" t="s">
        <v>950</v>
      </c>
      <c r="F756" s="7" t="s">
        <v>114</v>
      </c>
      <c r="G756" s="8">
        <v>46219</v>
      </c>
      <c r="I756" s="9">
        <f>IF(OR($G756="",$H756=""),"",$H756-$G756)</f>
        <v>0</v>
      </c>
    </row>
    <row r="757" spans="1:9">
      <c r="A757" s="7" t="s">
        <v>46</v>
      </c>
      <c r="B757" s="7" t="s">
        <v>948</v>
      </c>
      <c r="C757" s="7" t="s">
        <v>957</v>
      </c>
      <c r="E757" s="7" t="s">
        <v>950</v>
      </c>
      <c r="F757" s="7" t="s">
        <v>114</v>
      </c>
      <c r="G757" s="8">
        <v>46219</v>
      </c>
      <c r="I757" s="9">
        <f>IF(OR($G757="",$H757=""),"",$H757-$G757)</f>
        <v>0</v>
      </c>
    </row>
    <row r="758" spans="1:9">
      <c r="A758" s="7" t="s">
        <v>46</v>
      </c>
      <c r="B758" s="7" t="s">
        <v>948</v>
      </c>
      <c r="C758" s="7" t="s">
        <v>958</v>
      </c>
      <c r="E758" s="7" t="s">
        <v>950</v>
      </c>
      <c r="F758" s="7" t="s">
        <v>114</v>
      </c>
      <c r="G758" s="8">
        <v>46219</v>
      </c>
      <c r="I758" s="9">
        <f>IF(OR($G758="",$H758=""),"",$H758-$G758)</f>
        <v>0</v>
      </c>
    </row>
    <row r="759" spans="1:9">
      <c r="A759" s="7" t="s">
        <v>46</v>
      </c>
      <c r="B759" s="7" t="s">
        <v>948</v>
      </c>
      <c r="C759" s="7" t="s">
        <v>959</v>
      </c>
      <c r="E759" s="7" t="s">
        <v>950</v>
      </c>
      <c r="F759" s="7" t="s">
        <v>114</v>
      </c>
      <c r="G759" s="8">
        <v>46219</v>
      </c>
      <c r="I759" s="9">
        <f>IF(OR($G759="",$H759=""),"",$H759-$G759)</f>
        <v>0</v>
      </c>
    </row>
    <row r="760" spans="1:9">
      <c r="A760" s="7" t="s">
        <v>46</v>
      </c>
      <c r="B760" s="7" t="s">
        <v>948</v>
      </c>
      <c r="C760" s="7" t="s">
        <v>960</v>
      </c>
      <c r="E760" s="7" t="s">
        <v>950</v>
      </c>
      <c r="F760" s="7" t="s">
        <v>114</v>
      </c>
      <c r="G760" s="8">
        <v>46219</v>
      </c>
      <c r="I760" s="9">
        <f>IF(OR($G760="",$H760=""),"",$H760-$G760)</f>
        <v>0</v>
      </c>
    </row>
    <row r="761" spans="1:9">
      <c r="A761" s="7" t="s">
        <v>46</v>
      </c>
      <c r="B761" s="7" t="s">
        <v>948</v>
      </c>
      <c r="C761" s="7" t="s">
        <v>961</v>
      </c>
      <c r="E761" s="7" t="s">
        <v>950</v>
      </c>
      <c r="F761" s="7" t="s">
        <v>114</v>
      </c>
      <c r="G761" s="8">
        <v>46219</v>
      </c>
      <c r="I761" s="9">
        <f>IF(OR($G761="",$H761=""),"",$H761-$G761)</f>
        <v>0</v>
      </c>
    </row>
    <row r="762" spans="1:9">
      <c r="A762" s="7" t="s">
        <v>46</v>
      </c>
      <c r="B762" s="7" t="s">
        <v>948</v>
      </c>
      <c r="C762" s="7" t="s">
        <v>962</v>
      </c>
      <c r="E762" s="7" t="s">
        <v>950</v>
      </c>
      <c r="F762" s="7" t="s">
        <v>114</v>
      </c>
      <c r="G762" s="8">
        <v>46219</v>
      </c>
      <c r="I762" s="9">
        <f>IF(OR($G762="",$H762=""),"",$H762-$G762)</f>
        <v>0</v>
      </c>
    </row>
    <row r="763" spans="1:9">
      <c r="A763" s="7" t="s">
        <v>46</v>
      </c>
      <c r="B763" s="7" t="s">
        <v>948</v>
      </c>
      <c r="C763" s="7" t="s">
        <v>963</v>
      </c>
      <c r="E763" s="7" t="s">
        <v>950</v>
      </c>
      <c r="F763" s="7" t="s">
        <v>114</v>
      </c>
      <c r="G763" s="8">
        <v>46219</v>
      </c>
      <c r="I763" s="9">
        <f>IF(OR($G763="",$H763=""),"",$H763-$G763)</f>
        <v>0</v>
      </c>
    </row>
    <row r="764" spans="1:9">
      <c r="A764" s="7" t="s">
        <v>46</v>
      </c>
      <c r="B764" s="7" t="s">
        <v>948</v>
      </c>
      <c r="C764" s="7" t="s">
        <v>964</v>
      </c>
      <c r="E764" s="7" t="s">
        <v>950</v>
      </c>
      <c r="F764" s="7" t="s">
        <v>114</v>
      </c>
      <c r="G764" s="8">
        <v>46219</v>
      </c>
      <c r="I764" s="9">
        <f>IF(OR($G764="",$H764=""),"",$H764-$G764)</f>
        <v>0</v>
      </c>
    </row>
    <row r="765" spans="1:9">
      <c r="A765" s="7" t="s">
        <v>46</v>
      </c>
      <c r="B765" s="7" t="s">
        <v>948</v>
      </c>
      <c r="C765" s="7" t="s">
        <v>965</v>
      </c>
      <c r="E765" s="7" t="s">
        <v>950</v>
      </c>
      <c r="F765" s="7" t="s">
        <v>114</v>
      </c>
      <c r="G765" s="8">
        <v>46219</v>
      </c>
      <c r="I765" s="9">
        <f>IF(OR($G765="",$H765=""),"",$H765-$G765)</f>
        <v>0</v>
      </c>
    </row>
    <row r="766" spans="1:9">
      <c r="A766" s="7" t="s">
        <v>46</v>
      </c>
      <c r="B766" s="7" t="s">
        <v>948</v>
      </c>
      <c r="C766" s="7" t="s">
        <v>966</v>
      </c>
      <c r="E766" s="7" t="s">
        <v>950</v>
      </c>
      <c r="F766" s="7" t="s">
        <v>114</v>
      </c>
      <c r="G766" s="8">
        <v>46219</v>
      </c>
      <c r="I766" s="9">
        <f>IF(OR($G766="",$H766=""),"",$H766-$G766)</f>
        <v>0</v>
      </c>
    </row>
    <row r="767" spans="1:9">
      <c r="A767" s="7" t="s">
        <v>46</v>
      </c>
      <c r="B767" s="7" t="s">
        <v>948</v>
      </c>
      <c r="C767" s="7" t="s">
        <v>967</v>
      </c>
      <c r="E767" s="7" t="s">
        <v>950</v>
      </c>
      <c r="F767" s="7" t="s">
        <v>114</v>
      </c>
      <c r="G767" s="8">
        <v>46219</v>
      </c>
      <c r="I767" s="9">
        <f>IF(OR($G767="",$H767=""),"",$H767-$G767)</f>
        <v>0</v>
      </c>
    </row>
    <row r="768" spans="1:9">
      <c r="A768" s="7" t="s">
        <v>46</v>
      </c>
      <c r="B768" s="7" t="s">
        <v>948</v>
      </c>
      <c r="C768" s="7" t="s">
        <v>968</v>
      </c>
      <c r="E768" s="7" t="s">
        <v>950</v>
      </c>
      <c r="F768" s="7" t="s">
        <v>114</v>
      </c>
      <c r="G768" s="8">
        <v>46219</v>
      </c>
      <c r="I768" s="9">
        <f>IF(OR($G768="",$H768=""),"",$H768-$G768)</f>
        <v>0</v>
      </c>
    </row>
    <row r="769" spans="1:9">
      <c r="A769" s="7" t="s">
        <v>46</v>
      </c>
      <c r="B769" s="7" t="s">
        <v>948</v>
      </c>
      <c r="C769" s="7" t="s">
        <v>969</v>
      </c>
      <c r="E769" s="7" t="s">
        <v>950</v>
      </c>
      <c r="F769" s="7" t="s">
        <v>114</v>
      </c>
      <c r="G769" s="8">
        <v>46219</v>
      </c>
      <c r="I769" s="9">
        <f>IF(OR($G769="",$H769=""),"",$H769-$G769)</f>
        <v>0</v>
      </c>
    </row>
    <row r="770" spans="1:9">
      <c r="A770" s="7" t="s">
        <v>46</v>
      </c>
      <c r="B770" s="7" t="s">
        <v>948</v>
      </c>
      <c r="C770" s="7" t="s">
        <v>970</v>
      </c>
      <c r="E770" s="7" t="s">
        <v>950</v>
      </c>
      <c r="F770" s="7" t="s">
        <v>114</v>
      </c>
      <c r="G770" s="8">
        <v>46219</v>
      </c>
      <c r="I770" s="9">
        <f>IF(OR($G770="",$H770=""),"",$H770-$G770)</f>
        <v>0</v>
      </c>
    </row>
    <row r="771" spans="1:9">
      <c r="A771" s="7" t="s">
        <v>46</v>
      </c>
      <c r="B771" s="7" t="s">
        <v>971</v>
      </c>
      <c r="C771" s="7" t="s">
        <v>972</v>
      </c>
      <c r="E771" s="7" t="s">
        <v>950</v>
      </c>
      <c r="F771" s="7" t="s">
        <v>114</v>
      </c>
      <c r="G771" s="8">
        <v>46219</v>
      </c>
      <c r="I771" s="9">
        <f>IF(OR($G771="",$H771=""),"",$H771-$G771)</f>
        <v>0</v>
      </c>
    </row>
    <row r="772" spans="1:9">
      <c r="A772" s="7" t="s">
        <v>46</v>
      </c>
      <c r="B772" s="7" t="s">
        <v>971</v>
      </c>
      <c r="C772" s="7" t="s">
        <v>973</v>
      </c>
      <c r="E772" s="7" t="s">
        <v>950</v>
      </c>
      <c r="F772" s="7" t="s">
        <v>114</v>
      </c>
      <c r="G772" s="8">
        <v>46219</v>
      </c>
      <c r="I772" s="9">
        <f>IF(OR($G772="",$H772=""),"",$H772-$G772)</f>
        <v>0</v>
      </c>
    </row>
    <row r="773" spans="1:9">
      <c r="A773" s="7" t="s">
        <v>46</v>
      </c>
      <c r="B773" s="7" t="s">
        <v>971</v>
      </c>
      <c r="C773" s="7" t="s">
        <v>974</v>
      </c>
      <c r="E773" s="7" t="s">
        <v>950</v>
      </c>
      <c r="F773" s="7" t="s">
        <v>114</v>
      </c>
      <c r="G773" s="8">
        <v>46219</v>
      </c>
      <c r="I773" s="9">
        <f>IF(OR($G773="",$H773=""),"",$H773-$G773)</f>
        <v>0</v>
      </c>
    </row>
    <row r="774" spans="1:9">
      <c r="A774" s="7" t="s">
        <v>46</v>
      </c>
      <c r="B774" s="7" t="s">
        <v>971</v>
      </c>
      <c r="C774" s="7" t="s">
        <v>975</v>
      </c>
      <c r="E774" s="7" t="s">
        <v>950</v>
      </c>
      <c r="F774" s="7" t="s">
        <v>114</v>
      </c>
      <c r="G774" s="8">
        <v>46219</v>
      </c>
      <c r="I774" s="9">
        <f>IF(OR($G774="",$H774=""),"",$H774-$G774)</f>
        <v>0</v>
      </c>
    </row>
    <row r="775" spans="1:9">
      <c r="A775" s="7" t="s">
        <v>46</v>
      </c>
      <c r="B775" s="7" t="s">
        <v>971</v>
      </c>
      <c r="C775" s="7" t="s">
        <v>976</v>
      </c>
      <c r="E775" s="7" t="s">
        <v>950</v>
      </c>
      <c r="F775" s="7" t="s">
        <v>114</v>
      </c>
      <c r="G775" s="8">
        <v>46219</v>
      </c>
      <c r="I775" s="9">
        <f>IF(OR($G775="",$H775=""),"",$H775-$G775)</f>
        <v>0</v>
      </c>
    </row>
    <row r="776" spans="1:9">
      <c r="A776" s="7" t="s">
        <v>46</v>
      </c>
      <c r="B776" s="7" t="s">
        <v>971</v>
      </c>
      <c r="C776" s="7" t="s">
        <v>977</v>
      </c>
      <c r="E776" s="7" t="s">
        <v>950</v>
      </c>
      <c r="F776" s="7" t="s">
        <v>114</v>
      </c>
      <c r="G776" s="8">
        <v>46219</v>
      </c>
      <c r="I776" s="9">
        <f>IF(OR($G776="",$H776=""),"",$H776-$G776)</f>
        <v>0</v>
      </c>
    </row>
    <row r="777" spans="1:9">
      <c r="A777" s="7" t="s">
        <v>46</v>
      </c>
      <c r="B777" s="7" t="s">
        <v>971</v>
      </c>
      <c r="C777" s="7" t="s">
        <v>978</v>
      </c>
      <c r="E777" s="7" t="s">
        <v>950</v>
      </c>
      <c r="F777" s="7" t="s">
        <v>114</v>
      </c>
      <c r="G777" s="8">
        <v>46219</v>
      </c>
      <c r="I777" s="9">
        <f>IF(OR($G777="",$H777=""),"",$H777-$G777)</f>
        <v>0</v>
      </c>
    </row>
    <row r="778" spans="1:9">
      <c r="A778" s="7" t="s">
        <v>46</v>
      </c>
      <c r="B778" s="7" t="s">
        <v>971</v>
      </c>
      <c r="C778" s="7" t="s">
        <v>979</v>
      </c>
      <c r="E778" s="7" t="s">
        <v>950</v>
      </c>
      <c r="F778" s="7" t="s">
        <v>114</v>
      </c>
      <c r="G778" s="8">
        <v>46219</v>
      </c>
      <c r="I778" s="9">
        <f>IF(OR($G778="",$H778=""),"",$H778-$G778)</f>
        <v>0</v>
      </c>
    </row>
    <row r="779" spans="1:9">
      <c r="A779" s="7" t="s">
        <v>46</v>
      </c>
      <c r="B779" s="7" t="s">
        <v>971</v>
      </c>
      <c r="C779" s="7" t="s">
        <v>980</v>
      </c>
      <c r="E779" s="7" t="s">
        <v>950</v>
      </c>
      <c r="F779" s="7" t="s">
        <v>114</v>
      </c>
      <c r="G779" s="8">
        <v>46219</v>
      </c>
      <c r="I779" s="9">
        <f>IF(OR($G779="",$H779=""),"",$H779-$G779)</f>
        <v>0</v>
      </c>
    </row>
    <row r="780" spans="1:9">
      <c r="A780" s="7" t="s">
        <v>46</v>
      </c>
      <c r="B780" s="7" t="s">
        <v>971</v>
      </c>
      <c r="C780" s="7" t="s">
        <v>981</v>
      </c>
      <c r="E780" s="7" t="s">
        <v>950</v>
      </c>
      <c r="F780" s="7" t="s">
        <v>114</v>
      </c>
      <c r="G780" s="8">
        <v>46219</v>
      </c>
      <c r="I780" s="9">
        <f>IF(OR($G780="",$H780=""),"",$H780-$G780)</f>
        <v>0</v>
      </c>
    </row>
    <row r="781" spans="1:9">
      <c r="A781" s="7" t="s">
        <v>46</v>
      </c>
      <c r="B781" s="7" t="s">
        <v>948</v>
      </c>
      <c r="C781" s="7" t="s">
        <v>982</v>
      </c>
      <c r="E781" s="7" t="s">
        <v>950</v>
      </c>
      <c r="F781" s="7" t="s">
        <v>114</v>
      </c>
      <c r="G781" s="8">
        <v>46219</v>
      </c>
      <c r="I781" s="9">
        <f>IF(OR($G781="",$H781=""),"",$H781-$G781)</f>
        <v>0</v>
      </c>
    </row>
    <row r="782" spans="1:9">
      <c r="A782" s="7" t="s">
        <v>46</v>
      </c>
      <c r="B782" s="7" t="s">
        <v>983</v>
      </c>
      <c r="C782" s="7" t="s">
        <v>984</v>
      </c>
      <c r="E782" s="7" t="s">
        <v>950</v>
      </c>
      <c r="F782" s="7" t="s">
        <v>114</v>
      </c>
      <c r="G782" s="8">
        <v>46219</v>
      </c>
      <c r="I782" s="9">
        <f>IF(OR($G782="",$H782=""),"",$H782-$G782)</f>
        <v>0</v>
      </c>
    </row>
    <row r="783" spans="1:9">
      <c r="A783" s="7" t="s">
        <v>46</v>
      </c>
      <c r="B783" s="7" t="s">
        <v>983</v>
      </c>
      <c r="C783" s="7" t="s">
        <v>985</v>
      </c>
      <c r="E783" s="7" t="s">
        <v>950</v>
      </c>
      <c r="F783" s="7" t="s">
        <v>114</v>
      </c>
      <c r="G783" s="8">
        <v>46219</v>
      </c>
      <c r="I783" s="9">
        <f>IF(OR($G783="",$H783=""),"",$H783-$G783)</f>
        <v>0</v>
      </c>
    </row>
    <row r="784" spans="1:9">
      <c r="A784" s="7" t="s">
        <v>46</v>
      </c>
      <c r="B784" s="7" t="s">
        <v>983</v>
      </c>
      <c r="C784" s="7" t="s">
        <v>986</v>
      </c>
      <c r="E784" s="7" t="s">
        <v>950</v>
      </c>
      <c r="F784" s="7" t="s">
        <v>114</v>
      </c>
      <c r="G784" s="8">
        <v>46219</v>
      </c>
      <c r="I784" s="9">
        <f>IF(OR($G784="",$H784=""),"",$H784-$G784)</f>
        <v>0</v>
      </c>
    </row>
    <row r="785" spans="1:9">
      <c r="A785" s="7" t="s">
        <v>46</v>
      </c>
      <c r="B785" s="7" t="s">
        <v>983</v>
      </c>
      <c r="C785" s="7" t="s">
        <v>987</v>
      </c>
      <c r="E785" s="7" t="s">
        <v>950</v>
      </c>
      <c r="F785" s="7" t="s">
        <v>114</v>
      </c>
      <c r="G785" s="8">
        <v>46219</v>
      </c>
      <c r="I785" s="9">
        <f>IF(OR($G785="",$H785=""),"",$H785-$G785)</f>
        <v>0</v>
      </c>
    </row>
    <row r="786" spans="1:9">
      <c r="A786" s="7" t="s">
        <v>46</v>
      </c>
      <c r="B786" s="7" t="s">
        <v>983</v>
      </c>
      <c r="C786" s="7" t="s">
        <v>988</v>
      </c>
      <c r="E786" s="7" t="s">
        <v>950</v>
      </c>
      <c r="F786" s="7" t="s">
        <v>114</v>
      </c>
      <c r="G786" s="8">
        <v>46219</v>
      </c>
      <c r="I786" s="9">
        <f>IF(OR($G786="",$H786=""),"",$H786-$G786)</f>
        <v>0</v>
      </c>
    </row>
    <row r="787" spans="1:9">
      <c r="A787" s="7" t="s">
        <v>46</v>
      </c>
      <c r="B787" s="7" t="s">
        <v>983</v>
      </c>
      <c r="C787" s="7" t="s">
        <v>989</v>
      </c>
      <c r="E787" s="7" t="s">
        <v>950</v>
      </c>
      <c r="F787" s="7" t="s">
        <v>114</v>
      </c>
      <c r="G787" s="8">
        <v>46219</v>
      </c>
      <c r="I787" s="9">
        <f>IF(OR($G787="",$H787=""),"",$H787-$G787)</f>
        <v>0</v>
      </c>
    </row>
    <row r="788" spans="1:9">
      <c r="A788" s="7" t="s">
        <v>46</v>
      </c>
      <c r="B788" s="7" t="s">
        <v>971</v>
      </c>
      <c r="C788" s="7" t="s">
        <v>990</v>
      </c>
      <c r="E788" s="7" t="s">
        <v>950</v>
      </c>
      <c r="F788" s="7" t="s">
        <v>114</v>
      </c>
      <c r="G788" s="8">
        <v>46219</v>
      </c>
      <c r="I788" s="9">
        <f>IF(OR($G788="",$H788=""),"",$H788-$G788)</f>
        <v>0</v>
      </c>
    </row>
    <row r="789" spans="1:9">
      <c r="A789" s="7" t="s">
        <v>46</v>
      </c>
      <c r="B789" s="7" t="s">
        <v>971</v>
      </c>
      <c r="C789" s="7" t="s">
        <v>991</v>
      </c>
      <c r="E789" s="7" t="s">
        <v>950</v>
      </c>
      <c r="F789" s="7" t="s">
        <v>114</v>
      </c>
      <c r="G789" s="8">
        <v>46219</v>
      </c>
      <c r="I789" s="9">
        <f>IF(OR($G789="",$H789=""),"",$H789-$G789)</f>
        <v>0</v>
      </c>
    </row>
    <row r="790" spans="1:9">
      <c r="A790" s="7" t="s">
        <v>46</v>
      </c>
      <c r="B790" s="7" t="s">
        <v>971</v>
      </c>
      <c r="C790" s="7" t="s">
        <v>992</v>
      </c>
      <c r="E790" s="7" t="s">
        <v>950</v>
      </c>
      <c r="F790" s="7" t="s">
        <v>114</v>
      </c>
      <c r="G790" s="8">
        <v>46219</v>
      </c>
      <c r="I790" s="9">
        <f>IF(OR($G790="",$H790=""),"",$H790-$G790)</f>
        <v>0</v>
      </c>
    </row>
    <row r="791" spans="1:9">
      <c r="A791" s="7" t="s">
        <v>46</v>
      </c>
      <c r="B791" s="7" t="s">
        <v>971</v>
      </c>
      <c r="C791" s="7" t="s">
        <v>993</v>
      </c>
      <c r="E791" s="7" t="s">
        <v>950</v>
      </c>
      <c r="F791" s="7" t="s">
        <v>114</v>
      </c>
      <c r="G791" s="8">
        <v>46219</v>
      </c>
      <c r="I791" s="9">
        <f>IF(OR($G791="",$H791=""),"",$H791-$G791)</f>
        <v>0</v>
      </c>
    </row>
    <row r="792" spans="1:9">
      <c r="A792" s="7" t="s">
        <v>46</v>
      </c>
      <c r="B792" s="7" t="s">
        <v>971</v>
      </c>
      <c r="C792" s="7" t="s">
        <v>994</v>
      </c>
      <c r="E792" s="7" t="s">
        <v>950</v>
      </c>
      <c r="F792" s="7" t="s">
        <v>114</v>
      </c>
      <c r="G792" s="8">
        <v>46219</v>
      </c>
      <c r="I792" s="9">
        <f>IF(OR($G792="",$H792=""),"",$H792-$G792)</f>
        <v>0</v>
      </c>
    </row>
    <row r="793" spans="1:9">
      <c r="A793" s="7" t="s">
        <v>46</v>
      </c>
      <c r="B793" s="7" t="s">
        <v>971</v>
      </c>
      <c r="C793" s="7" t="s">
        <v>995</v>
      </c>
      <c r="E793" s="7" t="s">
        <v>950</v>
      </c>
      <c r="F793" s="7" t="s">
        <v>114</v>
      </c>
      <c r="G793" s="8">
        <v>46219</v>
      </c>
      <c r="I793" s="9">
        <f>IF(OR($G793="",$H793=""),"",$H793-$G793)</f>
        <v>0</v>
      </c>
    </row>
    <row r="794" spans="1:9">
      <c r="A794" s="7" t="s">
        <v>46</v>
      </c>
      <c r="B794" s="7" t="s">
        <v>971</v>
      </c>
      <c r="C794" s="7" t="s">
        <v>996</v>
      </c>
      <c r="E794" s="7" t="s">
        <v>950</v>
      </c>
      <c r="F794" s="7" t="s">
        <v>114</v>
      </c>
      <c r="G794" s="8">
        <v>46219</v>
      </c>
      <c r="I794" s="9">
        <f>IF(OR($G794="",$H794=""),"",$H794-$G794)</f>
        <v>0</v>
      </c>
    </row>
    <row r="795" spans="1:9">
      <c r="A795" s="7" t="s">
        <v>46</v>
      </c>
      <c r="B795" s="7" t="s">
        <v>997</v>
      </c>
      <c r="C795" s="7" t="s">
        <v>998</v>
      </c>
      <c r="E795" s="7" t="s">
        <v>950</v>
      </c>
      <c r="F795" s="7" t="s">
        <v>114</v>
      </c>
      <c r="G795" s="8">
        <v>46219</v>
      </c>
      <c r="I795" s="9">
        <f>IF(OR($G795="",$H795=""),"",$H795-$G795)</f>
        <v>0</v>
      </c>
    </row>
    <row r="796" spans="1:9">
      <c r="A796" s="7" t="s">
        <v>46</v>
      </c>
      <c r="B796" s="7" t="s">
        <v>997</v>
      </c>
      <c r="C796" s="7" t="s">
        <v>999</v>
      </c>
      <c r="E796" s="7" t="s">
        <v>950</v>
      </c>
      <c r="F796" s="7" t="s">
        <v>114</v>
      </c>
      <c r="G796" s="8">
        <v>46219</v>
      </c>
      <c r="I796" s="9">
        <f>IF(OR($G796="",$H796=""),"",$H796-$G796)</f>
        <v>0</v>
      </c>
    </row>
    <row r="797" spans="1:9">
      <c r="A797" s="7" t="s">
        <v>46</v>
      </c>
      <c r="B797" s="7" t="s">
        <v>997</v>
      </c>
      <c r="C797" s="7" t="s">
        <v>1000</v>
      </c>
      <c r="E797" s="7" t="s">
        <v>950</v>
      </c>
      <c r="F797" s="7" t="s">
        <v>114</v>
      </c>
      <c r="G797" s="8">
        <v>46219</v>
      </c>
      <c r="I797" s="9">
        <f>IF(OR($G797="",$H797=""),"",$H797-$G797)</f>
        <v>0</v>
      </c>
    </row>
    <row r="798" spans="1:9">
      <c r="A798" s="7" t="s">
        <v>46</v>
      </c>
      <c r="B798" s="7" t="s">
        <v>997</v>
      </c>
      <c r="C798" s="7" t="s">
        <v>1001</v>
      </c>
      <c r="E798" s="7" t="s">
        <v>950</v>
      </c>
      <c r="F798" s="7" t="s">
        <v>114</v>
      </c>
      <c r="G798" s="8">
        <v>46219</v>
      </c>
      <c r="I798" s="9">
        <f>IF(OR($G798="",$H798=""),"",$H798-$G798)</f>
        <v>0</v>
      </c>
    </row>
    <row r="799" spans="1:9">
      <c r="A799" s="7" t="s">
        <v>46</v>
      </c>
      <c r="B799" s="7" t="s">
        <v>997</v>
      </c>
      <c r="C799" s="7" t="s">
        <v>1002</v>
      </c>
      <c r="E799" s="7" t="s">
        <v>950</v>
      </c>
      <c r="F799" s="7" t="s">
        <v>114</v>
      </c>
      <c r="G799" s="8">
        <v>46219</v>
      </c>
      <c r="I799" s="9">
        <f>IF(OR($G799="",$H799=""),"",$H799-$G799)</f>
        <v>0</v>
      </c>
    </row>
    <row r="800" spans="1:9">
      <c r="A800" s="7" t="s">
        <v>46</v>
      </c>
      <c r="B800" s="7" t="s">
        <v>997</v>
      </c>
      <c r="C800" s="7" t="s">
        <v>1003</v>
      </c>
      <c r="E800" s="7" t="s">
        <v>950</v>
      </c>
      <c r="F800" s="7" t="s">
        <v>114</v>
      </c>
      <c r="G800" s="8">
        <v>46219</v>
      </c>
      <c r="I800" s="9">
        <f>IF(OR($G800="",$H800=""),"",$H800-$G800)</f>
        <v>0</v>
      </c>
    </row>
    <row r="801" spans="1:9">
      <c r="A801" s="7" t="s">
        <v>46</v>
      </c>
      <c r="B801" s="7" t="s">
        <v>997</v>
      </c>
      <c r="C801" s="7" t="s">
        <v>1004</v>
      </c>
      <c r="E801" s="7" t="s">
        <v>950</v>
      </c>
      <c r="F801" s="7" t="s">
        <v>114</v>
      </c>
      <c r="G801" s="8">
        <v>46219</v>
      </c>
      <c r="I801" s="9">
        <f>IF(OR($G801="",$H801=""),"",$H801-$G801)</f>
        <v>0</v>
      </c>
    </row>
    <row r="802" spans="1:9">
      <c r="A802" s="7" t="s">
        <v>46</v>
      </c>
      <c r="B802" s="7" t="s">
        <v>997</v>
      </c>
      <c r="C802" s="7" t="s">
        <v>1005</v>
      </c>
      <c r="E802" s="7" t="s">
        <v>950</v>
      </c>
      <c r="F802" s="7" t="s">
        <v>114</v>
      </c>
      <c r="G802" s="8">
        <v>46219</v>
      </c>
      <c r="I802" s="9">
        <f>IF(OR($G802="",$H802=""),"",$H802-$G802)</f>
        <v>0</v>
      </c>
    </row>
    <row r="803" spans="1:9">
      <c r="A803" s="7" t="s">
        <v>1006</v>
      </c>
      <c r="B803" s="7" t="s">
        <v>764</v>
      </c>
      <c r="C803" s="7" t="s">
        <v>1007</v>
      </c>
      <c r="E803" s="7" t="s">
        <v>1008</v>
      </c>
      <c r="F803" s="7" t="s">
        <v>114</v>
      </c>
      <c r="G803" s="8">
        <v>46219</v>
      </c>
      <c r="I803" s="9">
        <f>IF(OR($G803="",$H803=""),"",$H803-$G803)</f>
        <v>0</v>
      </c>
    </row>
    <row r="804" spans="1:9">
      <c r="A804" s="7" t="s">
        <v>21</v>
      </c>
      <c r="B804" s="7" t="s">
        <v>217</v>
      </c>
      <c r="C804" s="7" t="s">
        <v>1009</v>
      </c>
      <c r="E804" s="7" t="s">
        <v>1010</v>
      </c>
      <c r="F804" s="7" t="s">
        <v>25</v>
      </c>
      <c r="G804" s="8">
        <v>46219</v>
      </c>
      <c r="I804" s="9">
        <f>IF(OR($G804="",$H804=""),"",$H804-$G804)</f>
        <v>0</v>
      </c>
    </row>
    <row r="805" spans="1:9">
      <c r="A805" s="7" t="s">
        <v>21</v>
      </c>
      <c r="B805" s="7" t="s">
        <v>217</v>
      </c>
      <c r="C805" s="7" t="s">
        <v>1011</v>
      </c>
      <c r="E805" s="7" t="s">
        <v>1010</v>
      </c>
      <c r="F805" s="7" t="s">
        <v>25</v>
      </c>
      <c r="G805" s="8">
        <v>46219</v>
      </c>
      <c r="I805" s="9">
        <f>IF(OR($G805="",$H805=""),"",$H805-$G805)</f>
        <v>0</v>
      </c>
    </row>
    <row r="806" spans="1:9">
      <c r="A806" s="7" t="s">
        <v>21</v>
      </c>
      <c r="B806" s="7" t="s">
        <v>217</v>
      </c>
      <c r="C806" s="7" t="s">
        <v>1012</v>
      </c>
      <c r="E806" s="7" t="s">
        <v>1010</v>
      </c>
      <c r="F806" s="7" t="s">
        <v>25</v>
      </c>
      <c r="G806" s="8">
        <v>46219</v>
      </c>
      <c r="I806" s="9">
        <f>IF(OR($G806="",$H806=""),"",$H806-$G806)</f>
        <v>0</v>
      </c>
    </row>
    <row r="807" spans="1:9">
      <c r="A807" s="7" t="s">
        <v>21</v>
      </c>
      <c r="B807" s="7" t="s">
        <v>217</v>
      </c>
      <c r="C807" s="7" t="s">
        <v>1013</v>
      </c>
      <c r="E807" s="7" t="s">
        <v>1010</v>
      </c>
      <c r="F807" s="7" t="s">
        <v>25</v>
      </c>
      <c r="G807" s="8">
        <v>46219</v>
      </c>
      <c r="I807" s="9">
        <f>IF(OR($G807="",$H807=""),"",$H807-$G807)</f>
        <v>0</v>
      </c>
    </row>
    <row r="808" spans="1:9">
      <c r="A808" s="7" t="s">
        <v>21</v>
      </c>
      <c r="B808" s="7" t="s">
        <v>217</v>
      </c>
      <c r="C808" s="7" t="s">
        <v>1014</v>
      </c>
      <c r="E808" s="7" t="s">
        <v>1010</v>
      </c>
      <c r="F808" s="7" t="s">
        <v>25</v>
      </c>
      <c r="G808" s="8">
        <v>46219</v>
      </c>
      <c r="I808" s="9">
        <f>IF(OR($G808="",$H808=""),"",$H808-$G808)</f>
        <v>0</v>
      </c>
    </row>
    <row r="809" spans="1:9">
      <c r="A809" s="7" t="s">
        <v>21</v>
      </c>
      <c r="B809" s="7" t="s">
        <v>217</v>
      </c>
      <c r="C809" s="7" t="s">
        <v>1015</v>
      </c>
      <c r="E809" s="7" t="s">
        <v>1010</v>
      </c>
      <c r="F809" s="7" t="s">
        <v>25</v>
      </c>
      <c r="G809" s="8">
        <v>46219</v>
      </c>
      <c r="I809" s="9">
        <f>IF(OR($G809="",$H809=""),"",$H809-$G809)</f>
        <v>0</v>
      </c>
    </row>
    <row r="810" spans="1:9">
      <c r="A810" s="7" t="s">
        <v>21</v>
      </c>
      <c r="B810" s="7" t="s">
        <v>217</v>
      </c>
      <c r="C810" s="7" t="s">
        <v>1016</v>
      </c>
      <c r="E810" s="7" t="s">
        <v>1010</v>
      </c>
      <c r="F810" s="7" t="s">
        <v>25</v>
      </c>
      <c r="G810" s="8">
        <v>46219</v>
      </c>
      <c r="I810" s="9">
        <f>IF(OR($G810="",$H810=""),"",$H810-$G810)</f>
        <v>0</v>
      </c>
    </row>
    <row r="811" spans="1:9">
      <c r="A811" s="7" t="s">
        <v>21</v>
      </c>
      <c r="B811" s="7" t="s">
        <v>217</v>
      </c>
      <c r="C811" s="7" t="s">
        <v>1017</v>
      </c>
      <c r="E811" s="7" t="s">
        <v>1010</v>
      </c>
      <c r="F811" s="7" t="s">
        <v>25</v>
      </c>
      <c r="G811" s="8">
        <v>46219</v>
      </c>
      <c r="I811" s="9">
        <f>IF(OR($G811="",$H811=""),"",$H811-$G811)</f>
        <v>0</v>
      </c>
    </row>
    <row r="812" spans="1:9">
      <c r="A812" s="7" t="s">
        <v>21</v>
      </c>
      <c r="B812" s="7" t="s">
        <v>217</v>
      </c>
      <c r="C812" s="7" t="s">
        <v>1018</v>
      </c>
      <c r="E812" s="7" t="s">
        <v>1010</v>
      </c>
      <c r="F812" s="7" t="s">
        <v>25</v>
      </c>
      <c r="G812" s="8">
        <v>46219</v>
      </c>
      <c r="I812" s="9">
        <f>IF(OR($G812="",$H812=""),"",$H812-$G812)</f>
        <v>0</v>
      </c>
    </row>
    <row r="813" spans="1:9">
      <c r="A813" s="7" t="s">
        <v>21</v>
      </c>
      <c r="B813" s="7" t="s">
        <v>217</v>
      </c>
      <c r="C813" s="7" t="s">
        <v>1019</v>
      </c>
      <c r="E813" s="7" t="s">
        <v>1010</v>
      </c>
      <c r="F813" s="7" t="s">
        <v>25</v>
      </c>
      <c r="G813" s="8">
        <v>46219</v>
      </c>
      <c r="I813" s="9">
        <f>IF(OR($G813="",$H813=""),"",$H813-$G813)</f>
        <v>0</v>
      </c>
    </row>
    <row r="814" spans="1:9">
      <c r="A814" s="7" t="s">
        <v>21</v>
      </c>
      <c r="B814" s="7" t="s">
        <v>217</v>
      </c>
      <c r="C814" s="7" t="s">
        <v>1020</v>
      </c>
      <c r="E814" s="7" t="s">
        <v>1010</v>
      </c>
      <c r="F814" s="7" t="s">
        <v>25</v>
      </c>
      <c r="G814" s="8">
        <v>46219</v>
      </c>
      <c r="I814" s="9">
        <f>IF(OR($G814="",$H814=""),"",$H814-$G814)</f>
        <v>0</v>
      </c>
    </row>
    <row r="815" spans="1:9">
      <c r="A815" s="7" t="s">
        <v>21</v>
      </c>
      <c r="B815" s="7" t="s">
        <v>217</v>
      </c>
      <c r="C815" s="7" t="s">
        <v>1021</v>
      </c>
      <c r="E815" s="7" t="s">
        <v>1010</v>
      </c>
      <c r="F815" s="7" t="s">
        <v>25</v>
      </c>
      <c r="G815" s="8">
        <v>46219</v>
      </c>
      <c r="I815" s="9">
        <f>IF(OR($G815="",$H815=""),"",$H815-$G815)</f>
        <v>0</v>
      </c>
    </row>
    <row r="816" spans="1:9">
      <c r="A816" s="7" t="s">
        <v>21</v>
      </c>
      <c r="B816" s="7" t="s">
        <v>217</v>
      </c>
      <c r="C816" s="7" t="s">
        <v>1022</v>
      </c>
      <c r="E816" s="7" t="s">
        <v>1010</v>
      </c>
      <c r="F816" s="7" t="s">
        <v>25</v>
      </c>
      <c r="G816" s="8">
        <v>46219</v>
      </c>
      <c r="I816" s="9">
        <f>IF(OR($G816="",$H816=""),"",$H816-$G816)</f>
        <v>0</v>
      </c>
    </row>
    <row r="817" spans="1:9">
      <c r="A817" s="7" t="s">
        <v>21</v>
      </c>
      <c r="B817" s="7" t="s">
        <v>217</v>
      </c>
      <c r="C817" s="7" t="s">
        <v>1023</v>
      </c>
      <c r="E817" s="7" t="s">
        <v>1010</v>
      </c>
      <c r="F817" s="7" t="s">
        <v>25</v>
      </c>
      <c r="G817" s="8">
        <v>46219</v>
      </c>
      <c r="I817" s="9">
        <f>IF(OR($G817="",$H817=""),"",$H817-$G817)</f>
        <v>0</v>
      </c>
    </row>
    <row r="818" spans="1:9">
      <c r="A818" s="7" t="s">
        <v>21</v>
      </c>
      <c r="B818" s="7" t="s">
        <v>217</v>
      </c>
      <c r="C818" s="7" t="s">
        <v>1024</v>
      </c>
      <c r="E818" s="7" t="s">
        <v>1010</v>
      </c>
      <c r="F818" s="7" t="s">
        <v>25</v>
      </c>
      <c r="G818" s="8">
        <v>46219</v>
      </c>
      <c r="I818" s="9">
        <f>IF(OR($G818="",$H818=""),"",$H818-$G818)</f>
        <v>0</v>
      </c>
    </row>
    <row r="819" spans="1:9">
      <c r="A819" s="7" t="s">
        <v>1025</v>
      </c>
      <c r="B819" s="7" t="s">
        <v>1026</v>
      </c>
      <c r="C819" s="7" t="s">
        <v>1027</v>
      </c>
      <c r="F819" s="7" t="s">
        <v>25</v>
      </c>
      <c r="G819" s="8">
        <v>46220</v>
      </c>
      <c r="I819" s="9">
        <f>IF(OR($G819="",$H819=""),"",$H819-$G819)</f>
        <v>0</v>
      </c>
    </row>
    <row r="820" spans="1:9">
      <c r="A820" s="7" t="s">
        <v>1025</v>
      </c>
      <c r="B820" s="7" t="s">
        <v>1026</v>
      </c>
      <c r="C820" s="7" t="s">
        <v>1028</v>
      </c>
      <c r="F820" s="7" t="s">
        <v>25</v>
      </c>
      <c r="G820" s="8">
        <v>46220</v>
      </c>
      <c r="I820" s="9">
        <f>IF(OR($G820="",$H820=""),"",$H820-$G820)</f>
        <v>0</v>
      </c>
    </row>
    <row r="821" spans="1:9">
      <c r="A821" s="7" t="s">
        <v>1025</v>
      </c>
      <c r="B821" s="7" t="s">
        <v>1026</v>
      </c>
      <c r="C821" s="7" t="s">
        <v>1029</v>
      </c>
      <c r="F821" s="7" t="s">
        <v>25</v>
      </c>
      <c r="G821" s="8">
        <v>46220</v>
      </c>
      <c r="I821" s="9">
        <f>IF(OR($G821="",$H821=""),"",$H821-$G821)</f>
        <v>0</v>
      </c>
    </row>
    <row r="822" spans="1:9">
      <c r="A822" s="7" t="s">
        <v>1025</v>
      </c>
      <c r="B822" s="7" t="s">
        <v>1026</v>
      </c>
      <c r="C822" s="7" t="s">
        <v>1030</v>
      </c>
      <c r="F822" s="7" t="s">
        <v>25</v>
      </c>
      <c r="G822" s="8">
        <v>46220</v>
      </c>
      <c r="I822" s="9">
        <f>IF(OR($G822="",$H822=""),"",$H822-$G822)</f>
        <v>0</v>
      </c>
    </row>
    <row r="823" spans="1:9">
      <c r="A823" s="7" t="s">
        <v>1025</v>
      </c>
      <c r="B823" s="7" t="s">
        <v>1031</v>
      </c>
      <c r="C823" s="7" t="s">
        <v>1032</v>
      </c>
      <c r="F823" s="7" t="s">
        <v>25</v>
      </c>
      <c r="G823" s="8">
        <v>46220</v>
      </c>
      <c r="I823" s="9">
        <f>IF(OR($G823="",$H823=""),"",$H823-$G823)</f>
        <v>0</v>
      </c>
    </row>
    <row r="824" spans="1:9">
      <c r="A824" s="7" t="s">
        <v>1025</v>
      </c>
      <c r="B824" s="7" t="s">
        <v>1031</v>
      </c>
      <c r="C824" s="7" t="s">
        <v>1033</v>
      </c>
      <c r="F824" s="7" t="s">
        <v>25</v>
      </c>
      <c r="G824" s="8">
        <v>46220</v>
      </c>
      <c r="I824" s="9">
        <f>IF(OR($G824="",$H824=""),"",$H824-$G824)</f>
        <v>0</v>
      </c>
    </row>
    <row r="825" spans="1:9">
      <c r="A825" s="7" t="s">
        <v>1025</v>
      </c>
      <c r="B825" s="7" t="s">
        <v>1031</v>
      </c>
      <c r="C825" s="7" t="s">
        <v>1034</v>
      </c>
      <c r="F825" s="7" t="s">
        <v>25</v>
      </c>
      <c r="G825" s="8">
        <v>46220</v>
      </c>
      <c r="I825" s="9">
        <f>IF(OR($G825="",$H825=""),"",$H825-$G825)</f>
        <v>0</v>
      </c>
    </row>
    <row r="826" spans="1:9">
      <c r="A826" s="7" t="s">
        <v>46</v>
      </c>
      <c r="B826" s="7" t="s">
        <v>748</v>
      </c>
      <c r="C826" s="7" t="s">
        <v>1035</v>
      </c>
      <c r="E826" s="7" t="s">
        <v>950</v>
      </c>
      <c r="F826" s="7" t="s">
        <v>86</v>
      </c>
      <c r="G826" s="8">
        <v>46227</v>
      </c>
      <c r="I826" s="9">
        <f>IF(OR($G826="",$H826=""),"",$H826-$G826)</f>
        <v>0</v>
      </c>
    </row>
    <row r="827" spans="1:9">
      <c r="A827" s="7" t="s">
        <v>46</v>
      </c>
      <c r="B827" s="7" t="s">
        <v>714</v>
      </c>
      <c r="C827" s="7" t="s">
        <v>1036</v>
      </c>
      <c r="E827" s="7" t="s">
        <v>950</v>
      </c>
      <c r="F827" s="7" t="s">
        <v>86</v>
      </c>
      <c r="G827" s="8">
        <v>46227</v>
      </c>
      <c r="I827" s="9">
        <f>IF(OR($G827="",$H827=""),"",$H827-$G827)</f>
        <v>0</v>
      </c>
    </row>
    <row r="828" spans="1:9">
      <c r="A828" s="7" t="s">
        <v>46</v>
      </c>
      <c r="B828" s="7" t="s">
        <v>714</v>
      </c>
      <c r="C828" s="7" t="s">
        <v>1037</v>
      </c>
      <c r="E828" s="7" t="s">
        <v>950</v>
      </c>
      <c r="F828" s="7" t="s">
        <v>86</v>
      </c>
      <c r="G828" s="8">
        <v>46227</v>
      </c>
      <c r="I828" s="9">
        <f>IF(OR($G828="",$H828=""),"",$H828-$G828)</f>
        <v>0</v>
      </c>
    </row>
    <row r="829" spans="1:9">
      <c r="A829" s="7" t="s">
        <v>46</v>
      </c>
      <c r="B829" s="7" t="s">
        <v>714</v>
      </c>
      <c r="C829" s="7" t="s">
        <v>1038</v>
      </c>
      <c r="E829" s="7" t="s">
        <v>950</v>
      </c>
      <c r="F829" s="7" t="s">
        <v>86</v>
      </c>
      <c r="G829" s="8">
        <v>46227</v>
      </c>
      <c r="I829" s="9">
        <f>IF(OR($G829="",$H829=""),"",$H829-$G829)</f>
        <v>0</v>
      </c>
    </row>
    <row r="830" spans="1:9">
      <c r="A830" s="7" t="s">
        <v>1039</v>
      </c>
      <c r="B830" s="7" t="s">
        <v>785</v>
      </c>
      <c r="C830" s="7" t="s">
        <v>1040</v>
      </c>
      <c r="E830" s="7" t="s">
        <v>1041</v>
      </c>
      <c r="F830" s="7" t="s">
        <v>86</v>
      </c>
      <c r="G830" s="8">
        <v>46227</v>
      </c>
      <c r="I830" s="9">
        <f>IF(OR($G830="",$H830=""),"",$H830-$G830)</f>
        <v>0</v>
      </c>
    </row>
    <row r="831" spans="1:9">
      <c r="A831" s="7" t="s">
        <v>1039</v>
      </c>
      <c r="B831" s="7" t="s">
        <v>764</v>
      </c>
      <c r="C831" s="7" t="s">
        <v>1042</v>
      </c>
      <c r="E831" s="7" t="s">
        <v>1041</v>
      </c>
      <c r="F831" s="7" t="s">
        <v>86</v>
      </c>
      <c r="G831" s="8">
        <v>46227</v>
      </c>
      <c r="I831" s="9">
        <f>IF(OR($G831="",$H831=""),"",$H831-$G831)</f>
        <v>0</v>
      </c>
    </row>
    <row r="832" spans="1:9">
      <c r="A832" s="7" t="s">
        <v>1039</v>
      </c>
      <c r="B832" s="7" t="s">
        <v>764</v>
      </c>
      <c r="C832" s="7" t="s">
        <v>1043</v>
      </c>
      <c r="E832" s="7" t="s">
        <v>1041</v>
      </c>
      <c r="F832" s="7" t="s">
        <v>86</v>
      </c>
      <c r="G832" s="8">
        <v>46227</v>
      </c>
      <c r="I832" s="9">
        <f>IF(OR($G832="",$H832=""),"",$H832-$G832)</f>
        <v>0</v>
      </c>
    </row>
    <row r="833" spans="1:9">
      <c r="A833" s="7" t="s">
        <v>1039</v>
      </c>
      <c r="B833" s="7" t="s">
        <v>764</v>
      </c>
      <c r="C833" s="7" t="s">
        <v>1044</v>
      </c>
      <c r="E833" s="7" t="s">
        <v>1041</v>
      </c>
      <c r="F833" s="7" t="s">
        <v>86</v>
      </c>
      <c r="G833" s="8">
        <v>46227</v>
      </c>
      <c r="I833" s="9">
        <f>IF(OR($G833="",$H833=""),"",$H833-$G833)</f>
        <v>0</v>
      </c>
    </row>
    <row r="834" spans="1:9">
      <c r="A834" s="7" t="s">
        <v>1039</v>
      </c>
      <c r="B834" s="7" t="s">
        <v>764</v>
      </c>
      <c r="C834" s="7" t="s">
        <v>1045</v>
      </c>
      <c r="E834" s="7" t="s">
        <v>1041</v>
      </c>
      <c r="F834" s="7" t="s">
        <v>86</v>
      </c>
      <c r="G834" s="8">
        <v>46227</v>
      </c>
      <c r="I834" s="9">
        <f>IF(OR($G834="",$H834=""),"",$H834-$G834)</f>
        <v>0</v>
      </c>
    </row>
    <row r="835" spans="1:9">
      <c r="A835" s="7" t="s">
        <v>1039</v>
      </c>
      <c r="B835" s="7" t="s">
        <v>785</v>
      </c>
      <c r="C835" s="7" t="s">
        <v>1046</v>
      </c>
      <c r="E835" s="7" t="s">
        <v>1041</v>
      </c>
      <c r="F835" s="7" t="s">
        <v>86</v>
      </c>
      <c r="G835" s="8">
        <v>46227</v>
      </c>
      <c r="I835" s="9">
        <f>IF(OR($G835="",$H835=""),"",$H835-$G835)</f>
        <v>0</v>
      </c>
    </row>
    <row r="836" spans="1:9">
      <c r="A836" s="7" t="s">
        <v>1047</v>
      </c>
      <c r="B836" s="7" t="s">
        <v>641</v>
      </c>
      <c r="C836" s="7" t="s">
        <v>1048</v>
      </c>
      <c r="E836" s="7" t="s">
        <v>1049</v>
      </c>
      <c r="F836" s="7" t="s">
        <v>25</v>
      </c>
      <c r="G836" s="8">
        <v>46231</v>
      </c>
      <c r="I836" s="9">
        <f>IF(OR($G836="",$H836=""),"",$H836-$G836)</f>
        <v>0</v>
      </c>
    </row>
    <row r="837" spans="1:9">
      <c r="A837" s="7" t="s">
        <v>1047</v>
      </c>
      <c r="B837" s="7" t="s">
        <v>641</v>
      </c>
      <c r="C837" s="7" t="s">
        <v>1050</v>
      </c>
      <c r="E837" s="7" t="s">
        <v>1049</v>
      </c>
      <c r="F837" s="7" t="s">
        <v>25</v>
      </c>
      <c r="G837" s="8">
        <v>46231</v>
      </c>
      <c r="I837" s="9">
        <f>IF(OR($G837="",$H837=""),"",$H837-$G837)</f>
        <v>0</v>
      </c>
    </row>
    <row r="838" spans="1:9">
      <c r="A838" s="7" t="s">
        <v>1047</v>
      </c>
      <c r="B838" s="7" t="s">
        <v>641</v>
      </c>
      <c r="C838" s="7" t="s">
        <v>1051</v>
      </c>
      <c r="E838" s="7" t="s">
        <v>1049</v>
      </c>
      <c r="F838" s="7" t="s">
        <v>25</v>
      </c>
      <c r="G838" s="8">
        <v>46231</v>
      </c>
      <c r="I838" s="9">
        <f>IF(OR($G838="",$H838=""),"",$H838-$G838)</f>
        <v>0</v>
      </c>
    </row>
    <row r="839" spans="1:9">
      <c r="A839" s="7" t="s">
        <v>1047</v>
      </c>
      <c r="B839" s="7" t="s">
        <v>641</v>
      </c>
      <c r="C839" s="7" t="s">
        <v>1052</v>
      </c>
      <c r="E839" s="7" t="s">
        <v>1049</v>
      </c>
      <c r="F839" s="7" t="s">
        <v>25</v>
      </c>
      <c r="G839" s="8">
        <v>46231</v>
      </c>
      <c r="I839" s="9">
        <f>IF(OR($G839="",$H839=""),"",$H839-$G839)</f>
        <v>0</v>
      </c>
    </row>
    <row r="840" spans="1:9">
      <c r="A840" s="7" t="s">
        <v>1047</v>
      </c>
      <c r="B840" s="7" t="s">
        <v>641</v>
      </c>
      <c r="C840" s="7" t="s">
        <v>1053</v>
      </c>
      <c r="E840" s="7" t="s">
        <v>1049</v>
      </c>
      <c r="F840" s="7" t="s">
        <v>25</v>
      </c>
      <c r="G840" s="8">
        <v>46231</v>
      </c>
      <c r="I840" s="9">
        <f>IF(OR($G840="",$H840=""),"",$H840-$G840)</f>
        <v>0</v>
      </c>
    </row>
    <row r="841" spans="1:9">
      <c r="A841" s="7" t="s">
        <v>1047</v>
      </c>
      <c r="B841" s="7" t="s">
        <v>641</v>
      </c>
      <c r="C841" s="7" t="s">
        <v>1054</v>
      </c>
      <c r="E841" s="7" t="s">
        <v>1049</v>
      </c>
      <c r="F841" s="7" t="s">
        <v>25</v>
      </c>
      <c r="G841" s="8">
        <v>46231</v>
      </c>
      <c r="I841" s="9">
        <f>IF(OR($G841="",$H841=""),"",$H841-$G841)</f>
        <v>0</v>
      </c>
    </row>
    <row r="842" spans="1:9">
      <c r="A842" s="7" t="s">
        <v>1047</v>
      </c>
      <c r="B842" s="7" t="s">
        <v>641</v>
      </c>
      <c r="C842" s="7" t="s">
        <v>1055</v>
      </c>
      <c r="E842" s="7" t="s">
        <v>1049</v>
      </c>
      <c r="F842" s="7" t="s">
        <v>25</v>
      </c>
      <c r="G842" s="8">
        <v>46231</v>
      </c>
      <c r="I842" s="9">
        <f>IF(OR($G842="",$H842=""),"",$H842-$G842)</f>
        <v>0</v>
      </c>
    </row>
    <row r="843" spans="1:9">
      <c r="A843" s="7" t="s">
        <v>1047</v>
      </c>
      <c r="B843" s="7" t="s">
        <v>641</v>
      </c>
      <c r="C843" s="7" t="s">
        <v>1056</v>
      </c>
      <c r="E843" s="7" t="s">
        <v>1049</v>
      </c>
      <c r="F843" s="7" t="s">
        <v>25</v>
      </c>
      <c r="G843" s="8">
        <v>46231</v>
      </c>
      <c r="I843" s="9">
        <f>IF(OR($G843="",$H843=""),"",$H843-$G843)</f>
        <v>0</v>
      </c>
    </row>
    <row r="844" spans="1:9">
      <c r="A844" s="7" t="s">
        <v>1047</v>
      </c>
      <c r="B844" s="7" t="s">
        <v>641</v>
      </c>
      <c r="C844" s="7" t="s">
        <v>1057</v>
      </c>
      <c r="E844" s="7" t="s">
        <v>1049</v>
      </c>
      <c r="F844" s="7" t="s">
        <v>25</v>
      </c>
      <c r="G844" s="8">
        <v>46231</v>
      </c>
      <c r="I844" s="9">
        <f>IF(OR($G844="",$H844=""),"",$H844-$G844)</f>
        <v>0</v>
      </c>
    </row>
    <row r="845" spans="1:9">
      <c r="A845" s="7" t="s">
        <v>1047</v>
      </c>
      <c r="B845" s="7" t="s">
        <v>641</v>
      </c>
      <c r="C845" s="7" t="s">
        <v>1058</v>
      </c>
      <c r="E845" s="7" t="s">
        <v>1049</v>
      </c>
      <c r="F845" s="7" t="s">
        <v>25</v>
      </c>
      <c r="G845" s="8">
        <v>46231</v>
      </c>
      <c r="I845" s="9">
        <f>IF(OR($G845="",$H845=""),"",$H845-$G845)</f>
        <v>0</v>
      </c>
    </row>
    <row r="846" spans="1:9">
      <c r="A846" s="7" t="s">
        <v>1047</v>
      </c>
      <c r="B846" s="7" t="s">
        <v>641</v>
      </c>
      <c r="C846" s="7" t="s">
        <v>1059</v>
      </c>
      <c r="E846" s="7" t="s">
        <v>1049</v>
      </c>
      <c r="F846" s="7" t="s">
        <v>25</v>
      </c>
      <c r="G846" s="8">
        <v>46231</v>
      </c>
      <c r="I846" s="9">
        <f>IF(OR($G846="",$H846=""),"",$H846-$G846)</f>
        <v>0</v>
      </c>
    </row>
    <row r="847" spans="1:9">
      <c r="A847" s="7" t="s">
        <v>81</v>
      </c>
      <c r="B847" s="7" t="s">
        <v>99</v>
      </c>
      <c r="C847" s="7" t="s">
        <v>1060</v>
      </c>
      <c r="E847" s="7" t="s">
        <v>84</v>
      </c>
      <c r="F847" s="7" t="s">
        <v>25</v>
      </c>
      <c r="G847" s="8">
        <v>46231</v>
      </c>
      <c r="I847" s="9">
        <f>IF(OR($G847="",$H847=""),"",$H847-$G847)</f>
        <v>0</v>
      </c>
    </row>
    <row r="848" spans="1:9">
      <c r="A848" s="7" t="s">
        <v>81</v>
      </c>
      <c r="B848" s="7" t="s">
        <v>99</v>
      </c>
      <c r="C848" s="7" t="s">
        <v>1061</v>
      </c>
      <c r="E848" s="7" t="s">
        <v>84</v>
      </c>
      <c r="F848" s="7" t="s">
        <v>25</v>
      </c>
      <c r="G848" s="8">
        <v>46231</v>
      </c>
      <c r="I848" s="9">
        <f>IF(OR($G848="",$H848=""),"",$H848-$G848)</f>
        <v>0</v>
      </c>
    </row>
    <row r="849" spans="1:9">
      <c r="A849" s="7" t="s">
        <v>81</v>
      </c>
      <c r="B849" s="7" t="s">
        <v>99</v>
      </c>
      <c r="C849" s="7" t="s">
        <v>1062</v>
      </c>
      <c r="E849" s="7" t="s">
        <v>84</v>
      </c>
      <c r="F849" s="7" t="s">
        <v>25</v>
      </c>
      <c r="G849" s="8">
        <v>46231</v>
      </c>
      <c r="I849" s="9">
        <f>IF(OR($G849="",$H849=""),"",$H849-$G849)</f>
        <v>0</v>
      </c>
    </row>
    <row r="850" spans="1:9">
      <c r="A850" s="7" t="s">
        <v>81</v>
      </c>
      <c r="B850" s="7" t="s">
        <v>99</v>
      </c>
      <c r="C850" s="7" t="s">
        <v>1063</v>
      </c>
      <c r="E850" s="7" t="s">
        <v>84</v>
      </c>
      <c r="F850" s="7" t="s">
        <v>25</v>
      </c>
      <c r="G850" s="8">
        <v>46231</v>
      </c>
      <c r="I850" s="9">
        <f>IF(OR($G850="",$H850=""),"",$H850-$G850)</f>
        <v>0</v>
      </c>
    </row>
    <row r="851" spans="1:9">
      <c r="A851" s="7" t="s">
        <v>81</v>
      </c>
      <c r="B851" s="7" t="s">
        <v>99</v>
      </c>
      <c r="C851" s="7" t="s">
        <v>1064</v>
      </c>
      <c r="E851" s="7" t="s">
        <v>84</v>
      </c>
      <c r="F851" s="7" t="s">
        <v>25</v>
      </c>
      <c r="G851" s="8">
        <v>46231</v>
      </c>
      <c r="I851" s="9">
        <f>IF(OR($G851="",$H851=""),"",$H851-$G851)</f>
        <v>0</v>
      </c>
    </row>
    <row r="852" spans="1:9">
      <c r="A852" s="7" t="s">
        <v>81</v>
      </c>
      <c r="B852" s="7" t="s">
        <v>99</v>
      </c>
      <c r="C852" s="7" t="s">
        <v>1065</v>
      </c>
      <c r="E852" s="7" t="s">
        <v>84</v>
      </c>
      <c r="F852" s="7" t="s">
        <v>25</v>
      </c>
      <c r="G852" s="8">
        <v>46231</v>
      </c>
      <c r="I852" s="9">
        <f>IF(OR($G852="",$H852=""),"",$H852-$G852)</f>
        <v>0</v>
      </c>
    </row>
    <row r="853" spans="1:9">
      <c r="A853" s="7" t="s">
        <v>81</v>
      </c>
      <c r="B853" s="7" t="s">
        <v>99</v>
      </c>
      <c r="C853" s="7" t="s">
        <v>1066</v>
      </c>
      <c r="E853" s="7" t="s">
        <v>84</v>
      </c>
      <c r="F853" s="7" t="s">
        <v>25</v>
      </c>
      <c r="G853" s="8">
        <v>46231</v>
      </c>
      <c r="I853" s="9">
        <f>IF(OR($G853="",$H853=""),"",$H853-$G853)</f>
        <v>0</v>
      </c>
    </row>
    <row r="854" spans="1:9">
      <c r="A854" s="7" t="s">
        <v>81</v>
      </c>
      <c r="B854" s="7" t="s">
        <v>99</v>
      </c>
      <c r="C854" s="7" t="s">
        <v>1067</v>
      </c>
      <c r="E854" s="7" t="s">
        <v>84</v>
      </c>
      <c r="F854" s="7" t="s">
        <v>25</v>
      </c>
      <c r="G854" s="8">
        <v>46231</v>
      </c>
      <c r="I854" s="9">
        <f>IF(OR($G854="",$H854=""),"",$H854-$G854)</f>
        <v>0</v>
      </c>
    </row>
    <row r="855" spans="1:9">
      <c r="A855" s="7" t="s">
        <v>81</v>
      </c>
      <c r="B855" s="7" t="s">
        <v>99</v>
      </c>
      <c r="C855" s="7" t="s">
        <v>1068</v>
      </c>
      <c r="E855" s="7" t="s">
        <v>84</v>
      </c>
      <c r="F855" s="7" t="s">
        <v>25</v>
      </c>
      <c r="G855" s="8">
        <v>46231</v>
      </c>
      <c r="I855" s="9">
        <f>IF(OR($G855="",$H855=""),"",$H855-$G855)</f>
        <v>0</v>
      </c>
    </row>
    <row r="856" spans="1:9">
      <c r="A856" s="7" t="s">
        <v>81</v>
      </c>
      <c r="B856" s="7" t="s">
        <v>99</v>
      </c>
      <c r="C856" s="7" t="s">
        <v>1069</v>
      </c>
      <c r="E856" s="7" t="s">
        <v>84</v>
      </c>
      <c r="F856" s="7" t="s">
        <v>25</v>
      </c>
      <c r="G856" s="8">
        <v>46231</v>
      </c>
      <c r="I856" s="9">
        <f>IF(OR($G856="",$H856=""),"",$H856-$G856)</f>
        <v>0</v>
      </c>
    </row>
    <row r="857" spans="1:9">
      <c r="A857" s="7" t="s">
        <v>81</v>
      </c>
      <c r="B857" s="7" t="s">
        <v>99</v>
      </c>
      <c r="C857" s="7" t="s">
        <v>1070</v>
      </c>
      <c r="E857" s="7" t="s">
        <v>84</v>
      </c>
      <c r="F857" s="7" t="s">
        <v>25</v>
      </c>
      <c r="G857" s="8">
        <v>46231</v>
      </c>
      <c r="I857" s="9">
        <f>IF(OR($G857="",$H857=""),"",$H857-$G857)</f>
        <v>0</v>
      </c>
    </row>
    <row r="858" spans="1:9">
      <c r="A858" s="7" t="s">
        <v>81</v>
      </c>
      <c r="B858" s="7" t="s">
        <v>99</v>
      </c>
      <c r="C858" s="7" t="s">
        <v>1071</v>
      </c>
      <c r="E858" s="7" t="s">
        <v>84</v>
      </c>
      <c r="F858" s="7" t="s">
        <v>25</v>
      </c>
      <c r="G858" s="8">
        <v>46231</v>
      </c>
      <c r="I858" s="9">
        <f>IF(OR($G858="",$H858=""),"",$H858-$G858)</f>
        <v>0</v>
      </c>
    </row>
    <row r="859" spans="1:9">
      <c r="A859" s="7" t="s">
        <v>81</v>
      </c>
      <c r="B859" s="7" t="s">
        <v>99</v>
      </c>
      <c r="C859" s="7" t="s">
        <v>1072</v>
      </c>
      <c r="E859" s="7" t="s">
        <v>84</v>
      </c>
      <c r="F859" s="7" t="s">
        <v>25</v>
      </c>
      <c r="G859" s="8">
        <v>46231</v>
      </c>
      <c r="I859" s="9">
        <f>IF(OR($G859="",$H859=""),"",$H859-$G859)</f>
        <v>0</v>
      </c>
    </row>
    <row r="860" spans="1:9">
      <c r="A860" s="7" t="s">
        <v>81</v>
      </c>
      <c r="B860" s="7" t="s">
        <v>99</v>
      </c>
      <c r="C860" s="7" t="s">
        <v>1073</v>
      </c>
      <c r="E860" s="7" t="s">
        <v>84</v>
      </c>
      <c r="F860" s="7" t="s">
        <v>25</v>
      </c>
      <c r="G860" s="8">
        <v>46231</v>
      </c>
      <c r="I860" s="9">
        <f>IF(OR($G860="",$H860=""),"",$H860-$G860)</f>
        <v>0</v>
      </c>
    </row>
    <row r="861" spans="1:9">
      <c r="A861" s="7" t="s">
        <v>81</v>
      </c>
      <c r="B861" s="7" t="s">
        <v>99</v>
      </c>
      <c r="C861" s="7" t="s">
        <v>1074</v>
      </c>
      <c r="E861" s="7" t="s">
        <v>84</v>
      </c>
      <c r="F861" s="7" t="s">
        <v>25</v>
      </c>
      <c r="G861" s="8">
        <v>46231</v>
      </c>
      <c r="I861" s="9">
        <f>IF(OR($G861="",$H861=""),"",$H861-$G861)</f>
        <v>0</v>
      </c>
    </row>
    <row r="862" spans="1:9">
      <c r="A862" s="7" t="s">
        <v>81</v>
      </c>
      <c r="B862" s="7" t="s">
        <v>99</v>
      </c>
      <c r="C862" s="7" t="s">
        <v>1075</v>
      </c>
      <c r="E862" s="7" t="s">
        <v>84</v>
      </c>
      <c r="F862" s="7" t="s">
        <v>25</v>
      </c>
      <c r="G862" s="8">
        <v>46231</v>
      </c>
      <c r="I862" s="9">
        <f>IF(OR($G862="",$H862=""),"",$H862-$G862)</f>
        <v>0</v>
      </c>
    </row>
    <row r="863" spans="1:9">
      <c r="A863" s="7" t="s">
        <v>81</v>
      </c>
      <c r="B863" s="7" t="s">
        <v>99</v>
      </c>
      <c r="C863" s="7" t="s">
        <v>1076</v>
      </c>
      <c r="E863" s="7" t="s">
        <v>84</v>
      </c>
      <c r="F863" s="7" t="s">
        <v>25</v>
      </c>
      <c r="G863" s="8">
        <v>46231</v>
      </c>
      <c r="I863" s="9">
        <f>IF(OR($G863="",$H863=""),"",$H863-$G863)</f>
        <v>0</v>
      </c>
    </row>
    <row r="864" spans="1:9">
      <c r="A864" s="7" t="s">
        <v>81</v>
      </c>
      <c r="B864" s="7" t="s">
        <v>99</v>
      </c>
      <c r="C864" s="7" t="s">
        <v>1077</v>
      </c>
      <c r="E864" s="7" t="s">
        <v>84</v>
      </c>
      <c r="F864" s="7" t="s">
        <v>25</v>
      </c>
      <c r="G864" s="8">
        <v>46231</v>
      </c>
      <c r="I864" s="9">
        <f>IF(OR($G864="",$H864=""),"",$H864-$G864)</f>
        <v>0</v>
      </c>
    </row>
    <row r="865" spans="1:9">
      <c r="A865" s="7" t="s">
        <v>81</v>
      </c>
      <c r="B865" s="7" t="s">
        <v>99</v>
      </c>
      <c r="C865" s="7" t="s">
        <v>1078</v>
      </c>
      <c r="E865" s="7" t="s">
        <v>84</v>
      </c>
      <c r="F865" s="7" t="s">
        <v>25</v>
      </c>
      <c r="G865" s="8">
        <v>46231</v>
      </c>
      <c r="I865" s="9">
        <f>IF(OR($G865="",$H865=""),"",$H865-$G865)</f>
        <v>0</v>
      </c>
    </row>
    <row r="866" spans="1:9">
      <c r="A866" s="7" t="s">
        <v>81</v>
      </c>
      <c r="B866" s="7" t="s">
        <v>99</v>
      </c>
      <c r="C866" s="7" t="s">
        <v>1079</v>
      </c>
      <c r="E866" s="7" t="s">
        <v>84</v>
      </c>
      <c r="F866" s="7" t="s">
        <v>25</v>
      </c>
      <c r="G866" s="8">
        <v>46231</v>
      </c>
      <c r="I866" s="9">
        <f>IF(OR($G866="",$H866=""),"",$H866-$G866)</f>
        <v>0</v>
      </c>
    </row>
    <row r="867" spans="1:9">
      <c r="A867" s="7" t="s">
        <v>46</v>
      </c>
      <c r="B867" s="7" t="s">
        <v>611</v>
      </c>
      <c r="C867" s="7" t="s">
        <v>1080</v>
      </c>
      <c r="E867" s="7" t="s">
        <v>613</v>
      </c>
      <c r="F867" s="7" t="s">
        <v>25</v>
      </c>
      <c r="G867" s="8">
        <v>46219</v>
      </c>
      <c r="I867" s="9">
        <f>IF(OR($G867="",$H867=""),"",$H867-$G867)</f>
        <v>0</v>
      </c>
    </row>
    <row r="868" spans="1:9">
      <c r="A868" s="7" t="s">
        <v>46</v>
      </c>
      <c r="B868" s="7" t="s">
        <v>611</v>
      </c>
      <c r="C868" s="7" t="s">
        <v>1081</v>
      </c>
      <c r="E868" s="7" t="s">
        <v>613</v>
      </c>
      <c r="F868" s="7" t="s">
        <v>25</v>
      </c>
      <c r="G868" s="8">
        <v>46219</v>
      </c>
      <c r="I868" s="9">
        <f>IF(OR($G868="",$H868=""),"",$H868-$G868)</f>
        <v>0</v>
      </c>
    </row>
    <row r="869" spans="1:9">
      <c r="A869" s="7" t="s">
        <v>46</v>
      </c>
      <c r="B869" s="7" t="s">
        <v>611</v>
      </c>
      <c r="C869" s="7" t="s">
        <v>1082</v>
      </c>
      <c r="E869" s="7" t="s">
        <v>613</v>
      </c>
      <c r="F869" s="7" t="s">
        <v>25</v>
      </c>
      <c r="G869" s="8">
        <v>46219</v>
      </c>
      <c r="I869" s="9">
        <f>IF(OR($G869="",$H869=""),"",$H869-$G869)</f>
        <v>0</v>
      </c>
    </row>
    <row r="870" spans="1:9">
      <c r="A870" s="7" t="s">
        <v>1039</v>
      </c>
      <c r="B870" s="7" t="s">
        <v>785</v>
      </c>
      <c r="C870" s="7" t="s">
        <v>76</v>
      </c>
      <c r="E870" s="7" t="s">
        <v>1041</v>
      </c>
      <c r="F870" s="7" t="s">
        <v>86</v>
      </c>
      <c r="G870" s="8">
        <v>46227</v>
      </c>
      <c r="I870" s="9">
        <f>IF(OR($G870="",$H870=""),"",$H870-$G870)</f>
        <v>0</v>
      </c>
    </row>
    <row r="871" spans="1:9">
      <c r="A871" s="7" t="s">
        <v>1039</v>
      </c>
      <c r="B871" s="7" t="s">
        <v>764</v>
      </c>
      <c r="C871" s="7" t="s">
        <v>1083</v>
      </c>
      <c r="E871" s="7" t="s">
        <v>1041</v>
      </c>
      <c r="F871" s="7" t="s">
        <v>86</v>
      </c>
      <c r="G871" s="8">
        <v>46227</v>
      </c>
      <c r="I871" s="9">
        <f>IF(OR($G871="",$H871=""),"",$H871-$G871)</f>
        <v>0</v>
      </c>
    </row>
    <row r="872" spans="1:9">
      <c r="A872" s="7" t="s">
        <v>1039</v>
      </c>
      <c r="B872" s="7" t="s">
        <v>757</v>
      </c>
      <c r="C872" s="7" t="s">
        <v>1084</v>
      </c>
      <c r="E872" s="7" t="s">
        <v>1041</v>
      </c>
      <c r="F872" s="7" t="s">
        <v>86</v>
      </c>
      <c r="G872" s="8">
        <v>46227</v>
      </c>
      <c r="I872" s="9">
        <f>IF(OR($G872="",$H872=""),"",$H872-$G872)</f>
        <v>0</v>
      </c>
    </row>
    <row r="873" spans="1:9">
      <c r="A873" s="7" t="s">
        <v>1039</v>
      </c>
      <c r="B873" s="7" t="s">
        <v>764</v>
      </c>
      <c r="C873" s="7" t="s">
        <v>1085</v>
      </c>
      <c r="E873" s="7" t="s">
        <v>1041</v>
      </c>
      <c r="F873" s="7" t="s">
        <v>86</v>
      </c>
      <c r="G873" s="8">
        <v>46227</v>
      </c>
      <c r="I873" s="9">
        <f>IF(OR($G873="",$H873=""),"",$H873-$G873)</f>
        <v>0</v>
      </c>
    </row>
    <row r="874" spans="1:9">
      <c r="A874" s="7" t="s">
        <v>1039</v>
      </c>
      <c r="B874" s="7" t="s">
        <v>764</v>
      </c>
      <c r="C874" s="7" t="s">
        <v>1086</v>
      </c>
      <c r="E874" s="7" t="s">
        <v>1041</v>
      </c>
      <c r="F874" s="7" t="s">
        <v>86</v>
      </c>
      <c r="G874" s="8">
        <v>46227</v>
      </c>
      <c r="I874" s="9">
        <f>IF(OR($G874="",$H874=""),"",$H874-$G874)</f>
        <v>0</v>
      </c>
    </row>
    <row r="875" spans="1:9">
      <c r="A875" s="7" t="s">
        <v>110</v>
      </c>
      <c r="B875" s="7" t="s">
        <v>111</v>
      </c>
      <c r="C875" s="7" t="s">
        <v>1087</v>
      </c>
      <c r="E875" s="7" t="s">
        <v>113</v>
      </c>
      <c r="F875" s="7" t="s">
        <v>25</v>
      </c>
      <c r="G875" s="8">
        <v>46233</v>
      </c>
      <c r="I875" s="9">
        <f>IF(OR($G875="",$H875=""),"",$H875-$G875)</f>
        <v>0</v>
      </c>
    </row>
  </sheetData>
  <autoFilter ref="A8:J3000"/>
  <mergeCells count="2">
    <mergeCell ref="A1:I1"/>
    <mergeCell ref="A3:J3"/>
  </mergeCells>
  <conditionalFormatting sqref="A9:J875">
    <cfRule type="expression" dxfId="2" priority="2">
      <formula>MOD(ROW(),2)=0</formula>
    </cfRule>
  </conditionalFormatting>
  <conditionalFormatting sqref="C9:C3000">
    <cfRule type="duplicateValues" dxfId="0" priority="1"/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E5">
      <formula1>Listy!$B$2:$B$33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1565C0"/>
  </sheetPr>
  <dimension ref="A1:H25"/>
  <sheetViews>
    <sheetView showGridLines="0" workbookViewId="0"/>
  </sheetViews>
  <sheetFormatPr defaultRowHeight="15"/>
  <cols>
    <col min="1" max="1" width="3.7109375" customWidth="1"/>
    <col min="2" max="2" width="24.7109375" customWidth="1"/>
    <col min="3" max="3" width="26.7109375" customWidth="1"/>
    <col min="4" max="4" width="30.7109375" customWidth="1"/>
    <col min="5" max="5" width="4.7109375" customWidth="1"/>
    <col min="6" max="6" width="26.7109375" customWidth="1"/>
    <col min="7" max="8" width="14.7109375" customWidth="1"/>
  </cols>
  <sheetData>
    <row r="1" spans="1:8" ht="40" customHeight="1">
      <c r="A1" s="1" t="s">
        <v>1088</v>
      </c>
      <c r="B1" s="1"/>
      <c r="C1" s="1"/>
      <c r="D1" s="1"/>
      <c r="E1" s="1"/>
      <c r="F1" s="1"/>
      <c r="G1" s="1"/>
      <c r="H1" s="2" t="s">
        <v>1</v>
      </c>
    </row>
    <row r="4" spans="1:8">
      <c r="B4" s="10" t="s">
        <v>1089</v>
      </c>
      <c r="F4" s="10" t="s">
        <v>1093</v>
      </c>
    </row>
    <row r="5" spans="1:8" ht="22" customHeight="1">
      <c r="B5" s="24" t="s">
        <v>1090</v>
      </c>
      <c r="C5" s="12"/>
      <c r="F5" s="12"/>
    </row>
    <row r="6" spans="1:8" ht="22" customHeight="1">
      <c r="B6" s="24" t="s">
        <v>1091</v>
      </c>
      <c r="C6" s="12"/>
      <c r="F6" s="6" t="s">
        <v>1094</v>
      </c>
      <c r="G6" s="6" t="s">
        <v>1095</v>
      </c>
    </row>
    <row r="7" spans="1:8" ht="22" customHeight="1">
      <c r="B7" s="24" t="s">
        <v>131</v>
      </c>
      <c r="C7" s="13"/>
      <c r="D7" s="6" t="s">
        <v>1092</v>
      </c>
      <c r="F7" s="7">
        <f>IF($F$5="","",IFERROR(INDEX(Listy!$F$2:$F$2993,MATCH(1,Listy!$H$2:$H$2993,0)),""))</f>
        <v>0</v>
      </c>
      <c r="G7" s="7">
        <f>IF($F$5="","",IFERROR(INDEX(Listy!$G$2:$G$2993,MATCH(1,Listy!$I$2:$I$2993,0)),""))</f>
        <v>0</v>
      </c>
    </row>
    <row r="8" spans="1:8">
      <c r="F8" s="7">
        <f>IF($F$5="","",IFERROR(INDEX(Listy!$F$2:$F$2993,MATCH(2,Listy!$H$2:$H$2993,0)),""))</f>
        <v>0</v>
      </c>
      <c r="G8" s="7">
        <f>IF($F$5="","",IFERROR(INDEX(Listy!$G$2:$G$2993,MATCH(2,Listy!$I$2:$I$2993,0)),""))</f>
        <v>0</v>
      </c>
    </row>
    <row r="9" spans="1:8" ht="40" customHeight="1">
      <c r="F9" s="7">
        <f>IF($F$5="","",IFERROR(INDEX(Listy!$F$2:$F$2993,MATCH(3,Listy!$H$2:$H$2993,0)),""))</f>
        <v>0</v>
      </c>
      <c r="G9" s="7">
        <f>IF($F$5="","",IFERROR(INDEX(Listy!$G$2:$G$2993,MATCH(3,Listy!$I$2:$I$2993,0)),""))</f>
        <v>0</v>
      </c>
    </row>
    <row r="10" spans="1:8">
      <c r="F10" s="7">
        <f>IF($F$5="","",IFERROR(INDEX(Listy!$F$2:$F$2993,MATCH(4,Listy!$H$2:$H$2993,0)),""))</f>
        <v>0</v>
      </c>
      <c r="G10" s="7">
        <f>IF($F$5="","",IFERROR(INDEX(Listy!$G$2:$G$2993,MATCH(4,Listy!$I$2:$I$2993,0)),""))</f>
        <v>0</v>
      </c>
    </row>
    <row r="11" spans="1:8">
      <c r="F11" s="7">
        <f>IF($F$5="","",IFERROR(INDEX(Listy!$F$2:$F$2993,MATCH(5,Listy!$H$2:$H$2993,0)),""))</f>
        <v>0</v>
      </c>
      <c r="G11" s="7">
        <f>IF($F$5="","",IFERROR(INDEX(Listy!$G$2:$G$2993,MATCH(5,Listy!$I$2:$I$2993,0)),""))</f>
        <v>0</v>
      </c>
    </row>
    <row r="12" spans="1:8">
      <c r="B12" s="25" t="s">
        <v>1096</v>
      </c>
    </row>
    <row r="13" spans="1:8">
      <c r="B13" s="24" t="s">
        <v>10</v>
      </c>
      <c r="C13" s="7">
        <f>IF($C$5="","",IFERROR(INDEX('W rejestracji'!$A$9:$A$3000,MATCH($C$5,'W rejestracji'!$C$9:$C$3000,0)),IFERROR(INDEX(Zarejestrowane!$A$9:$A$3000,MATCH($C$5,Zarejestrowane!$C$9:$C$3000,0)),"nie znaleziono")))</f>
        <v>0</v>
      </c>
    </row>
    <row r="14" spans="1:8">
      <c r="B14" s="24" t="s">
        <v>11</v>
      </c>
      <c r="C14" s="7">
        <f>IF($C$5="","",IFERROR(INDEX('W rejestracji'!$B$9:$B$3000,MATCH($C$5,'W rejestracji'!$C$9:$C$3000,0)),IFERROR(INDEX(Zarejestrowane!$B$9:$B$3000,MATCH($C$5,Zarejestrowane!$C$9:$C$3000,0)),"nie znaleziono")))</f>
        <v>0</v>
      </c>
    </row>
    <row r="15" spans="1:8">
      <c r="B15" s="24" t="s">
        <v>13</v>
      </c>
      <c r="C15" s="7">
        <f>IF($C$5="","",IFERROR(INDEX('W rejestracji'!$D$9:$D$3000,MATCH($C$5,'W rejestracji'!$C$9:$C$3000,0)),IFERROR(INDEX(Zarejestrowane!$E$9:$E$3000,MATCH($C$5,Zarejestrowane!$C$9:$C$3000,0)),"nie znaleziono")))</f>
        <v>0</v>
      </c>
    </row>
    <row r="16" spans="1:8">
      <c r="B16" s="24" t="s">
        <v>15</v>
      </c>
      <c r="C16" s="7">
        <f>IF($C$5="","",IFERROR(INDEX('W rejestracji'!$F$9:$F$3000,MATCH($C$5,'W rejestracji'!$C$9:$C$3000,0)),IFERROR(INDEX(Zarejestrowane!$F$9:$F$3000,MATCH($C$5,Zarejestrowane!$C$9:$C$3000,0)),"nie znaleziono")))</f>
        <v>0</v>
      </c>
    </row>
    <row r="17" spans="2:4">
      <c r="B17" s="24" t="s">
        <v>1097</v>
      </c>
      <c r="C17" s="8">
        <f>IF($C$5="","",IFERROR(INDEX('W rejestracji'!$G$9:$G$3000,MATCH($C$5,'W rejestracji'!$C$9:$C$3000,0)),IFERROR(INDEX(Zarejestrowane!$G$9:$G$3000,MATCH($C$5,Zarejestrowane!$C$9:$C$3000,0)),"")))</f>
        <v>0</v>
      </c>
    </row>
    <row r="18" spans="2:4">
      <c r="B18" s="24" t="s">
        <v>1098</v>
      </c>
      <c r="C18" s="9">
        <f>IF($C$5="","",IFERROR(TODAY()-INDEX('W rejestracji'!$G$9:$G$3000,MATCH($C$5,'W rejestracji'!$C$9:$C$3000,0)),""))</f>
        <v>0</v>
      </c>
    </row>
    <row r="19" spans="2:4">
      <c r="B19" s="24" t="s">
        <v>1099</v>
      </c>
      <c r="C19" s="7">
        <f>IF($C$5="","",IFERROR(INDEX(Zarejestrowane!$D$9:$D$3000,MATCH($C$5,Zarejestrowane!$C$9:$C$3000,0)),"—"))</f>
        <v>0</v>
      </c>
    </row>
    <row r="21" spans="2:4">
      <c r="B21" s="6" t="s">
        <v>1100</v>
      </c>
      <c r="C21" s="6"/>
      <c r="D21" s="6"/>
    </row>
    <row r="22" spans="2:4">
      <c r="B22" s="6"/>
      <c r="C22" s="6"/>
      <c r="D22" s="6"/>
    </row>
    <row r="23" spans="2:4">
      <c r="B23" s="6"/>
      <c r="C23" s="6"/>
      <c r="D23" s="6"/>
    </row>
    <row r="24" spans="2:4">
      <c r="B24" s="6"/>
      <c r="C24" s="6"/>
      <c r="D24" s="6"/>
    </row>
    <row r="25" spans="2:4">
      <c r="B25" s="6"/>
      <c r="C25" s="6"/>
      <c r="D25" s="6"/>
    </row>
  </sheetData>
  <mergeCells count="2">
    <mergeCell ref="A1:G1"/>
    <mergeCell ref="B21:D25"/>
  </mergeCells>
  <dataValidations count="2">
    <dataValidation type="list" allowBlank="1" showInputMessage="1" sqref="C5">
      <formula1>'W rejestracji'!$C$9:$C$3000</formula1>
    </dataValidation>
    <dataValidation type="list" allowBlank="1" showInputMessage="1" promptTitle="Data rejestracji" prompt="Wybierz z listy (31 dni wstecz) albo wpisz RRRR-MM-DD." sqref="C7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616161"/>
  </sheetPr>
  <dimension ref="A1:O38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3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</cols>
  <sheetData>
    <row r="1" spans="1:15" ht="40" customHeight="1">
      <c r="A1" s="1" t="s">
        <v>1101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3" spans="1:15" ht="22" customHeight="1">
      <c r="B3" s="26" t="s">
        <v>1102</v>
      </c>
      <c r="C3" s="26"/>
      <c r="E3" s="26" t="s">
        <v>1110</v>
      </c>
      <c r="F3" s="26"/>
      <c r="G3" s="26"/>
      <c r="I3" s="26" t="s">
        <v>1116</v>
      </c>
      <c r="J3" s="26"/>
      <c r="K3" s="26"/>
      <c r="M3" s="26" t="s">
        <v>1117</v>
      </c>
      <c r="N3" s="26"/>
      <c r="O3" s="26"/>
    </row>
    <row r="4" spans="1:15">
      <c r="B4" s="27" t="s">
        <v>1103</v>
      </c>
      <c r="C4" s="28">
        <f>SUMPRODUCT(--(('W rejestracji'!$A$9:$A$3000&amp;'W rejestracji'!$C$9:$C$3000)&lt;&gt;""))</f>
        <v>0</v>
      </c>
      <c r="E4" s="15" t="s">
        <v>1111</v>
      </c>
      <c r="F4" s="15" t="s">
        <v>1112</v>
      </c>
      <c r="G4" s="15" t="s">
        <v>1113</v>
      </c>
      <c r="I4" s="15" t="s">
        <v>1111</v>
      </c>
      <c r="J4" s="15" t="s">
        <v>1112</v>
      </c>
      <c r="K4" s="15" t="s">
        <v>1113</v>
      </c>
      <c r="M4" s="15" t="s">
        <v>1111</v>
      </c>
      <c r="N4" s="15" t="s">
        <v>1112</v>
      </c>
      <c r="O4" s="15" t="s">
        <v>1113</v>
      </c>
    </row>
    <row r="5" spans="1:15">
      <c r="B5" s="27" t="s">
        <v>1104</v>
      </c>
      <c r="C5" s="28">
        <f>SUMPRODUCT(--((Zarejestrowane!$A$9:$A$3000&amp;Zarejestrowane!$C$9:$C$3000)&lt;&gt;""))</f>
        <v>0</v>
      </c>
      <c r="E5" s="27" t="s">
        <v>471</v>
      </c>
      <c r="F5" s="29">
        <f>COUNTIF('W rejestracji'!$F$9:$F$3000,E5)</f>
        <v>0</v>
      </c>
      <c r="G5" s="29">
        <f>COUNTIF(Zarejestrowane!$F$9:$F$3000,E5)</f>
        <v>0</v>
      </c>
      <c r="I5" s="27" t="s">
        <v>560</v>
      </c>
      <c r="J5" s="29">
        <f>COUNTIF('W rejestracji'!$A$9:$A$3000,I5)</f>
        <v>0</v>
      </c>
      <c r="K5" s="29">
        <f>COUNTIF(Zarejestrowane!$A$9:$A$3000,I5)</f>
        <v>0</v>
      </c>
      <c r="M5" s="27" t="s">
        <v>113</v>
      </c>
      <c r="N5" s="29">
        <f>COUNTIF('W rejestracji'!$D$9:$D$3000,M5)</f>
        <v>0</v>
      </c>
      <c r="O5" s="29">
        <f>COUNTIF(Zarejestrowane!$E$9:$E$3000,M5)</f>
        <v>0</v>
      </c>
    </row>
    <row r="6" spans="1:15">
      <c r="B6" s="27" t="s">
        <v>1105</v>
      </c>
      <c r="C6" s="28">
        <f>IF(COUNT(Zarejestrowane!$I$9:$I$3000)=0,"—",ROUND(AVERAGE(Zarejestrowane!$I$9:$I$3000),1))</f>
        <v>0</v>
      </c>
      <c r="E6" s="27" t="s">
        <v>352</v>
      </c>
      <c r="F6" s="29">
        <f>COUNTIF('W rejestracji'!$F$9:$F$3000,E6)</f>
        <v>0</v>
      </c>
      <c r="G6" s="29">
        <f>COUNTIF(Zarejestrowane!$F$9:$F$3000,E6)</f>
        <v>0</v>
      </c>
      <c r="I6" s="27" t="s">
        <v>46</v>
      </c>
      <c r="J6" s="29">
        <f>COUNTIF('W rejestracji'!$A$9:$A$3000,I6)</f>
        <v>0</v>
      </c>
      <c r="K6" s="29">
        <f>COUNTIF(Zarejestrowane!$A$9:$A$3000,I6)</f>
        <v>0</v>
      </c>
      <c r="M6" s="27" t="s">
        <v>387</v>
      </c>
      <c r="N6" s="29">
        <f>COUNTIF('W rejestracji'!$D$9:$D$3000,M6)</f>
        <v>0</v>
      </c>
      <c r="O6" s="29">
        <f>COUNTIF(Zarejestrowane!$E$9:$E$3000,M6)</f>
        <v>0</v>
      </c>
    </row>
    <row r="7" spans="1:15">
      <c r="B7" s="27" t="s">
        <v>1106</v>
      </c>
      <c r="C7" s="28">
        <f>IF(COUNT(Zarejestrowane!$I$9:$I$3000)=0,"—",MAX(Zarejestrowane!$I$9:$I$3000))</f>
        <v>0</v>
      </c>
      <c r="E7" s="27" t="s">
        <v>114</v>
      </c>
      <c r="F7" s="29">
        <f>COUNTIF('W rejestracji'!$F$9:$F$3000,E7)</f>
        <v>0</v>
      </c>
      <c r="G7" s="29">
        <f>COUNTIF(Zarejestrowane!$F$9:$F$3000,E7)</f>
        <v>0</v>
      </c>
      <c r="I7" s="27" t="s">
        <v>575</v>
      </c>
      <c r="J7" s="29">
        <f>COUNTIF('W rejestracji'!$A$9:$A$3000,I7)</f>
        <v>0</v>
      </c>
      <c r="K7" s="29">
        <f>COUNTIF(Zarejestrowane!$A$9:$A$3000,I7)</f>
        <v>0</v>
      </c>
      <c r="M7" s="27" t="s">
        <v>1010</v>
      </c>
      <c r="N7" s="29">
        <f>COUNTIF('W rejestracji'!$D$9:$D$3000,M7)</f>
        <v>0</v>
      </c>
      <c r="O7" s="29">
        <f>COUNTIF(Zarejestrowane!$E$9:$E$3000,M7)</f>
        <v>0</v>
      </c>
    </row>
    <row r="8" spans="1:15">
      <c r="B8" s="27" t="s">
        <v>1107</v>
      </c>
      <c r="C8" s="28">
        <f>IF(COUNT(Zarejestrowane!$I$9:$I$3000)=0,"—",MIN(Zarejestrowane!$I$9:$I$3000))</f>
        <v>0</v>
      </c>
      <c r="E8" s="27" t="s">
        <v>51</v>
      </c>
      <c r="F8" s="29">
        <f>COUNTIF('W rejestracji'!$F$9:$F$3000,E8)</f>
        <v>0</v>
      </c>
      <c r="G8" s="29">
        <f>COUNTIF(Zarejestrowane!$F$9:$F$3000,E8)</f>
        <v>0</v>
      </c>
      <c r="I8" s="27" t="s">
        <v>21</v>
      </c>
      <c r="J8" s="29">
        <f>COUNTIF('W rejestracji'!$A$9:$A$3000,I8)</f>
        <v>0</v>
      </c>
      <c r="K8" s="29">
        <f>COUNTIF(Zarejestrowane!$A$9:$A$3000,I8)</f>
        <v>0</v>
      </c>
      <c r="M8" s="27" t="s">
        <v>697</v>
      </c>
      <c r="N8" s="29">
        <f>COUNTIF('W rejestracji'!$D$9:$D$3000,M8)</f>
        <v>0</v>
      </c>
      <c r="O8" s="29">
        <f>COUNTIF(Zarejestrowane!$E$9:$E$3000,M8)</f>
        <v>0</v>
      </c>
    </row>
    <row r="9" spans="1:15">
      <c r="B9" s="27" t="s">
        <v>1108</v>
      </c>
      <c r="C9" s="28">
        <f>COUNTIFS(Zarejestrowane!$H$9:$H$3000,"&gt;="&amp;DATE(YEAR(TODAY()),MONTH(TODAY()),1))</f>
        <v>0</v>
      </c>
      <c r="E9" s="27" t="s">
        <v>25</v>
      </c>
      <c r="F9" s="29">
        <f>COUNTIF('W rejestracji'!$F$9:$F$3000,E9)</f>
        <v>0</v>
      </c>
      <c r="G9" s="29">
        <f>COUNTIF(Zarejestrowane!$F$9:$F$3000,E9)</f>
        <v>0</v>
      </c>
      <c r="I9" s="27" t="s">
        <v>176</v>
      </c>
      <c r="J9" s="29">
        <f>COUNTIF('W rejestracji'!$A$9:$A$3000,I9)</f>
        <v>0</v>
      </c>
      <c r="K9" s="29">
        <f>COUNTIF(Zarejestrowane!$A$9:$A$3000,I9)</f>
        <v>0</v>
      </c>
      <c r="M9" s="27" t="s">
        <v>523</v>
      </c>
      <c r="N9" s="29">
        <f>COUNTIF('W rejestracji'!$D$9:$D$3000,M9)</f>
        <v>0</v>
      </c>
      <c r="O9" s="29">
        <f>COUNTIF(Zarejestrowane!$E$9:$E$3000,M9)</f>
        <v>0</v>
      </c>
    </row>
    <row r="10" spans="1:15">
      <c r="B10" s="27" t="s">
        <v>1109</v>
      </c>
      <c r="C10" s="28">
        <f>IF(COUNT('W rejestracji'!$H$9:$H$3000)=0,"—",MAX('W rejestracji'!$H$9:$H$3000))</f>
        <v>0</v>
      </c>
      <c r="E10" s="27" t="s">
        <v>61</v>
      </c>
      <c r="F10" s="29">
        <f>COUNTIF('W rejestracji'!$F$9:$F$3000,E10)</f>
        <v>0</v>
      </c>
      <c r="G10" s="29">
        <f>COUNTIF(Zarejestrowane!$F$9:$F$3000,E10)</f>
        <v>0</v>
      </c>
      <c r="I10" s="27" t="s">
        <v>168</v>
      </c>
      <c r="J10" s="29">
        <f>COUNTIF('W rejestracji'!$A$9:$A$3000,I10)</f>
        <v>0</v>
      </c>
      <c r="K10" s="29">
        <f>COUNTIF(Zarejestrowane!$A$9:$A$3000,I10)</f>
        <v>0</v>
      </c>
      <c r="M10" s="27" t="s">
        <v>613</v>
      </c>
      <c r="N10" s="29">
        <f>COUNTIF('W rejestracji'!$D$9:$D$3000,M10)</f>
        <v>0</v>
      </c>
      <c r="O10" s="29">
        <f>COUNTIF(Zarejestrowane!$E$9:$E$3000,M10)</f>
        <v>0</v>
      </c>
    </row>
    <row r="11" spans="1:15">
      <c r="E11" s="27" t="s">
        <v>1114</v>
      </c>
      <c r="F11" s="29">
        <f>$C$4-SUM(F5:F10)</f>
        <v>0</v>
      </c>
      <c r="G11" s="29">
        <f>$C$5-SUM(G5:G10)</f>
        <v>0</v>
      </c>
      <c r="I11" s="27" t="s">
        <v>271</v>
      </c>
      <c r="J11" s="29">
        <f>COUNTIF('W rejestracji'!$A$9:$A$3000,I11)</f>
        <v>0</v>
      </c>
      <c r="K11" s="29">
        <f>COUNTIF(Zarejestrowane!$A$9:$A$3000,I11)</f>
        <v>0</v>
      </c>
      <c r="M11" s="27" t="s">
        <v>219</v>
      </c>
      <c r="N11" s="29">
        <f>COUNTIF('W rejestracji'!$D$9:$D$3000,M11)</f>
        <v>0</v>
      </c>
      <c r="O11" s="29">
        <f>COUNTIF(Zarejestrowane!$E$9:$E$3000,M11)</f>
        <v>0</v>
      </c>
    </row>
    <row r="12" spans="1:15">
      <c r="E12" s="30" t="s">
        <v>1115</v>
      </c>
      <c r="F12" s="31">
        <f>SUM(F5:F11)</f>
        <v>0</v>
      </c>
      <c r="G12" s="31">
        <f>SUM(G5:G11)</f>
        <v>0</v>
      </c>
      <c r="I12" s="27" t="s">
        <v>161</v>
      </c>
      <c r="J12" s="29">
        <f>COUNTIF('W rejestracji'!$A$9:$A$3000,I12)</f>
        <v>0</v>
      </c>
      <c r="K12" s="29">
        <f>COUNTIF(Zarejestrowane!$A$9:$A$3000,I12)</f>
        <v>0</v>
      </c>
      <c r="M12" s="27" t="s">
        <v>136</v>
      </c>
      <c r="N12" s="29">
        <f>COUNTIF('W rejestracji'!$D$9:$D$3000,M12)</f>
        <v>0</v>
      </c>
      <c r="O12" s="29">
        <f>COUNTIF(Zarejestrowane!$E$9:$E$3000,M12)</f>
        <v>0</v>
      </c>
    </row>
    <row r="13" spans="1:15">
      <c r="I13" s="27" t="s">
        <v>384</v>
      </c>
      <c r="J13" s="29">
        <f>COUNTIF('W rejestracji'!$A$9:$A$3000,I13)</f>
        <v>0</v>
      </c>
      <c r="K13" s="29">
        <f>COUNTIF(Zarejestrowane!$A$9:$A$3000,I13)</f>
        <v>0</v>
      </c>
      <c r="M13" s="27" t="s">
        <v>630</v>
      </c>
      <c r="N13" s="29">
        <f>COUNTIF('W rejestracji'!$D$9:$D$3000,M13)</f>
        <v>0</v>
      </c>
      <c r="O13" s="29">
        <f>COUNTIF(Zarejestrowane!$E$9:$E$3000,M13)</f>
        <v>0</v>
      </c>
    </row>
    <row r="14" spans="1:15">
      <c r="I14" s="27" t="s">
        <v>81</v>
      </c>
      <c r="J14" s="29">
        <f>COUNTIF('W rejestracji'!$A$9:$A$3000,I14)</f>
        <v>0</v>
      </c>
      <c r="K14" s="29">
        <f>COUNTIF(Zarejestrowane!$A$9:$A$3000,I14)</f>
        <v>0</v>
      </c>
      <c r="M14" s="27" t="s">
        <v>49</v>
      </c>
      <c r="N14" s="29">
        <f>COUNTIF('W rejestracji'!$D$9:$D$3000,M14)</f>
        <v>0</v>
      </c>
      <c r="O14" s="29">
        <f>COUNTIF(Zarejestrowane!$E$9:$E$3000,M14)</f>
        <v>0</v>
      </c>
    </row>
    <row r="15" spans="1:15">
      <c r="I15" s="27" t="s">
        <v>694</v>
      </c>
      <c r="J15" s="29">
        <f>COUNTIF('W rejestracji'!$A$9:$A$3000,I15)</f>
        <v>0</v>
      </c>
      <c r="K15" s="29">
        <f>COUNTIF(Zarejestrowane!$A$9:$A$3000,I15)</f>
        <v>0</v>
      </c>
      <c r="M15" s="27" t="s">
        <v>1041</v>
      </c>
      <c r="N15" s="29">
        <f>COUNTIF('W rejestracji'!$D$9:$D$3000,M15)</f>
        <v>0</v>
      </c>
      <c r="O15" s="29">
        <f>COUNTIF(Zarejestrowane!$E$9:$E$3000,M15)</f>
        <v>0</v>
      </c>
    </row>
    <row r="16" spans="1:15">
      <c r="I16" s="27" t="s">
        <v>133</v>
      </c>
      <c r="J16" s="29">
        <f>COUNTIF('W rejestracji'!$A$9:$A$3000,I16)</f>
        <v>0</v>
      </c>
      <c r="K16" s="29">
        <f>COUNTIF(Zarejestrowane!$A$9:$A$3000,I16)</f>
        <v>0</v>
      </c>
      <c r="M16" s="27" t="s">
        <v>59</v>
      </c>
      <c r="N16" s="29">
        <f>COUNTIF('W rejestracji'!$D$9:$D$3000,M16)</f>
        <v>0</v>
      </c>
      <c r="O16" s="29">
        <f>COUNTIF(Zarejestrowane!$E$9:$E$3000,M16)</f>
        <v>0</v>
      </c>
    </row>
    <row r="17" spans="9:15">
      <c r="I17" s="27" t="s">
        <v>56</v>
      </c>
      <c r="J17" s="29">
        <f>COUNTIF('W rejestracji'!$A$9:$A$3000,I17)</f>
        <v>0</v>
      </c>
      <c r="K17" s="29">
        <f>COUNTIF(Zarejestrowane!$A$9:$A$3000,I17)</f>
        <v>0</v>
      </c>
      <c r="M17" s="27" t="s">
        <v>435</v>
      </c>
      <c r="N17" s="29">
        <f>COUNTIF('W rejestracji'!$D$9:$D$3000,M17)</f>
        <v>0</v>
      </c>
      <c r="O17" s="29">
        <f>COUNTIF(Zarejestrowane!$E$9:$E$3000,M17)</f>
        <v>0</v>
      </c>
    </row>
    <row r="18" spans="9:15">
      <c r="I18" s="27" t="s">
        <v>256</v>
      </c>
      <c r="J18" s="29">
        <f>COUNTIF('W rejestracji'!$A$9:$A$3000,I18)</f>
        <v>0</v>
      </c>
      <c r="K18" s="29">
        <f>COUNTIF(Zarejestrowane!$A$9:$A$3000,I18)</f>
        <v>0</v>
      </c>
      <c r="M18" s="27" t="s">
        <v>950</v>
      </c>
      <c r="N18" s="29">
        <f>COUNTIF('W rejestracji'!$D$9:$D$3000,M18)</f>
        <v>0</v>
      </c>
      <c r="O18" s="29">
        <f>COUNTIF(Zarejestrowane!$E$9:$E$3000,M18)</f>
        <v>0</v>
      </c>
    </row>
    <row r="19" spans="9:15">
      <c r="I19" s="27" t="s">
        <v>1114</v>
      </c>
      <c r="J19" s="29">
        <f>$C$4-SUM(J5:J18)</f>
        <v>0</v>
      </c>
      <c r="K19" s="29">
        <f>$C$5-SUM(K5:K18)</f>
        <v>0</v>
      </c>
      <c r="M19" s="27" t="s">
        <v>541</v>
      </c>
      <c r="N19" s="29">
        <f>COUNTIF('W rejestracji'!$D$9:$D$3000,M19)</f>
        <v>0</v>
      </c>
      <c r="O19" s="29">
        <f>COUNTIF(Zarejestrowane!$E$9:$E$3000,M19)</f>
        <v>0</v>
      </c>
    </row>
    <row r="20" spans="9:15">
      <c r="I20" s="30" t="s">
        <v>1115</v>
      </c>
      <c r="J20" s="31">
        <f>SUM(J5:J19)</f>
        <v>0</v>
      </c>
      <c r="K20" s="31">
        <f>SUM(K5:K19)</f>
        <v>0</v>
      </c>
      <c r="M20" s="27" t="s">
        <v>171</v>
      </c>
      <c r="N20" s="29">
        <f>COUNTIF('W rejestracji'!$D$9:$D$3000,M20)</f>
        <v>0</v>
      </c>
      <c r="O20" s="29">
        <f>COUNTIF(Zarejestrowane!$E$9:$E$3000,M20)</f>
        <v>0</v>
      </c>
    </row>
    <row r="21" spans="9:15">
      <c r="M21" s="27" t="s">
        <v>759</v>
      </c>
      <c r="N21" s="29">
        <f>COUNTIF('W rejestracji'!$D$9:$D$3000,M21)</f>
        <v>0</v>
      </c>
      <c r="O21" s="29">
        <f>COUNTIF(Zarejestrowane!$E$9:$E$3000,M21)</f>
        <v>0</v>
      </c>
    </row>
    <row r="22" spans="9:15">
      <c r="M22" s="27" t="s">
        <v>562</v>
      </c>
      <c r="N22" s="29">
        <f>COUNTIF('W rejestracji'!$D$9:$D$3000,M22)</f>
        <v>0</v>
      </c>
      <c r="O22" s="29">
        <f>COUNTIF(Zarejestrowane!$E$9:$E$3000,M22)</f>
        <v>0</v>
      </c>
    </row>
    <row r="23" spans="9:15">
      <c r="M23" s="27" t="s">
        <v>508</v>
      </c>
      <c r="N23" s="29">
        <f>COUNTIF('W rejestracji'!$D$9:$D$3000,M23)</f>
        <v>0</v>
      </c>
      <c r="O23" s="29">
        <f>COUNTIF(Zarejestrowane!$E$9:$E$3000,M23)</f>
        <v>0</v>
      </c>
    </row>
    <row r="24" spans="9:15">
      <c r="M24" s="27" t="s">
        <v>534</v>
      </c>
      <c r="N24" s="29">
        <f>COUNTIF('W rejestracji'!$D$9:$D$3000,M24)</f>
        <v>0</v>
      </c>
      <c r="O24" s="29">
        <f>COUNTIF(Zarejestrowane!$E$9:$E$3000,M24)</f>
        <v>0</v>
      </c>
    </row>
    <row r="25" spans="9:15">
      <c r="M25" s="27" t="s">
        <v>24</v>
      </c>
      <c r="N25" s="29">
        <f>COUNTIF('W rejestracji'!$D$9:$D$3000,M25)</f>
        <v>0</v>
      </c>
      <c r="O25" s="29">
        <f>COUNTIF(Zarejestrowane!$E$9:$E$3000,M25)</f>
        <v>0</v>
      </c>
    </row>
    <row r="26" spans="9:15">
      <c r="M26" s="27" t="s">
        <v>1049</v>
      </c>
      <c r="N26" s="29">
        <f>COUNTIF('W rejestracji'!$D$9:$D$3000,M26)</f>
        <v>0</v>
      </c>
      <c r="O26" s="29">
        <f>COUNTIF(Zarejestrowane!$E$9:$E$3000,M26)</f>
        <v>0</v>
      </c>
    </row>
    <row r="27" spans="9:15">
      <c r="M27" s="27" t="s">
        <v>480</v>
      </c>
      <c r="N27" s="29">
        <f>COUNTIF('W rejestracji'!$D$9:$D$3000,M27)</f>
        <v>0</v>
      </c>
      <c r="O27" s="29">
        <f>COUNTIF(Zarejestrowane!$E$9:$E$3000,M27)</f>
        <v>0</v>
      </c>
    </row>
    <row r="28" spans="9:15">
      <c r="M28" s="27" t="s">
        <v>792</v>
      </c>
      <c r="N28" s="29">
        <f>COUNTIF('W rejestracji'!$D$9:$D$3000,M28)</f>
        <v>0</v>
      </c>
      <c r="O28" s="29">
        <f>COUNTIF(Zarejestrowane!$E$9:$E$3000,M28)</f>
        <v>0</v>
      </c>
    </row>
    <row r="29" spans="9:15">
      <c r="M29" s="27" t="s">
        <v>351</v>
      </c>
      <c r="N29" s="29">
        <f>COUNTIF('W rejestracji'!$D$9:$D$3000,M29)</f>
        <v>0</v>
      </c>
      <c r="O29" s="29">
        <f>COUNTIF(Zarejestrowane!$E$9:$E$3000,M29)</f>
        <v>0</v>
      </c>
    </row>
    <row r="30" spans="9:15">
      <c r="M30" s="27" t="s">
        <v>851</v>
      </c>
      <c r="N30" s="29">
        <f>COUNTIF('W rejestracji'!$D$9:$D$3000,M30)</f>
        <v>0</v>
      </c>
      <c r="O30" s="29">
        <f>COUNTIF(Zarejestrowane!$E$9:$E$3000,M30)</f>
        <v>0</v>
      </c>
    </row>
    <row r="31" spans="9:15">
      <c r="M31" s="27" t="s">
        <v>416</v>
      </c>
      <c r="N31" s="29">
        <f>COUNTIF('W rejestracji'!$D$9:$D$3000,M31)</f>
        <v>0</v>
      </c>
      <c r="O31" s="29">
        <f>COUNTIF(Zarejestrowane!$E$9:$E$3000,M31)</f>
        <v>0</v>
      </c>
    </row>
    <row r="32" spans="9:15">
      <c r="M32" s="27" t="s">
        <v>477</v>
      </c>
      <c r="N32" s="29">
        <f>COUNTIF('W rejestracji'!$D$9:$D$3000,M32)</f>
        <v>0</v>
      </c>
      <c r="O32" s="29">
        <f>COUNTIF(Zarejestrowane!$E$9:$E$3000,M32)</f>
        <v>0</v>
      </c>
    </row>
    <row r="33" spans="13:15">
      <c r="M33" s="27" t="s">
        <v>159</v>
      </c>
      <c r="N33" s="29">
        <f>COUNTIF('W rejestracji'!$D$9:$D$3000,M33)</f>
        <v>0</v>
      </c>
      <c r="O33" s="29">
        <f>COUNTIF(Zarejestrowane!$E$9:$E$3000,M33)</f>
        <v>0</v>
      </c>
    </row>
    <row r="34" spans="13:15">
      <c r="M34" s="27" t="s">
        <v>256</v>
      </c>
      <c r="N34" s="29">
        <f>COUNTIF('W rejestracji'!$D$9:$D$3000,M34)</f>
        <v>0</v>
      </c>
      <c r="O34" s="29">
        <f>COUNTIF(Zarejestrowane!$E$9:$E$3000,M34)</f>
        <v>0</v>
      </c>
    </row>
    <row r="35" spans="13:15">
      <c r="M35" s="27" t="s">
        <v>84</v>
      </c>
      <c r="N35" s="29">
        <f>COUNTIF('W rejestracji'!$D$9:$D$3000,M35)</f>
        <v>0</v>
      </c>
      <c r="O35" s="29">
        <f>COUNTIF(Zarejestrowane!$E$9:$E$3000,M35)</f>
        <v>0</v>
      </c>
    </row>
    <row r="36" spans="13:15">
      <c r="M36" s="27" t="s">
        <v>274</v>
      </c>
      <c r="N36" s="29">
        <f>COUNTIF('W rejestracji'!$D$9:$D$3000,M36)</f>
        <v>0</v>
      </c>
      <c r="O36" s="29">
        <f>COUNTIF(Zarejestrowane!$E$9:$E$3000,M36)</f>
        <v>0</v>
      </c>
    </row>
    <row r="37" spans="13:15">
      <c r="M37" s="27" t="s">
        <v>1114</v>
      </c>
      <c r="N37" s="29">
        <f>$C$4-SUM(N5:N36)</f>
        <v>0</v>
      </c>
      <c r="O37" s="29">
        <f>$C$5-SUM(O5:O36)</f>
        <v>0</v>
      </c>
    </row>
    <row r="38" spans="13:15">
      <c r="M38" s="30" t="s">
        <v>1115</v>
      </c>
      <c r="N38" s="31">
        <f>SUM(N5:N37)</f>
        <v>0</v>
      </c>
      <c r="O38" s="31">
        <f>SUM(O5:O37)</f>
        <v>0</v>
      </c>
    </row>
  </sheetData>
  <mergeCells count="5">
    <mergeCell ref="A1:N1"/>
    <mergeCell ref="B3:C3"/>
    <mergeCell ref="E3:G3"/>
    <mergeCell ref="I3:K3"/>
    <mergeCell ref="M3:O3"/>
  </mergeCell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B71C1C"/>
  </sheetPr>
  <dimension ref="A1:D29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1118</v>
      </c>
      <c r="B1" s="1"/>
      <c r="C1" s="1"/>
      <c r="D1" s="2" t="s">
        <v>1</v>
      </c>
    </row>
    <row r="3" spans="1:4">
      <c r="A3" s="6" t="s">
        <v>1119</v>
      </c>
    </row>
    <row r="4" spans="1:4">
      <c r="A4" s="15" t="s">
        <v>1120</v>
      </c>
      <c r="B4" s="15" t="s">
        <v>12</v>
      </c>
    </row>
    <row r="5" spans="1:4">
      <c r="A5" s="7" t="s">
        <v>1121</v>
      </c>
      <c r="B5" s="7" t="s">
        <v>1065</v>
      </c>
    </row>
    <row r="6" spans="1:4">
      <c r="A6" s="7" t="s">
        <v>1122</v>
      </c>
      <c r="B6" s="7" t="s">
        <v>1076</v>
      </c>
    </row>
    <row r="7" spans="1:4">
      <c r="A7" s="7" t="s">
        <v>1122</v>
      </c>
      <c r="B7" s="7" t="s">
        <v>1066</v>
      </c>
    </row>
    <row r="8" spans="1:4">
      <c r="A8" s="7" t="s">
        <v>1122</v>
      </c>
      <c r="B8" s="7" t="s">
        <v>102</v>
      </c>
    </row>
    <row r="9" spans="1:4">
      <c r="A9" s="7" t="s">
        <v>1122</v>
      </c>
      <c r="B9" s="7" t="s">
        <v>1060</v>
      </c>
    </row>
    <row r="10" spans="1:4">
      <c r="A10" s="7" t="s">
        <v>1122</v>
      </c>
      <c r="B10" s="7" t="s">
        <v>1063</v>
      </c>
    </row>
    <row r="11" spans="1:4">
      <c r="A11" s="7" t="s">
        <v>1123</v>
      </c>
      <c r="B11" s="7" t="s">
        <v>96</v>
      </c>
    </row>
    <row r="12" spans="1:4">
      <c r="A12" s="7" t="s">
        <v>1121</v>
      </c>
      <c r="B12" s="7" t="s">
        <v>1124</v>
      </c>
    </row>
    <row r="13" spans="1:4">
      <c r="A13" s="7" t="s">
        <v>1121</v>
      </c>
      <c r="B13" s="7" t="s">
        <v>1069</v>
      </c>
    </row>
    <row r="14" spans="1:4">
      <c r="A14" s="7" t="s">
        <v>1121</v>
      </c>
      <c r="B14" s="7" t="s">
        <v>1073</v>
      </c>
    </row>
    <row r="15" spans="1:4">
      <c r="A15" s="7" t="s">
        <v>1121</v>
      </c>
      <c r="B15" s="7" t="s">
        <v>1079</v>
      </c>
    </row>
    <row r="16" spans="1:4">
      <c r="A16" s="7" t="s">
        <v>1121</v>
      </c>
      <c r="B16" s="7" t="s">
        <v>1068</v>
      </c>
    </row>
    <row r="17" spans="1:2">
      <c r="A17" s="7" t="s">
        <v>1121</v>
      </c>
      <c r="B17" s="7" t="s">
        <v>1062</v>
      </c>
    </row>
    <row r="18" spans="1:2">
      <c r="A18" s="7" t="s">
        <v>1121</v>
      </c>
      <c r="B18" s="7" t="s">
        <v>1067</v>
      </c>
    </row>
    <row r="19" spans="1:2">
      <c r="A19" s="7" t="s">
        <v>1121</v>
      </c>
      <c r="B19" s="7" t="s">
        <v>1064</v>
      </c>
    </row>
    <row r="20" spans="1:2">
      <c r="A20" s="7" t="s">
        <v>1121</v>
      </c>
      <c r="B20" s="7" t="s">
        <v>1075</v>
      </c>
    </row>
    <row r="21" spans="1:2">
      <c r="A21" s="7" t="s">
        <v>1121</v>
      </c>
      <c r="B21" s="7" t="s">
        <v>1070</v>
      </c>
    </row>
    <row r="22" spans="1:2">
      <c r="A22" s="7" t="s">
        <v>1121</v>
      </c>
      <c r="B22" s="7" t="s">
        <v>1074</v>
      </c>
    </row>
    <row r="23" spans="1:2">
      <c r="A23" s="7" t="s">
        <v>1121</v>
      </c>
      <c r="B23" s="7" t="s">
        <v>1078</v>
      </c>
    </row>
    <row r="24" spans="1:2">
      <c r="A24" s="7" t="s">
        <v>1121</v>
      </c>
      <c r="B24" s="7" t="s">
        <v>1071</v>
      </c>
    </row>
    <row r="25" spans="1:2">
      <c r="A25" s="7" t="s">
        <v>1121</v>
      </c>
      <c r="B25" s="7" t="s">
        <v>1061</v>
      </c>
    </row>
    <row r="26" spans="1:2">
      <c r="A26" s="7" t="s">
        <v>1121</v>
      </c>
      <c r="B26" s="7" t="s">
        <v>1072</v>
      </c>
    </row>
    <row r="27" spans="1:2">
      <c r="A27" s="7" t="s">
        <v>1121</v>
      </c>
      <c r="B27" s="7" t="s">
        <v>107</v>
      </c>
    </row>
    <row r="28" spans="1:2">
      <c r="A28" s="7" t="s">
        <v>1121</v>
      </c>
      <c r="B28" s="7" t="s">
        <v>108</v>
      </c>
    </row>
    <row r="29" spans="1:2">
      <c r="A29" s="7" t="s">
        <v>1121</v>
      </c>
      <c r="B29" s="7" t="s">
        <v>1077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/>
  <dimension ref="A1:I2993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15" t="s">
        <v>1125</v>
      </c>
      <c r="B1" s="15" t="s">
        <v>1126</v>
      </c>
      <c r="C1" s="15" t="s">
        <v>1127</v>
      </c>
      <c r="D1" s="15" t="s">
        <v>1128</v>
      </c>
      <c r="E1" s="15" t="s">
        <v>1129</v>
      </c>
      <c r="F1" s="15" t="s">
        <v>1130</v>
      </c>
      <c r="G1" s="15" t="s">
        <v>1131</v>
      </c>
      <c r="H1" s="15" t="s">
        <v>1132</v>
      </c>
      <c r="I1" s="15" t="s">
        <v>1133</v>
      </c>
    </row>
    <row r="2" spans="1:9">
      <c r="A2" s="7" t="s">
        <v>560</v>
      </c>
      <c r="B2" s="7" t="s">
        <v>113</v>
      </c>
      <c r="C2" s="7" t="s">
        <v>471</v>
      </c>
      <c r="D2" s="7" t="s">
        <v>50</v>
      </c>
      <c r="E2" s="8">
        <f>TODAY()-0</f>
        <v>0</v>
      </c>
      <c r="F2" s="7">
        <f>IF('W rejestracji'!$C$9="","",'W rejestracji'!$C$9)</f>
        <v>0</v>
      </c>
      <c r="G2" s="7">
        <f>IF(Zarejestrowane!$C$9="","",Zarejestrowane!$C$9)</f>
        <v>0</v>
      </c>
      <c r="H2" s="9">
        <f>IF(AND($F2&lt;&gt;"",ISNUMBER(SEARCH('Nr rejestracyjny'!$F$5,$F2))),COUNT($H$1:H1)+1,"")</f>
        <v>0</v>
      </c>
      <c r="I2" s="9">
        <f>IF(AND($G2&lt;&gt;"",ISNUMBER(SEARCH('Nr rejestracyjny'!$F$5,$G2))),COUNT($I$1:I1)+1,"")</f>
        <v>0</v>
      </c>
    </row>
    <row r="3" spans="1:9">
      <c r="A3" s="7" t="s">
        <v>46</v>
      </c>
      <c r="B3" s="7" t="s">
        <v>387</v>
      </c>
      <c r="C3" s="7" t="s">
        <v>352</v>
      </c>
      <c r="D3" s="7" t="s">
        <v>85</v>
      </c>
      <c r="E3" s="8">
        <f>TODAY()-1</f>
        <v>0</v>
      </c>
      <c r="F3" s="7">
        <f>IF('W rejestracji'!$C$10="","",'W rejestracji'!$C$10)</f>
        <v>0</v>
      </c>
      <c r="G3" s="7">
        <f>IF(Zarejestrowane!$C$10="","",Zarejestrowane!$C$10)</f>
        <v>0</v>
      </c>
      <c r="H3" s="9">
        <f>IF(AND($F3&lt;&gt;"",ISNUMBER(SEARCH('Nr rejestracyjny'!$F$5,$F3))),COUNT($H$1:H2)+1,"")</f>
        <v>0</v>
      </c>
      <c r="I3" s="9">
        <f>IF(AND($G3&lt;&gt;"",ISNUMBER(SEARCH('Nr rejestracyjny'!$F$5,$G3))),COUNT($I$1:I2)+1,"")</f>
        <v>0</v>
      </c>
    </row>
    <row r="4" spans="1:9">
      <c r="A4" s="7" t="s">
        <v>575</v>
      </c>
      <c r="B4" s="7" t="s">
        <v>1010</v>
      </c>
      <c r="C4" s="7" t="s">
        <v>114</v>
      </c>
      <c r="D4" s="7" t="s">
        <v>60</v>
      </c>
      <c r="E4" s="8">
        <f>TODAY()-2</f>
        <v>0</v>
      </c>
      <c r="F4" s="7">
        <f>IF('W rejestracji'!$C$11="","",'W rejestracji'!$C$11)</f>
        <v>0</v>
      </c>
      <c r="G4" s="7">
        <f>IF(Zarejestrowane!$C$11="","",Zarejestrowane!$C$11)</f>
        <v>0</v>
      </c>
      <c r="H4" s="9">
        <f>IF(AND($F4&lt;&gt;"",ISNUMBER(SEARCH('Nr rejestracyjny'!$F$5,$F4))),COUNT($H$1:H3)+1,"")</f>
        <v>0</v>
      </c>
      <c r="I4" s="9">
        <f>IF(AND($G4&lt;&gt;"",ISNUMBER(SEARCH('Nr rejestracyjny'!$F$5,$G4))),COUNT($I$1:I3)+1,"")</f>
        <v>0</v>
      </c>
    </row>
    <row r="5" spans="1:9">
      <c r="A5" s="7" t="s">
        <v>21</v>
      </c>
      <c r="B5" s="7" t="s">
        <v>697</v>
      </c>
      <c r="C5" s="7" t="s">
        <v>51</v>
      </c>
      <c r="E5" s="8">
        <f>TODAY()-3</f>
        <v>0</v>
      </c>
      <c r="F5" s="7">
        <f>IF('W rejestracji'!$C$12="","",'W rejestracji'!$C$12)</f>
        <v>0</v>
      </c>
      <c r="G5" s="7">
        <f>IF(Zarejestrowane!$C$12="","",Zarejestrowane!$C$12)</f>
        <v>0</v>
      </c>
      <c r="H5" s="9">
        <f>IF(AND($F5&lt;&gt;"",ISNUMBER(SEARCH('Nr rejestracyjny'!$F$5,$F5))),COUNT($H$1:H4)+1,"")</f>
        <v>0</v>
      </c>
      <c r="I5" s="9">
        <f>IF(AND($G5&lt;&gt;"",ISNUMBER(SEARCH('Nr rejestracyjny'!$F$5,$G5))),COUNT($I$1:I4)+1,"")</f>
        <v>0</v>
      </c>
    </row>
    <row r="6" spans="1:9">
      <c r="A6" s="7" t="s">
        <v>176</v>
      </c>
      <c r="B6" s="7" t="s">
        <v>523</v>
      </c>
      <c r="C6" s="7" t="s">
        <v>25</v>
      </c>
      <c r="E6" s="8">
        <f>TODAY()-4</f>
        <v>0</v>
      </c>
      <c r="F6" s="7">
        <f>IF('W rejestracji'!$C$13="","",'W rejestracji'!$C$13)</f>
        <v>0</v>
      </c>
      <c r="G6" s="7">
        <f>IF(Zarejestrowane!$C$13="","",Zarejestrowane!$C$13)</f>
        <v>0</v>
      </c>
      <c r="H6" s="9">
        <f>IF(AND($F6&lt;&gt;"",ISNUMBER(SEARCH('Nr rejestracyjny'!$F$5,$F6))),COUNT($H$1:H5)+1,"")</f>
        <v>0</v>
      </c>
      <c r="I6" s="9">
        <f>IF(AND($G6&lt;&gt;"",ISNUMBER(SEARCH('Nr rejestracyjny'!$F$5,$G6))),COUNT($I$1:I5)+1,"")</f>
        <v>0</v>
      </c>
    </row>
    <row r="7" spans="1:9">
      <c r="A7" s="7" t="s">
        <v>168</v>
      </c>
      <c r="B7" s="7" t="s">
        <v>613</v>
      </c>
      <c r="C7" s="7" t="s">
        <v>61</v>
      </c>
      <c r="E7" s="8">
        <f>TODAY()-5</f>
        <v>0</v>
      </c>
      <c r="F7" s="7">
        <f>IF('W rejestracji'!$C$14="","",'W rejestracji'!$C$14)</f>
        <v>0</v>
      </c>
      <c r="G7" s="7">
        <f>IF(Zarejestrowane!$C$14="","",Zarejestrowane!$C$14)</f>
        <v>0</v>
      </c>
      <c r="H7" s="9">
        <f>IF(AND($F7&lt;&gt;"",ISNUMBER(SEARCH('Nr rejestracyjny'!$F$5,$F7))),COUNT($H$1:H6)+1,"")</f>
        <v>0</v>
      </c>
      <c r="I7" s="9">
        <f>IF(AND($G7&lt;&gt;"",ISNUMBER(SEARCH('Nr rejestracyjny'!$F$5,$G7))),COUNT($I$1:I6)+1,"")</f>
        <v>0</v>
      </c>
    </row>
    <row r="8" spans="1:9">
      <c r="A8" s="7" t="s">
        <v>271</v>
      </c>
      <c r="B8" s="7" t="s">
        <v>219</v>
      </c>
      <c r="E8" s="8">
        <f>TODAY()-6</f>
        <v>0</v>
      </c>
      <c r="F8" s="7">
        <f>IF('W rejestracji'!$C$15="","",'W rejestracji'!$C$15)</f>
        <v>0</v>
      </c>
      <c r="G8" s="7">
        <f>IF(Zarejestrowane!$C$15="","",Zarejestrowane!$C$15)</f>
        <v>0</v>
      </c>
      <c r="H8" s="9">
        <f>IF(AND($F8&lt;&gt;"",ISNUMBER(SEARCH('Nr rejestracyjny'!$F$5,$F8))),COUNT($H$1:H7)+1,"")</f>
        <v>0</v>
      </c>
      <c r="I8" s="9">
        <f>IF(AND($G8&lt;&gt;"",ISNUMBER(SEARCH('Nr rejestracyjny'!$F$5,$G8))),COUNT($I$1:I7)+1,"")</f>
        <v>0</v>
      </c>
    </row>
    <row r="9" spans="1:9">
      <c r="A9" s="7" t="s">
        <v>161</v>
      </c>
      <c r="B9" s="7" t="s">
        <v>136</v>
      </c>
      <c r="E9" s="8">
        <f>TODAY()-7</f>
        <v>0</v>
      </c>
      <c r="F9" s="7">
        <f>IF('W rejestracji'!$C$16="","",'W rejestracji'!$C$16)</f>
        <v>0</v>
      </c>
      <c r="G9" s="7">
        <f>IF(Zarejestrowane!$C$16="","",Zarejestrowane!$C$16)</f>
        <v>0</v>
      </c>
      <c r="H9" s="9">
        <f>IF(AND($F9&lt;&gt;"",ISNUMBER(SEARCH('Nr rejestracyjny'!$F$5,$F9))),COUNT($H$1:H8)+1,"")</f>
        <v>0</v>
      </c>
      <c r="I9" s="9">
        <f>IF(AND($G9&lt;&gt;"",ISNUMBER(SEARCH('Nr rejestracyjny'!$F$5,$G9))),COUNT($I$1:I8)+1,"")</f>
        <v>0</v>
      </c>
    </row>
    <row r="10" spans="1:9">
      <c r="A10" s="7" t="s">
        <v>384</v>
      </c>
      <c r="B10" s="7" t="s">
        <v>630</v>
      </c>
      <c r="E10" s="8">
        <f>TODAY()-8</f>
        <v>0</v>
      </c>
      <c r="F10" s="7">
        <f>IF('W rejestracji'!$C$17="","",'W rejestracji'!$C$17)</f>
        <v>0</v>
      </c>
      <c r="G10" s="7">
        <f>IF(Zarejestrowane!$C$17="","",Zarejestrowane!$C$17)</f>
        <v>0</v>
      </c>
      <c r="H10" s="9">
        <f>IF(AND($F10&lt;&gt;"",ISNUMBER(SEARCH('Nr rejestracyjny'!$F$5,$F10))),COUNT($H$1:H9)+1,"")</f>
        <v>0</v>
      </c>
      <c r="I10" s="9">
        <f>IF(AND($G10&lt;&gt;"",ISNUMBER(SEARCH('Nr rejestracyjny'!$F$5,$G10))),COUNT($I$1:I9)+1,"")</f>
        <v>0</v>
      </c>
    </row>
    <row r="11" spans="1:9">
      <c r="A11" s="7" t="s">
        <v>81</v>
      </c>
      <c r="B11" s="7" t="s">
        <v>49</v>
      </c>
      <c r="E11" s="8">
        <f>TODAY()-9</f>
        <v>0</v>
      </c>
      <c r="F11" s="7">
        <f>IF('W rejestracji'!$C$18="","",'W rejestracji'!$C$18)</f>
        <v>0</v>
      </c>
      <c r="G11" s="7">
        <f>IF(Zarejestrowane!$C$18="","",Zarejestrowane!$C$18)</f>
        <v>0</v>
      </c>
      <c r="H11" s="9">
        <f>IF(AND($F11&lt;&gt;"",ISNUMBER(SEARCH('Nr rejestracyjny'!$F$5,$F11))),COUNT($H$1:H10)+1,"")</f>
        <v>0</v>
      </c>
      <c r="I11" s="9">
        <f>IF(AND($G11&lt;&gt;"",ISNUMBER(SEARCH('Nr rejestracyjny'!$F$5,$G11))),COUNT($I$1:I10)+1,"")</f>
        <v>0</v>
      </c>
    </row>
    <row r="12" spans="1:9">
      <c r="A12" s="7" t="s">
        <v>694</v>
      </c>
      <c r="B12" s="7" t="s">
        <v>1041</v>
      </c>
      <c r="E12" s="8">
        <f>TODAY()-10</f>
        <v>0</v>
      </c>
      <c r="F12" s="7">
        <f>IF('W rejestracji'!$C$19="","",'W rejestracji'!$C$19)</f>
        <v>0</v>
      </c>
      <c r="G12" s="7">
        <f>IF(Zarejestrowane!$C$19="","",Zarejestrowane!$C$19)</f>
        <v>0</v>
      </c>
      <c r="H12" s="9">
        <f>IF(AND($F12&lt;&gt;"",ISNUMBER(SEARCH('Nr rejestracyjny'!$F$5,$F12))),COUNT($H$1:H11)+1,"")</f>
        <v>0</v>
      </c>
      <c r="I12" s="9">
        <f>IF(AND($G12&lt;&gt;"",ISNUMBER(SEARCH('Nr rejestracyjny'!$F$5,$G12))),COUNT($I$1:I11)+1,"")</f>
        <v>0</v>
      </c>
    </row>
    <row r="13" spans="1:9">
      <c r="A13" s="7" t="s">
        <v>133</v>
      </c>
      <c r="B13" s="7" t="s">
        <v>59</v>
      </c>
      <c r="E13" s="8">
        <f>TODAY()-11</f>
        <v>0</v>
      </c>
      <c r="F13" s="7">
        <f>IF('W rejestracji'!$C$20="","",'W rejestracji'!$C$20)</f>
        <v>0</v>
      </c>
      <c r="G13" s="7">
        <f>IF(Zarejestrowane!$C$20="","",Zarejestrowane!$C$20)</f>
        <v>0</v>
      </c>
      <c r="H13" s="9">
        <f>IF(AND($F13&lt;&gt;"",ISNUMBER(SEARCH('Nr rejestracyjny'!$F$5,$F13))),COUNT($H$1:H12)+1,"")</f>
        <v>0</v>
      </c>
      <c r="I13" s="9">
        <f>IF(AND($G13&lt;&gt;"",ISNUMBER(SEARCH('Nr rejestracyjny'!$F$5,$G13))),COUNT($I$1:I12)+1,"")</f>
        <v>0</v>
      </c>
    </row>
    <row r="14" spans="1:9">
      <c r="A14" s="7" t="s">
        <v>56</v>
      </c>
      <c r="B14" s="7" t="s">
        <v>435</v>
      </c>
      <c r="E14" s="8">
        <f>TODAY()-12</f>
        <v>0</v>
      </c>
      <c r="F14" s="7">
        <f>IF('W rejestracji'!$C$21="","",'W rejestracji'!$C$21)</f>
        <v>0</v>
      </c>
      <c r="G14" s="7">
        <f>IF(Zarejestrowane!$C$21="","",Zarejestrowane!$C$21)</f>
        <v>0</v>
      </c>
      <c r="H14" s="9">
        <f>IF(AND($F14&lt;&gt;"",ISNUMBER(SEARCH('Nr rejestracyjny'!$F$5,$F14))),COUNT($H$1:H13)+1,"")</f>
        <v>0</v>
      </c>
      <c r="I14" s="9">
        <f>IF(AND($G14&lt;&gt;"",ISNUMBER(SEARCH('Nr rejestracyjny'!$F$5,$G14))),COUNT($I$1:I13)+1,"")</f>
        <v>0</v>
      </c>
    </row>
    <row r="15" spans="1:9">
      <c r="A15" s="7" t="s">
        <v>256</v>
      </c>
      <c r="B15" s="7" t="s">
        <v>950</v>
      </c>
      <c r="E15" s="8">
        <f>TODAY()-13</f>
        <v>0</v>
      </c>
      <c r="F15" s="7">
        <f>IF('W rejestracji'!$C$22="","",'W rejestracji'!$C$22)</f>
        <v>0</v>
      </c>
      <c r="G15" s="7">
        <f>IF(Zarejestrowane!$C$22="","",Zarejestrowane!$C$22)</f>
        <v>0</v>
      </c>
      <c r="H15" s="9">
        <f>IF(AND($F15&lt;&gt;"",ISNUMBER(SEARCH('Nr rejestracyjny'!$F$5,$F15))),COUNT($H$1:H14)+1,"")</f>
        <v>0</v>
      </c>
      <c r="I15" s="9">
        <f>IF(AND($G15&lt;&gt;"",ISNUMBER(SEARCH('Nr rejestracyjny'!$F$5,$G15))),COUNT($I$1:I14)+1,"")</f>
        <v>0</v>
      </c>
    </row>
    <row r="16" spans="1:9">
      <c r="B16" s="7" t="s">
        <v>541</v>
      </c>
      <c r="E16" s="8">
        <f>TODAY()-14</f>
        <v>0</v>
      </c>
      <c r="F16" s="7">
        <f>IF('W rejestracji'!$C$23="","",'W rejestracji'!$C$23)</f>
        <v>0</v>
      </c>
      <c r="G16" s="7">
        <f>IF(Zarejestrowane!$C$23="","",Zarejestrowane!$C$23)</f>
        <v>0</v>
      </c>
      <c r="H16" s="9">
        <f>IF(AND($F16&lt;&gt;"",ISNUMBER(SEARCH('Nr rejestracyjny'!$F$5,$F16))),COUNT($H$1:H15)+1,"")</f>
        <v>0</v>
      </c>
      <c r="I16" s="9">
        <f>IF(AND($G16&lt;&gt;"",ISNUMBER(SEARCH('Nr rejestracyjny'!$F$5,$G16))),COUNT($I$1:I15)+1,"")</f>
        <v>0</v>
      </c>
    </row>
    <row r="17" spans="2:9">
      <c r="B17" s="7" t="s">
        <v>171</v>
      </c>
      <c r="E17" s="8">
        <f>TODAY()-15</f>
        <v>0</v>
      </c>
      <c r="F17" s="7">
        <f>IF('W rejestracji'!$C$24="","",'W rejestracji'!$C$24)</f>
        <v>0</v>
      </c>
      <c r="G17" s="7">
        <f>IF(Zarejestrowane!$C$24="","",Zarejestrowane!$C$24)</f>
        <v>0</v>
      </c>
      <c r="H17" s="9">
        <f>IF(AND($F17&lt;&gt;"",ISNUMBER(SEARCH('Nr rejestracyjny'!$F$5,$F17))),COUNT($H$1:H16)+1,"")</f>
        <v>0</v>
      </c>
      <c r="I17" s="9">
        <f>IF(AND($G17&lt;&gt;"",ISNUMBER(SEARCH('Nr rejestracyjny'!$F$5,$G17))),COUNT($I$1:I16)+1,"")</f>
        <v>0</v>
      </c>
    </row>
    <row r="18" spans="2:9">
      <c r="B18" s="7" t="s">
        <v>759</v>
      </c>
      <c r="E18" s="8">
        <f>TODAY()-16</f>
        <v>0</v>
      </c>
      <c r="F18" s="7">
        <f>IF('W rejestracji'!$C$25="","",'W rejestracji'!$C$25)</f>
        <v>0</v>
      </c>
      <c r="G18" s="7">
        <f>IF(Zarejestrowane!$C$25="","",Zarejestrowane!$C$25)</f>
        <v>0</v>
      </c>
      <c r="H18" s="9">
        <f>IF(AND($F18&lt;&gt;"",ISNUMBER(SEARCH('Nr rejestracyjny'!$F$5,$F18))),COUNT($H$1:H17)+1,"")</f>
        <v>0</v>
      </c>
      <c r="I18" s="9">
        <f>IF(AND($G18&lt;&gt;"",ISNUMBER(SEARCH('Nr rejestracyjny'!$F$5,$G18))),COUNT($I$1:I17)+1,"")</f>
        <v>0</v>
      </c>
    </row>
    <row r="19" spans="2:9">
      <c r="B19" s="7" t="s">
        <v>562</v>
      </c>
      <c r="E19" s="8">
        <f>TODAY()-17</f>
        <v>0</v>
      </c>
      <c r="F19" s="7">
        <f>IF('W rejestracji'!$C$26="","",'W rejestracji'!$C$26)</f>
        <v>0</v>
      </c>
      <c r="G19" s="7">
        <f>IF(Zarejestrowane!$C$26="","",Zarejestrowane!$C$26)</f>
        <v>0</v>
      </c>
      <c r="H19" s="9">
        <f>IF(AND($F19&lt;&gt;"",ISNUMBER(SEARCH('Nr rejestracyjny'!$F$5,$F19))),COUNT($H$1:H18)+1,"")</f>
        <v>0</v>
      </c>
      <c r="I19" s="9">
        <f>IF(AND($G19&lt;&gt;"",ISNUMBER(SEARCH('Nr rejestracyjny'!$F$5,$G19))),COUNT($I$1:I18)+1,"")</f>
        <v>0</v>
      </c>
    </row>
    <row r="20" spans="2:9">
      <c r="B20" s="7" t="s">
        <v>508</v>
      </c>
      <c r="E20" s="8">
        <f>TODAY()-18</f>
        <v>0</v>
      </c>
      <c r="F20" s="7">
        <f>IF('W rejestracji'!$C$27="","",'W rejestracji'!$C$27)</f>
        <v>0</v>
      </c>
      <c r="G20" s="7">
        <f>IF(Zarejestrowane!$C$27="","",Zarejestrowane!$C$27)</f>
        <v>0</v>
      </c>
      <c r="H20" s="9">
        <f>IF(AND($F20&lt;&gt;"",ISNUMBER(SEARCH('Nr rejestracyjny'!$F$5,$F20))),COUNT($H$1:H19)+1,"")</f>
        <v>0</v>
      </c>
      <c r="I20" s="9">
        <f>IF(AND($G20&lt;&gt;"",ISNUMBER(SEARCH('Nr rejestracyjny'!$F$5,$G20))),COUNT($I$1:I19)+1,"")</f>
        <v>0</v>
      </c>
    </row>
    <row r="21" spans="2:9">
      <c r="B21" s="7" t="s">
        <v>534</v>
      </c>
      <c r="E21" s="8">
        <f>TODAY()-19</f>
        <v>0</v>
      </c>
      <c r="F21" s="7">
        <f>IF('W rejestracji'!$C$28="","",'W rejestracji'!$C$28)</f>
        <v>0</v>
      </c>
      <c r="G21" s="7">
        <f>IF(Zarejestrowane!$C$28="","",Zarejestrowane!$C$28)</f>
        <v>0</v>
      </c>
      <c r="H21" s="9">
        <f>IF(AND($F21&lt;&gt;"",ISNUMBER(SEARCH('Nr rejestracyjny'!$F$5,$F21))),COUNT($H$1:H20)+1,"")</f>
        <v>0</v>
      </c>
      <c r="I21" s="9">
        <f>IF(AND($G21&lt;&gt;"",ISNUMBER(SEARCH('Nr rejestracyjny'!$F$5,$G21))),COUNT($I$1:I20)+1,"")</f>
        <v>0</v>
      </c>
    </row>
    <row r="22" spans="2:9">
      <c r="B22" s="7" t="s">
        <v>24</v>
      </c>
      <c r="E22" s="8">
        <f>TODAY()-20</f>
        <v>0</v>
      </c>
      <c r="F22" s="7">
        <f>IF('W rejestracji'!$C$29="","",'W rejestracji'!$C$29)</f>
        <v>0</v>
      </c>
      <c r="G22" s="7">
        <f>IF(Zarejestrowane!$C$29="","",Zarejestrowane!$C$29)</f>
        <v>0</v>
      </c>
      <c r="H22" s="9">
        <f>IF(AND($F22&lt;&gt;"",ISNUMBER(SEARCH('Nr rejestracyjny'!$F$5,$F22))),COUNT($H$1:H21)+1,"")</f>
        <v>0</v>
      </c>
      <c r="I22" s="9">
        <f>IF(AND($G22&lt;&gt;"",ISNUMBER(SEARCH('Nr rejestracyjny'!$F$5,$G22))),COUNT($I$1:I21)+1,"")</f>
        <v>0</v>
      </c>
    </row>
    <row r="23" spans="2:9">
      <c r="B23" s="7" t="s">
        <v>1049</v>
      </c>
      <c r="E23" s="8">
        <f>TODAY()-21</f>
        <v>0</v>
      </c>
      <c r="F23" s="7">
        <f>IF('W rejestracji'!$C$30="","",'W rejestracji'!$C$30)</f>
        <v>0</v>
      </c>
      <c r="G23" s="7">
        <f>IF(Zarejestrowane!$C$30="","",Zarejestrowane!$C$30)</f>
        <v>0</v>
      </c>
      <c r="H23" s="9">
        <f>IF(AND($F23&lt;&gt;"",ISNUMBER(SEARCH('Nr rejestracyjny'!$F$5,$F23))),COUNT($H$1:H22)+1,"")</f>
        <v>0</v>
      </c>
      <c r="I23" s="9">
        <f>IF(AND($G23&lt;&gt;"",ISNUMBER(SEARCH('Nr rejestracyjny'!$F$5,$G23))),COUNT($I$1:I22)+1,"")</f>
        <v>0</v>
      </c>
    </row>
    <row r="24" spans="2:9">
      <c r="B24" s="7" t="s">
        <v>480</v>
      </c>
      <c r="E24" s="8">
        <f>TODAY()-22</f>
        <v>0</v>
      </c>
      <c r="F24" s="7">
        <f>IF('W rejestracji'!$C$31="","",'W rejestracji'!$C$31)</f>
        <v>0</v>
      </c>
      <c r="G24" s="7">
        <f>IF(Zarejestrowane!$C$31="","",Zarejestrowane!$C$31)</f>
        <v>0</v>
      </c>
      <c r="H24" s="9">
        <f>IF(AND($F24&lt;&gt;"",ISNUMBER(SEARCH('Nr rejestracyjny'!$F$5,$F24))),COUNT($H$1:H23)+1,"")</f>
        <v>0</v>
      </c>
      <c r="I24" s="9">
        <f>IF(AND($G24&lt;&gt;"",ISNUMBER(SEARCH('Nr rejestracyjny'!$F$5,$G24))),COUNT($I$1:I23)+1,"")</f>
        <v>0</v>
      </c>
    </row>
    <row r="25" spans="2:9">
      <c r="B25" s="7" t="s">
        <v>792</v>
      </c>
      <c r="E25" s="8">
        <f>TODAY()-23</f>
        <v>0</v>
      </c>
      <c r="F25" s="7">
        <f>IF('W rejestracji'!$C$32="","",'W rejestracji'!$C$32)</f>
        <v>0</v>
      </c>
      <c r="G25" s="7">
        <f>IF(Zarejestrowane!$C$32="","",Zarejestrowane!$C$32)</f>
        <v>0</v>
      </c>
      <c r="H25" s="9">
        <f>IF(AND($F25&lt;&gt;"",ISNUMBER(SEARCH('Nr rejestracyjny'!$F$5,$F25))),COUNT($H$1:H24)+1,"")</f>
        <v>0</v>
      </c>
      <c r="I25" s="9">
        <f>IF(AND($G25&lt;&gt;"",ISNUMBER(SEARCH('Nr rejestracyjny'!$F$5,$G25))),COUNT($I$1:I24)+1,"")</f>
        <v>0</v>
      </c>
    </row>
    <row r="26" spans="2:9">
      <c r="B26" s="7" t="s">
        <v>351</v>
      </c>
      <c r="E26" s="8">
        <f>TODAY()-24</f>
        <v>0</v>
      </c>
      <c r="F26" s="7">
        <f>IF('W rejestracji'!$C$33="","",'W rejestracji'!$C$33)</f>
        <v>0</v>
      </c>
      <c r="G26" s="7">
        <f>IF(Zarejestrowane!$C$33="","",Zarejestrowane!$C$33)</f>
        <v>0</v>
      </c>
      <c r="H26" s="9">
        <f>IF(AND($F26&lt;&gt;"",ISNUMBER(SEARCH('Nr rejestracyjny'!$F$5,$F26))),COUNT($H$1:H25)+1,"")</f>
        <v>0</v>
      </c>
      <c r="I26" s="9">
        <f>IF(AND($G26&lt;&gt;"",ISNUMBER(SEARCH('Nr rejestracyjny'!$F$5,$G26))),COUNT($I$1:I25)+1,"")</f>
        <v>0</v>
      </c>
    </row>
    <row r="27" spans="2:9">
      <c r="B27" s="7" t="s">
        <v>851</v>
      </c>
      <c r="E27" s="8">
        <f>TODAY()-25</f>
        <v>0</v>
      </c>
      <c r="F27" s="7">
        <f>IF('W rejestracji'!$C$34="","",'W rejestracji'!$C$34)</f>
        <v>0</v>
      </c>
      <c r="G27" s="7">
        <f>IF(Zarejestrowane!$C$34="","",Zarejestrowane!$C$34)</f>
        <v>0</v>
      </c>
      <c r="H27" s="9">
        <f>IF(AND($F27&lt;&gt;"",ISNUMBER(SEARCH('Nr rejestracyjny'!$F$5,$F27))),COUNT($H$1:H26)+1,"")</f>
        <v>0</v>
      </c>
      <c r="I27" s="9">
        <f>IF(AND($G27&lt;&gt;"",ISNUMBER(SEARCH('Nr rejestracyjny'!$F$5,$G27))),COUNT($I$1:I26)+1,"")</f>
        <v>0</v>
      </c>
    </row>
    <row r="28" spans="2:9">
      <c r="B28" s="7" t="s">
        <v>416</v>
      </c>
      <c r="E28" s="8">
        <f>TODAY()-26</f>
        <v>0</v>
      </c>
      <c r="F28" s="7">
        <f>IF('W rejestracji'!$C$35="","",'W rejestracji'!$C$35)</f>
        <v>0</v>
      </c>
      <c r="G28" s="7">
        <f>IF(Zarejestrowane!$C$35="","",Zarejestrowane!$C$35)</f>
        <v>0</v>
      </c>
      <c r="H28" s="9">
        <f>IF(AND($F28&lt;&gt;"",ISNUMBER(SEARCH('Nr rejestracyjny'!$F$5,$F28))),COUNT($H$1:H27)+1,"")</f>
        <v>0</v>
      </c>
      <c r="I28" s="9">
        <f>IF(AND($G28&lt;&gt;"",ISNUMBER(SEARCH('Nr rejestracyjny'!$F$5,$G28))),COUNT($I$1:I27)+1,"")</f>
        <v>0</v>
      </c>
    </row>
    <row r="29" spans="2:9">
      <c r="B29" s="7" t="s">
        <v>477</v>
      </c>
      <c r="E29" s="8">
        <f>TODAY()-27</f>
        <v>0</v>
      </c>
      <c r="F29" s="7">
        <f>IF('W rejestracji'!$C$36="","",'W rejestracji'!$C$36)</f>
        <v>0</v>
      </c>
      <c r="G29" s="7">
        <f>IF(Zarejestrowane!$C$36="","",Zarejestrowane!$C$36)</f>
        <v>0</v>
      </c>
      <c r="H29" s="9">
        <f>IF(AND($F29&lt;&gt;"",ISNUMBER(SEARCH('Nr rejestracyjny'!$F$5,$F29))),COUNT($H$1:H28)+1,"")</f>
        <v>0</v>
      </c>
      <c r="I29" s="9">
        <f>IF(AND($G29&lt;&gt;"",ISNUMBER(SEARCH('Nr rejestracyjny'!$F$5,$G29))),COUNT($I$1:I28)+1,"")</f>
        <v>0</v>
      </c>
    </row>
    <row r="30" spans="2:9">
      <c r="B30" s="7" t="s">
        <v>159</v>
      </c>
      <c r="E30" s="8">
        <f>TODAY()-28</f>
        <v>0</v>
      </c>
      <c r="F30" s="7">
        <f>IF('W rejestracji'!$C$37="","",'W rejestracji'!$C$37)</f>
        <v>0</v>
      </c>
      <c r="G30" s="7">
        <f>IF(Zarejestrowane!$C$37="","",Zarejestrowane!$C$37)</f>
        <v>0</v>
      </c>
      <c r="H30" s="9">
        <f>IF(AND($F30&lt;&gt;"",ISNUMBER(SEARCH('Nr rejestracyjny'!$F$5,$F30))),COUNT($H$1:H29)+1,"")</f>
        <v>0</v>
      </c>
      <c r="I30" s="9">
        <f>IF(AND($G30&lt;&gt;"",ISNUMBER(SEARCH('Nr rejestracyjny'!$F$5,$G30))),COUNT($I$1:I29)+1,"")</f>
        <v>0</v>
      </c>
    </row>
    <row r="31" spans="2:9">
      <c r="B31" s="7" t="s">
        <v>256</v>
      </c>
      <c r="E31" s="8">
        <f>TODAY()-29</f>
        <v>0</v>
      </c>
      <c r="F31" s="7">
        <f>IF('W rejestracji'!$C$38="","",'W rejestracji'!$C$38)</f>
        <v>0</v>
      </c>
      <c r="G31" s="7">
        <f>IF(Zarejestrowane!$C$38="","",Zarejestrowane!$C$38)</f>
        <v>0</v>
      </c>
      <c r="H31" s="9">
        <f>IF(AND($F31&lt;&gt;"",ISNUMBER(SEARCH('Nr rejestracyjny'!$F$5,$F31))),COUNT($H$1:H30)+1,"")</f>
        <v>0</v>
      </c>
      <c r="I31" s="9">
        <f>IF(AND($G31&lt;&gt;"",ISNUMBER(SEARCH('Nr rejestracyjny'!$F$5,$G31))),COUNT($I$1:I30)+1,"")</f>
        <v>0</v>
      </c>
    </row>
    <row r="32" spans="2:9">
      <c r="B32" s="7" t="s">
        <v>84</v>
      </c>
      <c r="E32" s="8">
        <f>TODAY()-30</f>
        <v>0</v>
      </c>
      <c r="F32" s="7">
        <f>IF('W rejestracji'!$C$39="","",'W rejestracji'!$C$39)</f>
        <v>0</v>
      </c>
      <c r="G32" s="7">
        <f>IF(Zarejestrowane!$C$39="","",Zarejestrowane!$C$39)</f>
        <v>0</v>
      </c>
      <c r="H32" s="9">
        <f>IF(AND($F32&lt;&gt;"",ISNUMBER(SEARCH('Nr rejestracyjny'!$F$5,$F32))),COUNT($H$1:H31)+1,"")</f>
        <v>0</v>
      </c>
      <c r="I32" s="9">
        <f>IF(AND($G32&lt;&gt;"",ISNUMBER(SEARCH('Nr rejestracyjny'!$F$5,$G32))),COUNT($I$1:I31)+1,"")</f>
        <v>0</v>
      </c>
    </row>
    <row r="33" spans="2:9">
      <c r="B33" s="7" t="s">
        <v>274</v>
      </c>
      <c r="F33" s="7">
        <f>IF('W rejestracji'!$C$40="","",'W rejestracji'!$C$40)</f>
        <v>0</v>
      </c>
      <c r="G33" s="7">
        <f>IF(Zarejestrowane!$C$40="","",Zarejestrowane!$C$40)</f>
        <v>0</v>
      </c>
      <c r="H33" s="9">
        <f>IF(AND($F33&lt;&gt;"",ISNUMBER(SEARCH('Nr rejestracyjny'!$F$5,$F33))),COUNT($H$1:H32)+1,"")</f>
        <v>0</v>
      </c>
      <c r="I33" s="9">
        <f>IF(AND($G33&lt;&gt;"",ISNUMBER(SEARCH('Nr rejestracyjny'!$F$5,$G33))),COUNT($I$1:I32)+1,"")</f>
        <v>0</v>
      </c>
    </row>
    <row r="34" spans="2:9">
      <c r="F34" s="7">
        <f>IF('W rejestracji'!$C$41="","",'W rejestracji'!$C$41)</f>
        <v>0</v>
      </c>
      <c r="G34" s="7">
        <f>IF(Zarejestrowane!$C$41="","",Zarejestrowane!$C$41)</f>
        <v>0</v>
      </c>
      <c r="H34" s="9">
        <f>IF(AND($F34&lt;&gt;"",ISNUMBER(SEARCH('Nr rejestracyjny'!$F$5,$F34))),COUNT($H$1:H33)+1,"")</f>
        <v>0</v>
      </c>
      <c r="I34" s="9">
        <f>IF(AND($G34&lt;&gt;"",ISNUMBER(SEARCH('Nr rejestracyjny'!$F$5,$G34))),COUNT($I$1:I33)+1,"")</f>
        <v>0</v>
      </c>
    </row>
    <row r="35" spans="2:9">
      <c r="F35" s="7">
        <f>IF('W rejestracji'!$C$42="","",'W rejestracji'!$C$42)</f>
        <v>0</v>
      </c>
      <c r="G35" s="7">
        <f>IF(Zarejestrowane!$C$42="","",Zarejestrowane!$C$42)</f>
        <v>0</v>
      </c>
      <c r="H35" s="9">
        <f>IF(AND($F35&lt;&gt;"",ISNUMBER(SEARCH('Nr rejestracyjny'!$F$5,$F35))),COUNT($H$1:H34)+1,"")</f>
        <v>0</v>
      </c>
      <c r="I35" s="9">
        <f>IF(AND($G35&lt;&gt;"",ISNUMBER(SEARCH('Nr rejestracyjny'!$F$5,$G35))),COUNT($I$1:I34)+1,"")</f>
        <v>0</v>
      </c>
    </row>
    <row r="36" spans="2:9">
      <c r="F36" s="7">
        <f>IF('W rejestracji'!$C$43="","",'W rejestracji'!$C$43)</f>
        <v>0</v>
      </c>
      <c r="G36" s="7">
        <f>IF(Zarejestrowane!$C$43="","",Zarejestrowane!$C$43)</f>
        <v>0</v>
      </c>
      <c r="H36" s="9">
        <f>IF(AND($F36&lt;&gt;"",ISNUMBER(SEARCH('Nr rejestracyjny'!$F$5,$F36))),COUNT($H$1:H35)+1,"")</f>
        <v>0</v>
      </c>
      <c r="I36" s="9">
        <f>IF(AND($G36&lt;&gt;"",ISNUMBER(SEARCH('Nr rejestracyjny'!$F$5,$G36))),COUNT($I$1:I35)+1,"")</f>
        <v>0</v>
      </c>
    </row>
    <row r="37" spans="2:9">
      <c r="F37" s="7">
        <f>IF('W rejestracji'!$C$44="","",'W rejestracji'!$C$44)</f>
        <v>0</v>
      </c>
      <c r="G37" s="7">
        <f>IF(Zarejestrowane!$C$44="","",Zarejestrowane!$C$44)</f>
        <v>0</v>
      </c>
      <c r="H37" s="9">
        <f>IF(AND($F37&lt;&gt;"",ISNUMBER(SEARCH('Nr rejestracyjny'!$F$5,$F37))),COUNT($H$1:H36)+1,"")</f>
        <v>0</v>
      </c>
      <c r="I37" s="9">
        <f>IF(AND($G37&lt;&gt;"",ISNUMBER(SEARCH('Nr rejestracyjny'!$F$5,$G37))),COUNT($I$1:I36)+1,"")</f>
        <v>0</v>
      </c>
    </row>
    <row r="38" spans="2:9">
      <c r="F38" s="7">
        <f>IF('W rejestracji'!$C$45="","",'W rejestracji'!$C$45)</f>
        <v>0</v>
      </c>
      <c r="G38" s="7">
        <f>IF(Zarejestrowane!$C$45="","",Zarejestrowane!$C$45)</f>
        <v>0</v>
      </c>
      <c r="H38" s="9">
        <f>IF(AND($F38&lt;&gt;"",ISNUMBER(SEARCH('Nr rejestracyjny'!$F$5,$F38))),COUNT($H$1:H37)+1,"")</f>
        <v>0</v>
      </c>
      <c r="I38" s="9">
        <f>IF(AND($G38&lt;&gt;"",ISNUMBER(SEARCH('Nr rejestracyjny'!$F$5,$G38))),COUNT($I$1:I37)+1,"")</f>
        <v>0</v>
      </c>
    </row>
    <row r="39" spans="2:9">
      <c r="F39" s="7">
        <f>IF('W rejestracji'!$C$46="","",'W rejestracji'!$C$46)</f>
        <v>0</v>
      </c>
      <c r="G39" s="7">
        <f>IF(Zarejestrowane!$C$46="","",Zarejestrowane!$C$46)</f>
        <v>0</v>
      </c>
      <c r="H39" s="9">
        <f>IF(AND($F39&lt;&gt;"",ISNUMBER(SEARCH('Nr rejestracyjny'!$F$5,$F39))),COUNT($H$1:H38)+1,"")</f>
        <v>0</v>
      </c>
      <c r="I39" s="9">
        <f>IF(AND($G39&lt;&gt;"",ISNUMBER(SEARCH('Nr rejestracyjny'!$F$5,$G39))),COUNT($I$1:I38)+1,"")</f>
        <v>0</v>
      </c>
    </row>
    <row r="40" spans="2:9">
      <c r="F40" s="7">
        <f>IF('W rejestracji'!$C$47="","",'W rejestracji'!$C$47)</f>
        <v>0</v>
      </c>
      <c r="G40" s="7">
        <f>IF(Zarejestrowane!$C$47="","",Zarejestrowane!$C$47)</f>
        <v>0</v>
      </c>
      <c r="H40" s="9">
        <f>IF(AND($F40&lt;&gt;"",ISNUMBER(SEARCH('Nr rejestracyjny'!$F$5,$F40))),COUNT($H$1:H39)+1,"")</f>
        <v>0</v>
      </c>
      <c r="I40" s="9">
        <f>IF(AND($G40&lt;&gt;"",ISNUMBER(SEARCH('Nr rejestracyjny'!$F$5,$G40))),COUNT($I$1:I39)+1,"")</f>
        <v>0</v>
      </c>
    </row>
    <row r="41" spans="2:9">
      <c r="F41" s="7">
        <f>IF('W rejestracji'!$C$48="","",'W rejestracji'!$C$48)</f>
        <v>0</v>
      </c>
      <c r="G41" s="7">
        <f>IF(Zarejestrowane!$C$48="","",Zarejestrowane!$C$48)</f>
        <v>0</v>
      </c>
      <c r="H41" s="9">
        <f>IF(AND($F41&lt;&gt;"",ISNUMBER(SEARCH('Nr rejestracyjny'!$F$5,$F41))),COUNT($H$1:H40)+1,"")</f>
        <v>0</v>
      </c>
      <c r="I41" s="9">
        <f>IF(AND($G41&lt;&gt;"",ISNUMBER(SEARCH('Nr rejestracyjny'!$F$5,$G41))),COUNT($I$1:I40)+1,"")</f>
        <v>0</v>
      </c>
    </row>
    <row r="42" spans="2:9">
      <c r="F42" s="7">
        <f>IF('W rejestracji'!$C$49="","",'W rejestracji'!$C$49)</f>
        <v>0</v>
      </c>
      <c r="G42" s="7">
        <f>IF(Zarejestrowane!$C$49="","",Zarejestrowane!$C$49)</f>
        <v>0</v>
      </c>
      <c r="H42" s="9">
        <f>IF(AND($F42&lt;&gt;"",ISNUMBER(SEARCH('Nr rejestracyjny'!$F$5,$F42))),COUNT($H$1:H41)+1,"")</f>
        <v>0</v>
      </c>
      <c r="I42" s="9">
        <f>IF(AND($G42&lt;&gt;"",ISNUMBER(SEARCH('Nr rejestracyjny'!$F$5,$G42))),COUNT($I$1:I41)+1,"")</f>
        <v>0</v>
      </c>
    </row>
    <row r="43" spans="2:9">
      <c r="F43" s="7">
        <f>IF('W rejestracji'!$C$50="","",'W rejestracji'!$C$50)</f>
        <v>0</v>
      </c>
      <c r="G43" s="7">
        <f>IF(Zarejestrowane!$C$50="","",Zarejestrowane!$C$50)</f>
        <v>0</v>
      </c>
      <c r="H43" s="9">
        <f>IF(AND($F43&lt;&gt;"",ISNUMBER(SEARCH('Nr rejestracyjny'!$F$5,$F43))),COUNT($H$1:H42)+1,"")</f>
        <v>0</v>
      </c>
      <c r="I43" s="9">
        <f>IF(AND($G43&lt;&gt;"",ISNUMBER(SEARCH('Nr rejestracyjny'!$F$5,$G43))),COUNT($I$1:I42)+1,"")</f>
        <v>0</v>
      </c>
    </row>
    <row r="44" spans="2:9">
      <c r="F44" s="7">
        <f>IF('W rejestracji'!$C$51="","",'W rejestracji'!$C$51)</f>
        <v>0</v>
      </c>
      <c r="G44" s="7">
        <f>IF(Zarejestrowane!$C$51="","",Zarejestrowane!$C$51)</f>
        <v>0</v>
      </c>
      <c r="H44" s="9">
        <f>IF(AND($F44&lt;&gt;"",ISNUMBER(SEARCH('Nr rejestracyjny'!$F$5,$F44))),COUNT($H$1:H43)+1,"")</f>
        <v>0</v>
      </c>
      <c r="I44" s="9">
        <f>IF(AND($G44&lt;&gt;"",ISNUMBER(SEARCH('Nr rejestracyjny'!$F$5,$G44))),COUNT($I$1:I43)+1,"")</f>
        <v>0</v>
      </c>
    </row>
    <row r="45" spans="2:9">
      <c r="F45" s="7">
        <f>IF('W rejestracji'!$C$52="","",'W rejestracji'!$C$52)</f>
        <v>0</v>
      </c>
      <c r="G45" s="7">
        <f>IF(Zarejestrowane!$C$52="","",Zarejestrowane!$C$52)</f>
        <v>0</v>
      </c>
      <c r="H45" s="9">
        <f>IF(AND($F45&lt;&gt;"",ISNUMBER(SEARCH('Nr rejestracyjny'!$F$5,$F45))),COUNT($H$1:H44)+1,"")</f>
        <v>0</v>
      </c>
      <c r="I45" s="9">
        <f>IF(AND($G45&lt;&gt;"",ISNUMBER(SEARCH('Nr rejestracyjny'!$F$5,$G45))),COUNT($I$1:I44)+1,"")</f>
        <v>0</v>
      </c>
    </row>
    <row r="46" spans="2:9">
      <c r="F46" s="7">
        <f>IF('W rejestracji'!$C$53="","",'W rejestracji'!$C$53)</f>
        <v>0</v>
      </c>
      <c r="G46" s="7">
        <f>IF(Zarejestrowane!$C$53="","",Zarejestrowane!$C$53)</f>
        <v>0</v>
      </c>
      <c r="H46" s="9">
        <f>IF(AND($F46&lt;&gt;"",ISNUMBER(SEARCH('Nr rejestracyjny'!$F$5,$F46))),COUNT($H$1:H45)+1,"")</f>
        <v>0</v>
      </c>
      <c r="I46" s="9">
        <f>IF(AND($G46&lt;&gt;"",ISNUMBER(SEARCH('Nr rejestracyjny'!$F$5,$G46))),COUNT($I$1:I45)+1,"")</f>
        <v>0</v>
      </c>
    </row>
    <row r="47" spans="2:9">
      <c r="F47" s="7">
        <f>IF('W rejestracji'!$C$54="","",'W rejestracji'!$C$54)</f>
        <v>0</v>
      </c>
      <c r="G47" s="7">
        <f>IF(Zarejestrowane!$C$54="","",Zarejestrowane!$C$54)</f>
        <v>0</v>
      </c>
      <c r="H47" s="9">
        <f>IF(AND($F47&lt;&gt;"",ISNUMBER(SEARCH('Nr rejestracyjny'!$F$5,$F47))),COUNT($H$1:H46)+1,"")</f>
        <v>0</v>
      </c>
      <c r="I47" s="9">
        <f>IF(AND($G47&lt;&gt;"",ISNUMBER(SEARCH('Nr rejestracyjny'!$F$5,$G47))),COUNT($I$1:I46)+1,"")</f>
        <v>0</v>
      </c>
    </row>
    <row r="48" spans="2:9">
      <c r="F48" s="7">
        <f>IF('W rejestracji'!$C$55="","",'W rejestracji'!$C$55)</f>
        <v>0</v>
      </c>
      <c r="G48" s="7">
        <f>IF(Zarejestrowane!$C$55="","",Zarejestrowane!$C$55)</f>
        <v>0</v>
      </c>
      <c r="H48" s="9">
        <f>IF(AND($F48&lt;&gt;"",ISNUMBER(SEARCH('Nr rejestracyjny'!$F$5,$F48))),COUNT($H$1:H47)+1,"")</f>
        <v>0</v>
      </c>
      <c r="I48" s="9">
        <f>IF(AND($G48&lt;&gt;"",ISNUMBER(SEARCH('Nr rejestracyjny'!$F$5,$G48))),COUNT($I$1:I47)+1,"")</f>
        <v>0</v>
      </c>
    </row>
    <row r="49" spans="6:9">
      <c r="F49" s="7">
        <f>IF('W rejestracji'!$C$56="","",'W rejestracji'!$C$56)</f>
        <v>0</v>
      </c>
      <c r="G49" s="7">
        <f>IF(Zarejestrowane!$C$56="","",Zarejestrowane!$C$56)</f>
        <v>0</v>
      </c>
      <c r="H49" s="9">
        <f>IF(AND($F49&lt;&gt;"",ISNUMBER(SEARCH('Nr rejestracyjny'!$F$5,$F49))),COUNT($H$1:H48)+1,"")</f>
        <v>0</v>
      </c>
      <c r="I49" s="9">
        <f>IF(AND($G49&lt;&gt;"",ISNUMBER(SEARCH('Nr rejestracyjny'!$F$5,$G49))),COUNT($I$1:I48)+1,"")</f>
        <v>0</v>
      </c>
    </row>
    <row r="50" spans="6:9">
      <c r="F50" s="7">
        <f>IF('W rejestracji'!$C$57="","",'W rejestracji'!$C$57)</f>
        <v>0</v>
      </c>
      <c r="G50" s="7">
        <f>IF(Zarejestrowane!$C$57="","",Zarejestrowane!$C$57)</f>
        <v>0</v>
      </c>
      <c r="H50" s="9">
        <f>IF(AND($F50&lt;&gt;"",ISNUMBER(SEARCH('Nr rejestracyjny'!$F$5,$F50))),COUNT($H$1:H49)+1,"")</f>
        <v>0</v>
      </c>
      <c r="I50" s="9">
        <f>IF(AND($G50&lt;&gt;"",ISNUMBER(SEARCH('Nr rejestracyjny'!$F$5,$G50))),COUNT($I$1:I49)+1,"")</f>
        <v>0</v>
      </c>
    </row>
    <row r="51" spans="6:9">
      <c r="F51" s="7">
        <f>IF('W rejestracji'!$C$58="","",'W rejestracji'!$C$58)</f>
        <v>0</v>
      </c>
      <c r="G51" s="7">
        <f>IF(Zarejestrowane!$C$58="","",Zarejestrowane!$C$58)</f>
        <v>0</v>
      </c>
      <c r="H51" s="9">
        <f>IF(AND($F51&lt;&gt;"",ISNUMBER(SEARCH('Nr rejestracyjny'!$F$5,$F51))),COUNT($H$1:H50)+1,"")</f>
        <v>0</v>
      </c>
      <c r="I51" s="9">
        <f>IF(AND($G51&lt;&gt;"",ISNUMBER(SEARCH('Nr rejestracyjny'!$F$5,$G51))),COUNT($I$1:I50)+1,"")</f>
        <v>0</v>
      </c>
    </row>
    <row r="52" spans="6:9">
      <c r="F52" s="7">
        <f>IF('W rejestracji'!$C$59="","",'W rejestracji'!$C$59)</f>
        <v>0</v>
      </c>
      <c r="G52" s="7">
        <f>IF(Zarejestrowane!$C$59="","",Zarejestrowane!$C$59)</f>
        <v>0</v>
      </c>
      <c r="H52" s="9">
        <f>IF(AND($F52&lt;&gt;"",ISNUMBER(SEARCH('Nr rejestracyjny'!$F$5,$F52))),COUNT($H$1:H51)+1,"")</f>
        <v>0</v>
      </c>
      <c r="I52" s="9">
        <f>IF(AND($G52&lt;&gt;"",ISNUMBER(SEARCH('Nr rejestracyjny'!$F$5,$G52))),COUNT($I$1:I51)+1,"")</f>
        <v>0</v>
      </c>
    </row>
    <row r="53" spans="6:9">
      <c r="F53" s="7">
        <f>IF('W rejestracji'!$C$60="","",'W rejestracji'!$C$60)</f>
        <v>0</v>
      </c>
      <c r="G53" s="7">
        <f>IF(Zarejestrowane!$C$60="","",Zarejestrowane!$C$60)</f>
        <v>0</v>
      </c>
      <c r="H53" s="9">
        <f>IF(AND($F53&lt;&gt;"",ISNUMBER(SEARCH('Nr rejestracyjny'!$F$5,$F53))),COUNT($H$1:H52)+1,"")</f>
        <v>0</v>
      </c>
      <c r="I53" s="9">
        <f>IF(AND($G53&lt;&gt;"",ISNUMBER(SEARCH('Nr rejestracyjny'!$F$5,$G53))),COUNT($I$1:I52)+1,"")</f>
        <v>0</v>
      </c>
    </row>
    <row r="54" spans="6:9">
      <c r="F54" s="7">
        <f>IF('W rejestracji'!$C$61="","",'W rejestracji'!$C$61)</f>
        <v>0</v>
      </c>
      <c r="G54" s="7">
        <f>IF(Zarejestrowane!$C$61="","",Zarejestrowane!$C$61)</f>
        <v>0</v>
      </c>
      <c r="H54" s="9">
        <f>IF(AND($F54&lt;&gt;"",ISNUMBER(SEARCH('Nr rejestracyjny'!$F$5,$F54))),COUNT($H$1:H53)+1,"")</f>
        <v>0</v>
      </c>
      <c r="I54" s="9">
        <f>IF(AND($G54&lt;&gt;"",ISNUMBER(SEARCH('Nr rejestracyjny'!$F$5,$G54))),COUNT($I$1:I53)+1,"")</f>
        <v>0</v>
      </c>
    </row>
    <row r="55" spans="6:9">
      <c r="F55" s="7">
        <f>IF('W rejestracji'!$C$62="","",'W rejestracji'!$C$62)</f>
        <v>0</v>
      </c>
      <c r="G55" s="7">
        <f>IF(Zarejestrowane!$C$62="","",Zarejestrowane!$C$62)</f>
        <v>0</v>
      </c>
      <c r="H55" s="9">
        <f>IF(AND($F55&lt;&gt;"",ISNUMBER(SEARCH('Nr rejestracyjny'!$F$5,$F55))),COUNT($H$1:H54)+1,"")</f>
        <v>0</v>
      </c>
      <c r="I55" s="9">
        <f>IF(AND($G55&lt;&gt;"",ISNUMBER(SEARCH('Nr rejestracyjny'!$F$5,$G55))),COUNT($I$1:I54)+1,"")</f>
        <v>0</v>
      </c>
    </row>
    <row r="56" spans="6:9">
      <c r="F56" s="7">
        <f>IF('W rejestracji'!$C$63="","",'W rejestracji'!$C$63)</f>
        <v>0</v>
      </c>
      <c r="G56" s="7">
        <f>IF(Zarejestrowane!$C$63="","",Zarejestrowane!$C$63)</f>
        <v>0</v>
      </c>
      <c r="H56" s="9">
        <f>IF(AND($F56&lt;&gt;"",ISNUMBER(SEARCH('Nr rejestracyjny'!$F$5,$F56))),COUNT($H$1:H55)+1,"")</f>
        <v>0</v>
      </c>
      <c r="I56" s="9">
        <f>IF(AND($G56&lt;&gt;"",ISNUMBER(SEARCH('Nr rejestracyjny'!$F$5,$G56))),COUNT($I$1:I55)+1,"")</f>
        <v>0</v>
      </c>
    </row>
    <row r="57" spans="6:9">
      <c r="F57" s="7">
        <f>IF('W rejestracji'!$C$64="","",'W rejestracji'!$C$64)</f>
        <v>0</v>
      </c>
      <c r="G57" s="7">
        <f>IF(Zarejestrowane!$C$64="","",Zarejestrowane!$C$64)</f>
        <v>0</v>
      </c>
      <c r="H57" s="9">
        <f>IF(AND($F57&lt;&gt;"",ISNUMBER(SEARCH('Nr rejestracyjny'!$F$5,$F57))),COUNT($H$1:H56)+1,"")</f>
        <v>0</v>
      </c>
      <c r="I57" s="9">
        <f>IF(AND($G57&lt;&gt;"",ISNUMBER(SEARCH('Nr rejestracyjny'!$F$5,$G57))),COUNT($I$1:I56)+1,"")</f>
        <v>0</v>
      </c>
    </row>
    <row r="58" spans="6:9">
      <c r="F58" s="7">
        <f>IF('W rejestracji'!$C$65="","",'W rejestracji'!$C$65)</f>
        <v>0</v>
      </c>
      <c r="G58" s="7">
        <f>IF(Zarejestrowane!$C$65="","",Zarejestrowane!$C$65)</f>
        <v>0</v>
      </c>
      <c r="H58" s="9">
        <f>IF(AND($F58&lt;&gt;"",ISNUMBER(SEARCH('Nr rejestracyjny'!$F$5,$F58))),COUNT($H$1:H57)+1,"")</f>
        <v>0</v>
      </c>
      <c r="I58" s="9">
        <f>IF(AND($G58&lt;&gt;"",ISNUMBER(SEARCH('Nr rejestracyjny'!$F$5,$G58))),COUNT($I$1:I57)+1,"")</f>
        <v>0</v>
      </c>
    </row>
    <row r="59" spans="6:9">
      <c r="F59" s="7">
        <f>IF('W rejestracji'!$C$66="","",'W rejestracji'!$C$66)</f>
        <v>0</v>
      </c>
      <c r="G59" s="7">
        <f>IF(Zarejestrowane!$C$66="","",Zarejestrowane!$C$66)</f>
        <v>0</v>
      </c>
      <c r="H59" s="9">
        <f>IF(AND($F59&lt;&gt;"",ISNUMBER(SEARCH('Nr rejestracyjny'!$F$5,$F59))),COUNT($H$1:H58)+1,"")</f>
        <v>0</v>
      </c>
      <c r="I59" s="9">
        <f>IF(AND($G59&lt;&gt;"",ISNUMBER(SEARCH('Nr rejestracyjny'!$F$5,$G59))),COUNT($I$1:I58)+1,"")</f>
        <v>0</v>
      </c>
    </row>
    <row r="60" spans="6:9">
      <c r="F60" s="7">
        <f>IF('W rejestracji'!$C$67="","",'W rejestracji'!$C$67)</f>
        <v>0</v>
      </c>
      <c r="G60" s="7">
        <f>IF(Zarejestrowane!$C$67="","",Zarejestrowane!$C$67)</f>
        <v>0</v>
      </c>
      <c r="H60" s="9">
        <f>IF(AND($F60&lt;&gt;"",ISNUMBER(SEARCH('Nr rejestracyjny'!$F$5,$F60))),COUNT($H$1:H59)+1,"")</f>
        <v>0</v>
      </c>
      <c r="I60" s="9">
        <f>IF(AND($G60&lt;&gt;"",ISNUMBER(SEARCH('Nr rejestracyjny'!$F$5,$G60))),COUNT($I$1:I59)+1,"")</f>
        <v>0</v>
      </c>
    </row>
    <row r="61" spans="6:9">
      <c r="F61" s="7">
        <f>IF('W rejestracji'!$C$68="","",'W rejestracji'!$C$68)</f>
        <v>0</v>
      </c>
      <c r="G61" s="7">
        <f>IF(Zarejestrowane!$C$68="","",Zarejestrowane!$C$68)</f>
        <v>0</v>
      </c>
      <c r="H61" s="9">
        <f>IF(AND($F61&lt;&gt;"",ISNUMBER(SEARCH('Nr rejestracyjny'!$F$5,$F61))),COUNT($H$1:H60)+1,"")</f>
        <v>0</v>
      </c>
      <c r="I61" s="9">
        <f>IF(AND($G61&lt;&gt;"",ISNUMBER(SEARCH('Nr rejestracyjny'!$F$5,$G61))),COUNT($I$1:I60)+1,"")</f>
        <v>0</v>
      </c>
    </row>
    <row r="62" spans="6:9">
      <c r="F62" s="7">
        <f>IF('W rejestracji'!$C$69="","",'W rejestracji'!$C$69)</f>
        <v>0</v>
      </c>
      <c r="G62" s="7">
        <f>IF(Zarejestrowane!$C$69="","",Zarejestrowane!$C$69)</f>
        <v>0</v>
      </c>
      <c r="H62" s="9">
        <f>IF(AND($F62&lt;&gt;"",ISNUMBER(SEARCH('Nr rejestracyjny'!$F$5,$F62))),COUNT($H$1:H61)+1,"")</f>
        <v>0</v>
      </c>
      <c r="I62" s="9">
        <f>IF(AND($G62&lt;&gt;"",ISNUMBER(SEARCH('Nr rejestracyjny'!$F$5,$G62))),COUNT($I$1:I61)+1,"")</f>
        <v>0</v>
      </c>
    </row>
    <row r="63" spans="6:9">
      <c r="F63" s="7">
        <f>IF('W rejestracji'!$C$70="","",'W rejestracji'!$C$70)</f>
        <v>0</v>
      </c>
      <c r="G63" s="7">
        <f>IF(Zarejestrowane!$C$70="","",Zarejestrowane!$C$70)</f>
        <v>0</v>
      </c>
      <c r="H63" s="9">
        <f>IF(AND($F63&lt;&gt;"",ISNUMBER(SEARCH('Nr rejestracyjny'!$F$5,$F63))),COUNT($H$1:H62)+1,"")</f>
        <v>0</v>
      </c>
      <c r="I63" s="9">
        <f>IF(AND($G63&lt;&gt;"",ISNUMBER(SEARCH('Nr rejestracyjny'!$F$5,$G63))),COUNT($I$1:I62)+1,"")</f>
        <v>0</v>
      </c>
    </row>
    <row r="64" spans="6:9">
      <c r="F64" s="7">
        <f>IF('W rejestracji'!$C$71="","",'W rejestracji'!$C$71)</f>
        <v>0</v>
      </c>
      <c r="G64" s="7">
        <f>IF(Zarejestrowane!$C$71="","",Zarejestrowane!$C$71)</f>
        <v>0</v>
      </c>
      <c r="H64" s="9">
        <f>IF(AND($F64&lt;&gt;"",ISNUMBER(SEARCH('Nr rejestracyjny'!$F$5,$F64))),COUNT($H$1:H63)+1,"")</f>
        <v>0</v>
      </c>
      <c r="I64" s="9">
        <f>IF(AND($G64&lt;&gt;"",ISNUMBER(SEARCH('Nr rejestracyjny'!$F$5,$G64))),COUNT($I$1:I63)+1,"")</f>
        <v>0</v>
      </c>
    </row>
    <row r="65" spans="6:9">
      <c r="F65" s="7">
        <f>IF('W rejestracji'!$C$72="","",'W rejestracji'!$C$72)</f>
        <v>0</v>
      </c>
      <c r="G65" s="7">
        <f>IF(Zarejestrowane!$C$72="","",Zarejestrowane!$C$72)</f>
        <v>0</v>
      </c>
      <c r="H65" s="9">
        <f>IF(AND($F65&lt;&gt;"",ISNUMBER(SEARCH('Nr rejestracyjny'!$F$5,$F65))),COUNT($H$1:H64)+1,"")</f>
        <v>0</v>
      </c>
      <c r="I65" s="9">
        <f>IF(AND($G65&lt;&gt;"",ISNUMBER(SEARCH('Nr rejestracyjny'!$F$5,$G65))),COUNT($I$1:I64)+1,"")</f>
        <v>0</v>
      </c>
    </row>
    <row r="66" spans="6:9">
      <c r="F66" s="7">
        <f>IF('W rejestracji'!$C$73="","",'W rejestracji'!$C$73)</f>
        <v>0</v>
      </c>
      <c r="G66" s="7">
        <f>IF(Zarejestrowane!$C$73="","",Zarejestrowane!$C$73)</f>
        <v>0</v>
      </c>
      <c r="H66" s="9">
        <f>IF(AND($F66&lt;&gt;"",ISNUMBER(SEARCH('Nr rejestracyjny'!$F$5,$F66))),COUNT($H$1:H65)+1,"")</f>
        <v>0</v>
      </c>
      <c r="I66" s="9">
        <f>IF(AND($G66&lt;&gt;"",ISNUMBER(SEARCH('Nr rejestracyjny'!$F$5,$G66))),COUNT($I$1:I65)+1,"")</f>
        <v>0</v>
      </c>
    </row>
    <row r="67" spans="6:9">
      <c r="F67" s="7">
        <f>IF('W rejestracji'!$C$74="","",'W rejestracji'!$C$74)</f>
        <v>0</v>
      </c>
      <c r="G67" s="7">
        <f>IF(Zarejestrowane!$C$74="","",Zarejestrowane!$C$74)</f>
        <v>0</v>
      </c>
      <c r="H67" s="9">
        <f>IF(AND($F67&lt;&gt;"",ISNUMBER(SEARCH('Nr rejestracyjny'!$F$5,$F67))),COUNT($H$1:H66)+1,"")</f>
        <v>0</v>
      </c>
      <c r="I67" s="9">
        <f>IF(AND($G67&lt;&gt;"",ISNUMBER(SEARCH('Nr rejestracyjny'!$F$5,$G67))),COUNT($I$1:I66)+1,"")</f>
        <v>0</v>
      </c>
    </row>
    <row r="68" spans="6:9">
      <c r="F68" s="7">
        <f>IF('W rejestracji'!$C$75="","",'W rejestracji'!$C$75)</f>
        <v>0</v>
      </c>
      <c r="G68" s="7">
        <f>IF(Zarejestrowane!$C$75="","",Zarejestrowane!$C$75)</f>
        <v>0</v>
      </c>
      <c r="H68" s="9">
        <f>IF(AND($F68&lt;&gt;"",ISNUMBER(SEARCH('Nr rejestracyjny'!$F$5,$F68))),COUNT($H$1:H67)+1,"")</f>
        <v>0</v>
      </c>
      <c r="I68" s="9">
        <f>IF(AND($G68&lt;&gt;"",ISNUMBER(SEARCH('Nr rejestracyjny'!$F$5,$G68))),COUNT($I$1:I67)+1,"")</f>
        <v>0</v>
      </c>
    </row>
    <row r="69" spans="6:9">
      <c r="F69" s="7">
        <f>IF('W rejestracji'!$C$76="","",'W rejestracji'!$C$76)</f>
        <v>0</v>
      </c>
      <c r="G69" s="7">
        <f>IF(Zarejestrowane!$C$76="","",Zarejestrowane!$C$76)</f>
        <v>0</v>
      </c>
      <c r="H69" s="9">
        <f>IF(AND($F69&lt;&gt;"",ISNUMBER(SEARCH('Nr rejestracyjny'!$F$5,$F69))),COUNT($H$1:H68)+1,"")</f>
        <v>0</v>
      </c>
      <c r="I69" s="9">
        <f>IF(AND($G69&lt;&gt;"",ISNUMBER(SEARCH('Nr rejestracyjny'!$F$5,$G69))),COUNT($I$1:I68)+1,"")</f>
        <v>0</v>
      </c>
    </row>
    <row r="70" spans="6:9">
      <c r="F70" s="7">
        <f>IF('W rejestracji'!$C$77="","",'W rejestracji'!$C$77)</f>
        <v>0</v>
      </c>
      <c r="G70" s="7">
        <f>IF(Zarejestrowane!$C$77="","",Zarejestrowane!$C$77)</f>
        <v>0</v>
      </c>
      <c r="H70" s="9">
        <f>IF(AND($F70&lt;&gt;"",ISNUMBER(SEARCH('Nr rejestracyjny'!$F$5,$F70))),COUNT($H$1:H69)+1,"")</f>
        <v>0</v>
      </c>
      <c r="I70" s="9">
        <f>IF(AND($G70&lt;&gt;"",ISNUMBER(SEARCH('Nr rejestracyjny'!$F$5,$G70))),COUNT($I$1:I69)+1,"")</f>
        <v>0</v>
      </c>
    </row>
    <row r="71" spans="6:9">
      <c r="F71" s="7">
        <f>IF('W rejestracji'!$C$78="","",'W rejestracji'!$C$78)</f>
        <v>0</v>
      </c>
      <c r="G71" s="7">
        <f>IF(Zarejestrowane!$C$78="","",Zarejestrowane!$C$78)</f>
        <v>0</v>
      </c>
      <c r="H71" s="9">
        <f>IF(AND($F71&lt;&gt;"",ISNUMBER(SEARCH('Nr rejestracyjny'!$F$5,$F71))),COUNT($H$1:H70)+1,"")</f>
        <v>0</v>
      </c>
      <c r="I71" s="9">
        <f>IF(AND($G71&lt;&gt;"",ISNUMBER(SEARCH('Nr rejestracyjny'!$F$5,$G71))),COUNT($I$1:I70)+1,"")</f>
        <v>0</v>
      </c>
    </row>
    <row r="72" spans="6:9">
      <c r="F72" s="7">
        <f>IF('W rejestracji'!$C$79="","",'W rejestracji'!$C$79)</f>
        <v>0</v>
      </c>
      <c r="G72" s="7">
        <f>IF(Zarejestrowane!$C$79="","",Zarejestrowane!$C$79)</f>
        <v>0</v>
      </c>
      <c r="H72" s="9">
        <f>IF(AND($F72&lt;&gt;"",ISNUMBER(SEARCH('Nr rejestracyjny'!$F$5,$F72))),COUNT($H$1:H71)+1,"")</f>
        <v>0</v>
      </c>
      <c r="I72" s="9">
        <f>IF(AND($G72&lt;&gt;"",ISNUMBER(SEARCH('Nr rejestracyjny'!$F$5,$G72))),COUNT($I$1:I71)+1,"")</f>
        <v>0</v>
      </c>
    </row>
    <row r="73" spans="6:9">
      <c r="F73" s="7">
        <f>IF('W rejestracji'!$C$80="","",'W rejestracji'!$C$80)</f>
        <v>0</v>
      </c>
      <c r="G73" s="7">
        <f>IF(Zarejestrowane!$C$80="","",Zarejestrowane!$C$80)</f>
        <v>0</v>
      </c>
      <c r="H73" s="9">
        <f>IF(AND($F73&lt;&gt;"",ISNUMBER(SEARCH('Nr rejestracyjny'!$F$5,$F73))),COUNT($H$1:H72)+1,"")</f>
        <v>0</v>
      </c>
      <c r="I73" s="9">
        <f>IF(AND($G73&lt;&gt;"",ISNUMBER(SEARCH('Nr rejestracyjny'!$F$5,$G73))),COUNT($I$1:I72)+1,"")</f>
        <v>0</v>
      </c>
    </row>
    <row r="74" spans="6:9">
      <c r="F74" s="7">
        <f>IF('W rejestracji'!$C$81="","",'W rejestracji'!$C$81)</f>
        <v>0</v>
      </c>
      <c r="G74" s="7">
        <f>IF(Zarejestrowane!$C$81="","",Zarejestrowane!$C$81)</f>
        <v>0</v>
      </c>
      <c r="H74" s="9">
        <f>IF(AND($F74&lt;&gt;"",ISNUMBER(SEARCH('Nr rejestracyjny'!$F$5,$F74))),COUNT($H$1:H73)+1,"")</f>
        <v>0</v>
      </c>
      <c r="I74" s="9">
        <f>IF(AND($G74&lt;&gt;"",ISNUMBER(SEARCH('Nr rejestracyjny'!$F$5,$G74))),COUNT($I$1:I73)+1,"")</f>
        <v>0</v>
      </c>
    </row>
    <row r="75" spans="6:9">
      <c r="F75" s="7">
        <f>IF('W rejestracji'!$C$82="","",'W rejestracji'!$C$82)</f>
        <v>0</v>
      </c>
      <c r="G75" s="7">
        <f>IF(Zarejestrowane!$C$82="","",Zarejestrowane!$C$82)</f>
        <v>0</v>
      </c>
      <c r="H75" s="9">
        <f>IF(AND($F75&lt;&gt;"",ISNUMBER(SEARCH('Nr rejestracyjny'!$F$5,$F75))),COUNT($H$1:H74)+1,"")</f>
        <v>0</v>
      </c>
      <c r="I75" s="9">
        <f>IF(AND($G75&lt;&gt;"",ISNUMBER(SEARCH('Nr rejestracyjny'!$F$5,$G75))),COUNT($I$1:I74)+1,"")</f>
        <v>0</v>
      </c>
    </row>
    <row r="76" spans="6:9">
      <c r="F76" s="7">
        <f>IF('W rejestracji'!$C$83="","",'W rejestracji'!$C$83)</f>
        <v>0</v>
      </c>
      <c r="G76" s="7">
        <f>IF(Zarejestrowane!$C$83="","",Zarejestrowane!$C$83)</f>
        <v>0</v>
      </c>
      <c r="H76" s="9">
        <f>IF(AND($F76&lt;&gt;"",ISNUMBER(SEARCH('Nr rejestracyjny'!$F$5,$F76))),COUNT($H$1:H75)+1,"")</f>
        <v>0</v>
      </c>
      <c r="I76" s="9">
        <f>IF(AND($G76&lt;&gt;"",ISNUMBER(SEARCH('Nr rejestracyjny'!$F$5,$G76))),COUNT($I$1:I75)+1,"")</f>
        <v>0</v>
      </c>
    </row>
    <row r="77" spans="6:9">
      <c r="F77" s="7">
        <f>IF('W rejestracji'!$C$84="","",'W rejestracji'!$C$84)</f>
        <v>0</v>
      </c>
      <c r="G77" s="7">
        <f>IF(Zarejestrowane!$C$84="","",Zarejestrowane!$C$84)</f>
        <v>0</v>
      </c>
      <c r="H77" s="9">
        <f>IF(AND($F77&lt;&gt;"",ISNUMBER(SEARCH('Nr rejestracyjny'!$F$5,$F77))),COUNT($H$1:H76)+1,"")</f>
        <v>0</v>
      </c>
      <c r="I77" s="9">
        <f>IF(AND($G77&lt;&gt;"",ISNUMBER(SEARCH('Nr rejestracyjny'!$F$5,$G77))),COUNT($I$1:I76)+1,"")</f>
        <v>0</v>
      </c>
    </row>
    <row r="78" spans="6:9">
      <c r="F78" s="7">
        <f>IF('W rejestracji'!$C$85="","",'W rejestracji'!$C$85)</f>
        <v>0</v>
      </c>
      <c r="G78" s="7">
        <f>IF(Zarejestrowane!$C$85="","",Zarejestrowane!$C$85)</f>
        <v>0</v>
      </c>
      <c r="H78" s="9">
        <f>IF(AND($F78&lt;&gt;"",ISNUMBER(SEARCH('Nr rejestracyjny'!$F$5,$F78))),COUNT($H$1:H77)+1,"")</f>
        <v>0</v>
      </c>
      <c r="I78" s="9">
        <f>IF(AND($G78&lt;&gt;"",ISNUMBER(SEARCH('Nr rejestracyjny'!$F$5,$G78))),COUNT($I$1:I77)+1,"")</f>
        <v>0</v>
      </c>
    </row>
    <row r="79" spans="6:9">
      <c r="F79" s="7">
        <f>IF('W rejestracji'!$C$86="","",'W rejestracji'!$C$86)</f>
        <v>0</v>
      </c>
      <c r="G79" s="7">
        <f>IF(Zarejestrowane!$C$86="","",Zarejestrowane!$C$86)</f>
        <v>0</v>
      </c>
      <c r="H79" s="9">
        <f>IF(AND($F79&lt;&gt;"",ISNUMBER(SEARCH('Nr rejestracyjny'!$F$5,$F79))),COUNT($H$1:H78)+1,"")</f>
        <v>0</v>
      </c>
      <c r="I79" s="9">
        <f>IF(AND($G79&lt;&gt;"",ISNUMBER(SEARCH('Nr rejestracyjny'!$F$5,$G79))),COUNT($I$1:I78)+1,"")</f>
        <v>0</v>
      </c>
    </row>
    <row r="80" spans="6:9">
      <c r="F80" s="7">
        <f>IF('W rejestracji'!$C$87="","",'W rejestracji'!$C$87)</f>
        <v>0</v>
      </c>
      <c r="G80" s="7">
        <f>IF(Zarejestrowane!$C$87="","",Zarejestrowane!$C$87)</f>
        <v>0</v>
      </c>
      <c r="H80" s="9">
        <f>IF(AND($F80&lt;&gt;"",ISNUMBER(SEARCH('Nr rejestracyjny'!$F$5,$F80))),COUNT($H$1:H79)+1,"")</f>
        <v>0</v>
      </c>
      <c r="I80" s="9">
        <f>IF(AND($G80&lt;&gt;"",ISNUMBER(SEARCH('Nr rejestracyjny'!$F$5,$G80))),COUNT($I$1:I79)+1,"")</f>
        <v>0</v>
      </c>
    </row>
    <row r="81" spans="6:9">
      <c r="F81" s="7">
        <f>IF('W rejestracji'!$C$88="","",'W rejestracji'!$C$88)</f>
        <v>0</v>
      </c>
      <c r="G81" s="7">
        <f>IF(Zarejestrowane!$C$88="","",Zarejestrowane!$C$88)</f>
        <v>0</v>
      </c>
      <c r="H81" s="9">
        <f>IF(AND($F81&lt;&gt;"",ISNUMBER(SEARCH('Nr rejestracyjny'!$F$5,$F81))),COUNT($H$1:H80)+1,"")</f>
        <v>0</v>
      </c>
      <c r="I81" s="9">
        <f>IF(AND($G81&lt;&gt;"",ISNUMBER(SEARCH('Nr rejestracyjny'!$F$5,$G81))),COUNT($I$1:I80)+1,"")</f>
        <v>0</v>
      </c>
    </row>
    <row r="82" spans="6:9">
      <c r="F82" s="7">
        <f>IF('W rejestracji'!$C$89="","",'W rejestracji'!$C$89)</f>
        <v>0</v>
      </c>
      <c r="G82" s="7">
        <f>IF(Zarejestrowane!$C$89="","",Zarejestrowane!$C$89)</f>
        <v>0</v>
      </c>
      <c r="H82" s="9">
        <f>IF(AND($F82&lt;&gt;"",ISNUMBER(SEARCH('Nr rejestracyjny'!$F$5,$F82))),COUNT($H$1:H81)+1,"")</f>
        <v>0</v>
      </c>
      <c r="I82" s="9">
        <f>IF(AND($G82&lt;&gt;"",ISNUMBER(SEARCH('Nr rejestracyjny'!$F$5,$G82))),COUNT($I$1:I81)+1,"")</f>
        <v>0</v>
      </c>
    </row>
    <row r="83" spans="6:9">
      <c r="F83" s="7">
        <f>IF('W rejestracji'!$C$90="","",'W rejestracji'!$C$90)</f>
        <v>0</v>
      </c>
      <c r="G83" s="7">
        <f>IF(Zarejestrowane!$C$90="","",Zarejestrowane!$C$90)</f>
        <v>0</v>
      </c>
      <c r="H83" s="9">
        <f>IF(AND($F83&lt;&gt;"",ISNUMBER(SEARCH('Nr rejestracyjny'!$F$5,$F83))),COUNT($H$1:H82)+1,"")</f>
        <v>0</v>
      </c>
      <c r="I83" s="9">
        <f>IF(AND($G83&lt;&gt;"",ISNUMBER(SEARCH('Nr rejestracyjny'!$F$5,$G83))),COUNT($I$1:I82)+1,"")</f>
        <v>0</v>
      </c>
    </row>
    <row r="84" spans="6:9">
      <c r="F84" s="7">
        <f>IF('W rejestracji'!$C$91="","",'W rejestracji'!$C$91)</f>
        <v>0</v>
      </c>
      <c r="G84" s="7">
        <f>IF(Zarejestrowane!$C$91="","",Zarejestrowane!$C$91)</f>
        <v>0</v>
      </c>
      <c r="H84" s="9">
        <f>IF(AND($F84&lt;&gt;"",ISNUMBER(SEARCH('Nr rejestracyjny'!$F$5,$F84))),COUNT($H$1:H83)+1,"")</f>
        <v>0</v>
      </c>
      <c r="I84" s="9">
        <f>IF(AND($G84&lt;&gt;"",ISNUMBER(SEARCH('Nr rejestracyjny'!$F$5,$G84))),COUNT($I$1:I83)+1,"")</f>
        <v>0</v>
      </c>
    </row>
    <row r="85" spans="6:9">
      <c r="F85" s="7">
        <f>IF('W rejestracji'!$C$92="","",'W rejestracji'!$C$92)</f>
        <v>0</v>
      </c>
      <c r="G85" s="7">
        <f>IF(Zarejestrowane!$C$92="","",Zarejestrowane!$C$92)</f>
        <v>0</v>
      </c>
      <c r="H85" s="9">
        <f>IF(AND($F85&lt;&gt;"",ISNUMBER(SEARCH('Nr rejestracyjny'!$F$5,$F85))),COUNT($H$1:H84)+1,"")</f>
        <v>0</v>
      </c>
      <c r="I85" s="9">
        <f>IF(AND($G85&lt;&gt;"",ISNUMBER(SEARCH('Nr rejestracyjny'!$F$5,$G85))),COUNT($I$1:I84)+1,"")</f>
        <v>0</v>
      </c>
    </row>
    <row r="86" spans="6:9">
      <c r="F86" s="7">
        <f>IF('W rejestracji'!$C$93="","",'W rejestracji'!$C$93)</f>
        <v>0</v>
      </c>
      <c r="G86" s="7">
        <f>IF(Zarejestrowane!$C$93="","",Zarejestrowane!$C$93)</f>
        <v>0</v>
      </c>
      <c r="H86" s="9">
        <f>IF(AND($F86&lt;&gt;"",ISNUMBER(SEARCH('Nr rejestracyjny'!$F$5,$F86))),COUNT($H$1:H85)+1,"")</f>
        <v>0</v>
      </c>
      <c r="I86" s="9">
        <f>IF(AND($G86&lt;&gt;"",ISNUMBER(SEARCH('Nr rejestracyjny'!$F$5,$G86))),COUNT($I$1:I85)+1,"")</f>
        <v>0</v>
      </c>
    </row>
    <row r="87" spans="6:9">
      <c r="F87" s="7">
        <f>IF('W rejestracji'!$C$94="","",'W rejestracji'!$C$94)</f>
        <v>0</v>
      </c>
      <c r="G87" s="7">
        <f>IF(Zarejestrowane!$C$94="","",Zarejestrowane!$C$94)</f>
        <v>0</v>
      </c>
      <c r="H87" s="9">
        <f>IF(AND($F87&lt;&gt;"",ISNUMBER(SEARCH('Nr rejestracyjny'!$F$5,$F87))),COUNT($H$1:H86)+1,"")</f>
        <v>0</v>
      </c>
      <c r="I87" s="9">
        <f>IF(AND($G87&lt;&gt;"",ISNUMBER(SEARCH('Nr rejestracyjny'!$F$5,$G87))),COUNT($I$1:I86)+1,"")</f>
        <v>0</v>
      </c>
    </row>
    <row r="88" spans="6:9">
      <c r="F88" s="7">
        <f>IF('W rejestracji'!$C$95="","",'W rejestracji'!$C$95)</f>
        <v>0</v>
      </c>
      <c r="G88" s="7">
        <f>IF(Zarejestrowane!$C$95="","",Zarejestrowane!$C$95)</f>
        <v>0</v>
      </c>
      <c r="H88" s="9">
        <f>IF(AND($F88&lt;&gt;"",ISNUMBER(SEARCH('Nr rejestracyjny'!$F$5,$F88))),COUNT($H$1:H87)+1,"")</f>
        <v>0</v>
      </c>
      <c r="I88" s="9">
        <f>IF(AND($G88&lt;&gt;"",ISNUMBER(SEARCH('Nr rejestracyjny'!$F$5,$G88))),COUNT($I$1:I87)+1,"")</f>
        <v>0</v>
      </c>
    </row>
    <row r="89" spans="6:9">
      <c r="F89" s="7">
        <f>IF('W rejestracji'!$C$96="","",'W rejestracji'!$C$96)</f>
        <v>0</v>
      </c>
      <c r="G89" s="7">
        <f>IF(Zarejestrowane!$C$96="","",Zarejestrowane!$C$96)</f>
        <v>0</v>
      </c>
      <c r="H89" s="9">
        <f>IF(AND($F89&lt;&gt;"",ISNUMBER(SEARCH('Nr rejestracyjny'!$F$5,$F89))),COUNT($H$1:H88)+1,"")</f>
        <v>0</v>
      </c>
      <c r="I89" s="9">
        <f>IF(AND($G89&lt;&gt;"",ISNUMBER(SEARCH('Nr rejestracyjny'!$F$5,$G89))),COUNT($I$1:I88)+1,"")</f>
        <v>0</v>
      </c>
    </row>
    <row r="90" spans="6:9">
      <c r="F90" s="7">
        <f>IF('W rejestracji'!$C$97="","",'W rejestracji'!$C$97)</f>
        <v>0</v>
      </c>
      <c r="G90" s="7">
        <f>IF(Zarejestrowane!$C$97="","",Zarejestrowane!$C$97)</f>
        <v>0</v>
      </c>
      <c r="H90" s="9">
        <f>IF(AND($F90&lt;&gt;"",ISNUMBER(SEARCH('Nr rejestracyjny'!$F$5,$F90))),COUNT($H$1:H89)+1,"")</f>
        <v>0</v>
      </c>
      <c r="I90" s="9">
        <f>IF(AND($G90&lt;&gt;"",ISNUMBER(SEARCH('Nr rejestracyjny'!$F$5,$G90))),COUNT($I$1:I89)+1,"")</f>
        <v>0</v>
      </c>
    </row>
    <row r="91" spans="6:9">
      <c r="F91" s="7">
        <f>IF('W rejestracji'!$C$98="","",'W rejestracji'!$C$98)</f>
        <v>0</v>
      </c>
      <c r="G91" s="7">
        <f>IF(Zarejestrowane!$C$98="","",Zarejestrowane!$C$98)</f>
        <v>0</v>
      </c>
      <c r="H91" s="9">
        <f>IF(AND($F91&lt;&gt;"",ISNUMBER(SEARCH('Nr rejestracyjny'!$F$5,$F91))),COUNT($H$1:H90)+1,"")</f>
        <v>0</v>
      </c>
      <c r="I91" s="9">
        <f>IF(AND($G91&lt;&gt;"",ISNUMBER(SEARCH('Nr rejestracyjny'!$F$5,$G91))),COUNT($I$1:I90)+1,"")</f>
        <v>0</v>
      </c>
    </row>
    <row r="92" spans="6:9">
      <c r="F92" s="7">
        <f>IF('W rejestracji'!$C$99="","",'W rejestracji'!$C$99)</f>
        <v>0</v>
      </c>
      <c r="G92" s="7">
        <f>IF(Zarejestrowane!$C$99="","",Zarejestrowane!$C$99)</f>
        <v>0</v>
      </c>
      <c r="H92" s="9">
        <f>IF(AND($F92&lt;&gt;"",ISNUMBER(SEARCH('Nr rejestracyjny'!$F$5,$F92))),COUNT($H$1:H91)+1,"")</f>
        <v>0</v>
      </c>
      <c r="I92" s="9">
        <f>IF(AND($G92&lt;&gt;"",ISNUMBER(SEARCH('Nr rejestracyjny'!$F$5,$G92))),COUNT($I$1:I91)+1,"")</f>
        <v>0</v>
      </c>
    </row>
    <row r="93" spans="6:9">
      <c r="F93" s="7">
        <f>IF('W rejestracji'!$C$100="","",'W rejestracji'!$C$100)</f>
        <v>0</v>
      </c>
      <c r="G93" s="7">
        <f>IF(Zarejestrowane!$C$100="","",Zarejestrowane!$C$100)</f>
        <v>0</v>
      </c>
      <c r="H93" s="9">
        <f>IF(AND($F93&lt;&gt;"",ISNUMBER(SEARCH('Nr rejestracyjny'!$F$5,$F93))),COUNT($H$1:H92)+1,"")</f>
        <v>0</v>
      </c>
      <c r="I93" s="9">
        <f>IF(AND($G93&lt;&gt;"",ISNUMBER(SEARCH('Nr rejestracyjny'!$F$5,$G93))),COUNT($I$1:I92)+1,"")</f>
        <v>0</v>
      </c>
    </row>
    <row r="94" spans="6:9">
      <c r="F94" s="7">
        <f>IF('W rejestracji'!$C$101="","",'W rejestracji'!$C$101)</f>
        <v>0</v>
      </c>
      <c r="G94" s="7">
        <f>IF(Zarejestrowane!$C$101="","",Zarejestrowane!$C$101)</f>
        <v>0</v>
      </c>
      <c r="H94" s="9">
        <f>IF(AND($F94&lt;&gt;"",ISNUMBER(SEARCH('Nr rejestracyjny'!$F$5,$F94))),COUNT($H$1:H93)+1,"")</f>
        <v>0</v>
      </c>
      <c r="I94" s="9">
        <f>IF(AND($G94&lt;&gt;"",ISNUMBER(SEARCH('Nr rejestracyjny'!$F$5,$G94))),COUNT($I$1:I93)+1,"")</f>
        <v>0</v>
      </c>
    </row>
    <row r="95" spans="6:9">
      <c r="F95" s="7">
        <f>IF('W rejestracji'!$C$102="","",'W rejestracji'!$C$102)</f>
        <v>0</v>
      </c>
      <c r="G95" s="7">
        <f>IF(Zarejestrowane!$C$102="","",Zarejestrowane!$C$102)</f>
        <v>0</v>
      </c>
      <c r="H95" s="9">
        <f>IF(AND($F95&lt;&gt;"",ISNUMBER(SEARCH('Nr rejestracyjny'!$F$5,$F95))),COUNT($H$1:H94)+1,"")</f>
        <v>0</v>
      </c>
      <c r="I95" s="9">
        <f>IF(AND($G95&lt;&gt;"",ISNUMBER(SEARCH('Nr rejestracyjny'!$F$5,$G95))),COUNT($I$1:I94)+1,"")</f>
        <v>0</v>
      </c>
    </row>
    <row r="96" spans="6:9">
      <c r="F96" s="7">
        <f>IF('W rejestracji'!$C$103="","",'W rejestracji'!$C$103)</f>
        <v>0</v>
      </c>
      <c r="G96" s="7">
        <f>IF(Zarejestrowane!$C$103="","",Zarejestrowane!$C$103)</f>
        <v>0</v>
      </c>
      <c r="H96" s="9">
        <f>IF(AND($F96&lt;&gt;"",ISNUMBER(SEARCH('Nr rejestracyjny'!$F$5,$F96))),COUNT($H$1:H95)+1,"")</f>
        <v>0</v>
      </c>
      <c r="I96" s="9">
        <f>IF(AND($G96&lt;&gt;"",ISNUMBER(SEARCH('Nr rejestracyjny'!$F$5,$G96))),COUNT($I$1:I95)+1,"")</f>
        <v>0</v>
      </c>
    </row>
    <row r="97" spans="6:9">
      <c r="F97" s="7">
        <f>IF('W rejestracji'!$C$104="","",'W rejestracji'!$C$104)</f>
        <v>0</v>
      </c>
      <c r="G97" s="7">
        <f>IF(Zarejestrowane!$C$104="","",Zarejestrowane!$C$104)</f>
        <v>0</v>
      </c>
      <c r="H97" s="9">
        <f>IF(AND($F97&lt;&gt;"",ISNUMBER(SEARCH('Nr rejestracyjny'!$F$5,$F97))),COUNT($H$1:H96)+1,"")</f>
        <v>0</v>
      </c>
      <c r="I97" s="9">
        <f>IF(AND($G97&lt;&gt;"",ISNUMBER(SEARCH('Nr rejestracyjny'!$F$5,$G97))),COUNT($I$1:I96)+1,"")</f>
        <v>0</v>
      </c>
    </row>
    <row r="98" spans="6:9">
      <c r="F98" s="7">
        <f>IF('W rejestracji'!$C$105="","",'W rejestracji'!$C$105)</f>
        <v>0</v>
      </c>
      <c r="G98" s="7">
        <f>IF(Zarejestrowane!$C$105="","",Zarejestrowane!$C$105)</f>
        <v>0</v>
      </c>
      <c r="H98" s="9">
        <f>IF(AND($F98&lt;&gt;"",ISNUMBER(SEARCH('Nr rejestracyjny'!$F$5,$F98))),COUNT($H$1:H97)+1,"")</f>
        <v>0</v>
      </c>
      <c r="I98" s="9">
        <f>IF(AND($G98&lt;&gt;"",ISNUMBER(SEARCH('Nr rejestracyjny'!$F$5,$G98))),COUNT($I$1:I97)+1,"")</f>
        <v>0</v>
      </c>
    </row>
    <row r="99" spans="6:9">
      <c r="F99" s="7">
        <f>IF('W rejestracji'!$C$106="","",'W rejestracji'!$C$106)</f>
        <v>0</v>
      </c>
      <c r="G99" s="7">
        <f>IF(Zarejestrowane!$C$106="","",Zarejestrowane!$C$106)</f>
        <v>0</v>
      </c>
      <c r="H99" s="9">
        <f>IF(AND($F99&lt;&gt;"",ISNUMBER(SEARCH('Nr rejestracyjny'!$F$5,$F99))),COUNT($H$1:H98)+1,"")</f>
        <v>0</v>
      </c>
      <c r="I99" s="9">
        <f>IF(AND($G99&lt;&gt;"",ISNUMBER(SEARCH('Nr rejestracyjny'!$F$5,$G99))),COUNT($I$1:I98)+1,"")</f>
        <v>0</v>
      </c>
    </row>
    <row r="100" spans="6:9">
      <c r="F100" s="7">
        <f>IF('W rejestracji'!$C$107="","",'W rejestracji'!$C$107)</f>
        <v>0</v>
      </c>
      <c r="G100" s="7">
        <f>IF(Zarejestrowane!$C$107="","",Zarejestrowane!$C$107)</f>
        <v>0</v>
      </c>
      <c r="H100" s="9">
        <f>IF(AND($F100&lt;&gt;"",ISNUMBER(SEARCH('Nr rejestracyjny'!$F$5,$F100))),COUNT($H$1:H99)+1,"")</f>
        <v>0</v>
      </c>
      <c r="I100" s="9">
        <f>IF(AND($G100&lt;&gt;"",ISNUMBER(SEARCH('Nr rejestracyjny'!$F$5,$G100))),COUNT($I$1:I99)+1,"")</f>
        <v>0</v>
      </c>
    </row>
    <row r="101" spans="6:9">
      <c r="F101" s="7">
        <f>IF('W rejestracji'!$C$108="","",'W rejestracji'!$C$108)</f>
        <v>0</v>
      </c>
      <c r="G101" s="7">
        <f>IF(Zarejestrowane!$C$108="","",Zarejestrowane!$C$108)</f>
        <v>0</v>
      </c>
      <c r="H101" s="9">
        <f>IF(AND($F101&lt;&gt;"",ISNUMBER(SEARCH('Nr rejestracyjny'!$F$5,$F101))),COUNT($H$1:H100)+1,"")</f>
        <v>0</v>
      </c>
      <c r="I101" s="9">
        <f>IF(AND($G101&lt;&gt;"",ISNUMBER(SEARCH('Nr rejestracyjny'!$F$5,$G101))),COUNT($I$1:I100)+1,"")</f>
        <v>0</v>
      </c>
    </row>
    <row r="102" spans="6:9">
      <c r="F102" s="7">
        <f>IF('W rejestracji'!$C$109="","",'W rejestracji'!$C$109)</f>
        <v>0</v>
      </c>
      <c r="G102" s="7">
        <f>IF(Zarejestrowane!$C$109="","",Zarejestrowane!$C$109)</f>
        <v>0</v>
      </c>
      <c r="H102" s="9">
        <f>IF(AND($F102&lt;&gt;"",ISNUMBER(SEARCH('Nr rejestracyjny'!$F$5,$F102))),COUNT($H$1:H101)+1,"")</f>
        <v>0</v>
      </c>
      <c r="I102" s="9">
        <f>IF(AND($G102&lt;&gt;"",ISNUMBER(SEARCH('Nr rejestracyjny'!$F$5,$G102))),COUNT($I$1:I101)+1,"")</f>
        <v>0</v>
      </c>
    </row>
    <row r="103" spans="6:9">
      <c r="F103" s="7">
        <f>IF('W rejestracji'!$C$110="","",'W rejestracji'!$C$110)</f>
        <v>0</v>
      </c>
      <c r="G103" s="7">
        <f>IF(Zarejestrowane!$C$110="","",Zarejestrowane!$C$110)</f>
        <v>0</v>
      </c>
      <c r="H103" s="9">
        <f>IF(AND($F103&lt;&gt;"",ISNUMBER(SEARCH('Nr rejestracyjny'!$F$5,$F103))),COUNT($H$1:H102)+1,"")</f>
        <v>0</v>
      </c>
      <c r="I103" s="9">
        <f>IF(AND($G103&lt;&gt;"",ISNUMBER(SEARCH('Nr rejestracyjny'!$F$5,$G103))),COUNT($I$1:I102)+1,"")</f>
        <v>0</v>
      </c>
    </row>
    <row r="104" spans="6:9">
      <c r="F104" s="7">
        <f>IF('W rejestracji'!$C$111="","",'W rejestracji'!$C$111)</f>
        <v>0</v>
      </c>
      <c r="G104" s="7">
        <f>IF(Zarejestrowane!$C$111="","",Zarejestrowane!$C$111)</f>
        <v>0</v>
      </c>
      <c r="H104" s="9">
        <f>IF(AND($F104&lt;&gt;"",ISNUMBER(SEARCH('Nr rejestracyjny'!$F$5,$F104))),COUNT($H$1:H103)+1,"")</f>
        <v>0</v>
      </c>
      <c r="I104" s="9">
        <f>IF(AND($G104&lt;&gt;"",ISNUMBER(SEARCH('Nr rejestracyjny'!$F$5,$G104))),COUNT($I$1:I103)+1,"")</f>
        <v>0</v>
      </c>
    </row>
    <row r="105" spans="6:9">
      <c r="F105" s="7">
        <f>IF('W rejestracji'!$C$112="","",'W rejestracji'!$C$112)</f>
        <v>0</v>
      </c>
      <c r="G105" s="7">
        <f>IF(Zarejestrowane!$C$112="","",Zarejestrowane!$C$112)</f>
        <v>0</v>
      </c>
      <c r="H105" s="9">
        <f>IF(AND($F105&lt;&gt;"",ISNUMBER(SEARCH('Nr rejestracyjny'!$F$5,$F105))),COUNT($H$1:H104)+1,"")</f>
        <v>0</v>
      </c>
      <c r="I105" s="9">
        <f>IF(AND($G105&lt;&gt;"",ISNUMBER(SEARCH('Nr rejestracyjny'!$F$5,$G105))),COUNT($I$1:I104)+1,"")</f>
        <v>0</v>
      </c>
    </row>
    <row r="106" spans="6:9">
      <c r="F106" s="7">
        <f>IF('W rejestracji'!$C$113="","",'W rejestracji'!$C$113)</f>
        <v>0</v>
      </c>
      <c r="G106" s="7">
        <f>IF(Zarejestrowane!$C$113="","",Zarejestrowane!$C$113)</f>
        <v>0</v>
      </c>
      <c r="H106" s="9">
        <f>IF(AND($F106&lt;&gt;"",ISNUMBER(SEARCH('Nr rejestracyjny'!$F$5,$F106))),COUNT($H$1:H105)+1,"")</f>
        <v>0</v>
      </c>
      <c r="I106" s="9">
        <f>IF(AND($G106&lt;&gt;"",ISNUMBER(SEARCH('Nr rejestracyjny'!$F$5,$G106))),COUNT($I$1:I105)+1,"")</f>
        <v>0</v>
      </c>
    </row>
    <row r="107" spans="6:9">
      <c r="F107" s="7">
        <f>IF('W rejestracji'!$C$114="","",'W rejestracji'!$C$114)</f>
        <v>0</v>
      </c>
      <c r="G107" s="7">
        <f>IF(Zarejestrowane!$C$114="","",Zarejestrowane!$C$114)</f>
        <v>0</v>
      </c>
      <c r="H107" s="9">
        <f>IF(AND($F107&lt;&gt;"",ISNUMBER(SEARCH('Nr rejestracyjny'!$F$5,$F107))),COUNT($H$1:H106)+1,"")</f>
        <v>0</v>
      </c>
      <c r="I107" s="9">
        <f>IF(AND($G107&lt;&gt;"",ISNUMBER(SEARCH('Nr rejestracyjny'!$F$5,$G107))),COUNT($I$1:I106)+1,"")</f>
        <v>0</v>
      </c>
    </row>
    <row r="108" spans="6:9">
      <c r="F108" s="7">
        <f>IF('W rejestracji'!$C$115="","",'W rejestracji'!$C$115)</f>
        <v>0</v>
      </c>
      <c r="G108" s="7">
        <f>IF(Zarejestrowane!$C$115="","",Zarejestrowane!$C$115)</f>
        <v>0</v>
      </c>
      <c r="H108" s="9">
        <f>IF(AND($F108&lt;&gt;"",ISNUMBER(SEARCH('Nr rejestracyjny'!$F$5,$F108))),COUNT($H$1:H107)+1,"")</f>
        <v>0</v>
      </c>
      <c r="I108" s="9">
        <f>IF(AND($G108&lt;&gt;"",ISNUMBER(SEARCH('Nr rejestracyjny'!$F$5,$G108))),COUNT($I$1:I107)+1,"")</f>
        <v>0</v>
      </c>
    </row>
    <row r="109" spans="6:9">
      <c r="F109" s="7">
        <f>IF('W rejestracji'!$C$116="","",'W rejestracji'!$C$116)</f>
        <v>0</v>
      </c>
      <c r="G109" s="7">
        <f>IF(Zarejestrowane!$C$116="","",Zarejestrowane!$C$116)</f>
        <v>0</v>
      </c>
      <c r="H109" s="9">
        <f>IF(AND($F109&lt;&gt;"",ISNUMBER(SEARCH('Nr rejestracyjny'!$F$5,$F109))),COUNT($H$1:H108)+1,"")</f>
        <v>0</v>
      </c>
      <c r="I109" s="9">
        <f>IF(AND($G109&lt;&gt;"",ISNUMBER(SEARCH('Nr rejestracyjny'!$F$5,$G109))),COUNT($I$1:I108)+1,"")</f>
        <v>0</v>
      </c>
    </row>
    <row r="110" spans="6:9">
      <c r="F110" s="7">
        <f>IF('W rejestracji'!$C$117="","",'W rejestracji'!$C$117)</f>
        <v>0</v>
      </c>
      <c r="G110" s="7">
        <f>IF(Zarejestrowane!$C$117="","",Zarejestrowane!$C$117)</f>
        <v>0</v>
      </c>
      <c r="H110" s="9">
        <f>IF(AND($F110&lt;&gt;"",ISNUMBER(SEARCH('Nr rejestracyjny'!$F$5,$F110))),COUNT($H$1:H109)+1,"")</f>
        <v>0</v>
      </c>
      <c r="I110" s="9">
        <f>IF(AND($G110&lt;&gt;"",ISNUMBER(SEARCH('Nr rejestracyjny'!$F$5,$G110))),COUNT($I$1:I109)+1,"")</f>
        <v>0</v>
      </c>
    </row>
    <row r="111" spans="6:9">
      <c r="F111" s="7">
        <f>IF('W rejestracji'!$C$118="","",'W rejestracji'!$C$118)</f>
        <v>0</v>
      </c>
      <c r="G111" s="7">
        <f>IF(Zarejestrowane!$C$118="","",Zarejestrowane!$C$118)</f>
        <v>0</v>
      </c>
      <c r="H111" s="9">
        <f>IF(AND($F111&lt;&gt;"",ISNUMBER(SEARCH('Nr rejestracyjny'!$F$5,$F111))),COUNT($H$1:H110)+1,"")</f>
        <v>0</v>
      </c>
      <c r="I111" s="9">
        <f>IF(AND($G111&lt;&gt;"",ISNUMBER(SEARCH('Nr rejestracyjny'!$F$5,$G111))),COUNT($I$1:I110)+1,"")</f>
        <v>0</v>
      </c>
    </row>
    <row r="112" spans="6:9">
      <c r="F112" s="7">
        <f>IF('W rejestracji'!$C$119="","",'W rejestracji'!$C$119)</f>
        <v>0</v>
      </c>
      <c r="G112" s="7">
        <f>IF(Zarejestrowane!$C$119="","",Zarejestrowane!$C$119)</f>
        <v>0</v>
      </c>
      <c r="H112" s="9">
        <f>IF(AND($F112&lt;&gt;"",ISNUMBER(SEARCH('Nr rejestracyjny'!$F$5,$F112))),COUNT($H$1:H111)+1,"")</f>
        <v>0</v>
      </c>
      <c r="I112" s="9">
        <f>IF(AND($G112&lt;&gt;"",ISNUMBER(SEARCH('Nr rejestracyjny'!$F$5,$G112))),COUNT($I$1:I111)+1,"")</f>
        <v>0</v>
      </c>
    </row>
    <row r="113" spans="6:9">
      <c r="F113" s="7">
        <f>IF('W rejestracji'!$C$120="","",'W rejestracji'!$C$120)</f>
        <v>0</v>
      </c>
      <c r="G113" s="7">
        <f>IF(Zarejestrowane!$C$120="","",Zarejestrowane!$C$120)</f>
        <v>0</v>
      </c>
      <c r="H113" s="9">
        <f>IF(AND($F113&lt;&gt;"",ISNUMBER(SEARCH('Nr rejestracyjny'!$F$5,$F113))),COUNT($H$1:H112)+1,"")</f>
        <v>0</v>
      </c>
      <c r="I113" s="9">
        <f>IF(AND($G113&lt;&gt;"",ISNUMBER(SEARCH('Nr rejestracyjny'!$F$5,$G113))),COUNT($I$1:I112)+1,"")</f>
        <v>0</v>
      </c>
    </row>
    <row r="114" spans="6:9">
      <c r="F114" s="7">
        <f>IF('W rejestracji'!$C$121="","",'W rejestracji'!$C$121)</f>
        <v>0</v>
      </c>
      <c r="G114" s="7">
        <f>IF(Zarejestrowane!$C$121="","",Zarejestrowane!$C$121)</f>
        <v>0</v>
      </c>
      <c r="H114" s="9">
        <f>IF(AND($F114&lt;&gt;"",ISNUMBER(SEARCH('Nr rejestracyjny'!$F$5,$F114))),COUNT($H$1:H113)+1,"")</f>
        <v>0</v>
      </c>
      <c r="I114" s="9">
        <f>IF(AND($G114&lt;&gt;"",ISNUMBER(SEARCH('Nr rejestracyjny'!$F$5,$G114))),COUNT($I$1:I113)+1,"")</f>
        <v>0</v>
      </c>
    </row>
    <row r="115" spans="6:9">
      <c r="F115" s="7">
        <f>IF('W rejestracji'!$C$122="","",'W rejestracji'!$C$122)</f>
        <v>0</v>
      </c>
      <c r="G115" s="7">
        <f>IF(Zarejestrowane!$C$122="","",Zarejestrowane!$C$122)</f>
        <v>0</v>
      </c>
      <c r="H115" s="9">
        <f>IF(AND($F115&lt;&gt;"",ISNUMBER(SEARCH('Nr rejestracyjny'!$F$5,$F115))),COUNT($H$1:H114)+1,"")</f>
        <v>0</v>
      </c>
      <c r="I115" s="9">
        <f>IF(AND($G115&lt;&gt;"",ISNUMBER(SEARCH('Nr rejestracyjny'!$F$5,$G115))),COUNT($I$1:I114)+1,"")</f>
        <v>0</v>
      </c>
    </row>
    <row r="116" spans="6:9">
      <c r="F116" s="7">
        <f>IF('W rejestracji'!$C$123="","",'W rejestracji'!$C$123)</f>
        <v>0</v>
      </c>
      <c r="G116" s="7">
        <f>IF(Zarejestrowane!$C$123="","",Zarejestrowane!$C$123)</f>
        <v>0</v>
      </c>
      <c r="H116" s="9">
        <f>IF(AND($F116&lt;&gt;"",ISNUMBER(SEARCH('Nr rejestracyjny'!$F$5,$F116))),COUNT($H$1:H115)+1,"")</f>
        <v>0</v>
      </c>
      <c r="I116" s="9">
        <f>IF(AND($G116&lt;&gt;"",ISNUMBER(SEARCH('Nr rejestracyjny'!$F$5,$G116))),COUNT($I$1:I115)+1,"")</f>
        <v>0</v>
      </c>
    </row>
    <row r="117" spans="6:9">
      <c r="F117" s="7">
        <f>IF('W rejestracji'!$C$124="","",'W rejestracji'!$C$124)</f>
        <v>0</v>
      </c>
      <c r="G117" s="7">
        <f>IF(Zarejestrowane!$C$124="","",Zarejestrowane!$C$124)</f>
        <v>0</v>
      </c>
      <c r="H117" s="9">
        <f>IF(AND($F117&lt;&gt;"",ISNUMBER(SEARCH('Nr rejestracyjny'!$F$5,$F117))),COUNT($H$1:H116)+1,"")</f>
        <v>0</v>
      </c>
      <c r="I117" s="9">
        <f>IF(AND($G117&lt;&gt;"",ISNUMBER(SEARCH('Nr rejestracyjny'!$F$5,$G117))),COUNT($I$1:I116)+1,"")</f>
        <v>0</v>
      </c>
    </row>
    <row r="118" spans="6:9">
      <c r="F118" s="7">
        <f>IF('W rejestracji'!$C$125="","",'W rejestracji'!$C$125)</f>
        <v>0</v>
      </c>
      <c r="G118" s="7">
        <f>IF(Zarejestrowane!$C$125="","",Zarejestrowane!$C$125)</f>
        <v>0</v>
      </c>
      <c r="H118" s="9">
        <f>IF(AND($F118&lt;&gt;"",ISNUMBER(SEARCH('Nr rejestracyjny'!$F$5,$F118))),COUNT($H$1:H117)+1,"")</f>
        <v>0</v>
      </c>
      <c r="I118" s="9">
        <f>IF(AND($G118&lt;&gt;"",ISNUMBER(SEARCH('Nr rejestracyjny'!$F$5,$G118))),COUNT($I$1:I117)+1,"")</f>
        <v>0</v>
      </c>
    </row>
    <row r="119" spans="6:9">
      <c r="F119" s="7">
        <f>IF('W rejestracji'!$C$126="","",'W rejestracji'!$C$126)</f>
        <v>0</v>
      </c>
      <c r="G119" s="7">
        <f>IF(Zarejestrowane!$C$126="","",Zarejestrowane!$C$126)</f>
        <v>0</v>
      </c>
      <c r="H119" s="9">
        <f>IF(AND($F119&lt;&gt;"",ISNUMBER(SEARCH('Nr rejestracyjny'!$F$5,$F119))),COUNT($H$1:H118)+1,"")</f>
        <v>0</v>
      </c>
      <c r="I119" s="9">
        <f>IF(AND($G119&lt;&gt;"",ISNUMBER(SEARCH('Nr rejestracyjny'!$F$5,$G119))),COUNT($I$1:I118)+1,"")</f>
        <v>0</v>
      </c>
    </row>
    <row r="120" spans="6:9">
      <c r="F120" s="7">
        <f>IF('W rejestracji'!$C$127="","",'W rejestracji'!$C$127)</f>
        <v>0</v>
      </c>
      <c r="G120" s="7">
        <f>IF(Zarejestrowane!$C$127="","",Zarejestrowane!$C$127)</f>
        <v>0</v>
      </c>
      <c r="H120" s="9">
        <f>IF(AND($F120&lt;&gt;"",ISNUMBER(SEARCH('Nr rejestracyjny'!$F$5,$F120))),COUNT($H$1:H119)+1,"")</f>
        <v>0</v>
      </c>
      <c r="I120" s="9">
        <f>IF(AND($G120&lt;&gt;"",ISNUMBER(SEARCH('Nr rejestracyjny'!$F$5,$G120))),COUNT($I$1:I119)+1,"")</f>
        <v>0</v>
      </c>
    </row>
    <row r="121" spans="6:9">
      <c r="F121" s="7">
        <f>IF('W rejestracji'!$C$128="","",'W rejestracji'!$C$128)</f>
        <v>0</v>
      </c>
      <c r="G121" s="7">
        <f>IF(Zarejestrowane!$C$128="","",Zarejestrowane!$C$128)</f>
        <v>0</v>
      </c>
      <c r="H121" s="9">
        <f>IF(AND($F121&lt;&gt;"",ISNUMBER(SEARCH('Nr rejestracyjny'!$F$5,$F121))),COUNT($H$1:H120)+1,"")</f>
        <v>0</v>
      </c>
      <c r="I121" s="9">
        <f>IF(AND($G121&lt;&gt;"",ISNUMBER(SEARCH('Nr rejestracyjny'!$F$5,$G121))),COUNT($I$1:I120)+1,"")</f>
        <v>0</v>
      </c>
    </row>
    <row r="122" spans="6:9">
      <c r="F122" s="7">
        <f>IF('W rejestracji'!$C$129="","",'W rejestracji'!$C$129)</f>
        <v>0</v>
      </c>
      <c r="G122" s="7">
        <f>IF(Zarejestrowane!$C$129="","",Zarejestrowane!$C$129)</f>
        <v>0</v>
      </c>
      <c r="H122" s="9">
        <f>IF(AND($F122&lt;&gt;"",ISNUMBER(SEARCH('Nr rejestracyjny'!$F$5,$F122))),COUNT($H$1:H121)+1,"")</f>
        <v>0</v>
      </c>
      <c r="I122" s="9">
        <f>IF(AND($G122&lt;&gt;"",ISNUMBER(SEARCH('Nr rejestracyjny'!$F$5,$G122))),COUNT($I$1:I121)+1,"")</f>
        <v>0</v>
      </c>
    </row>
    <row r="123" spans="6:9">
      <c r="F123" s="7">
        <f>IF('W rejestracji'!$C$130="","",'W rejestracji'!$C$130)</f>
        <v>0</v>
      </c>
      <c r="G123" s="7">
        <f>IF(Zarejestrowane!$C$130="","",Zarejestrowane!$C$130)</f>
        <v>0</v>
      </c>
      <c r="H123" s="9">
        <f>IF(AND($F123&lt;&gt;"",ISNUMBER(SEARCH('Nr rejestracyjny'!$F$5,$F123))),COUNT($H$1:H122)+1,"")</f>
        <v>0</v>
      </c>
      <c r="I123" s="9">
        <f>IF(AND($G123&lt;&gt;"",ISNUMBER(SEARCH('Nr rejestracyjny'!$F$5,$G123))),COUNT($I$1:I122)+1,"")</f>
        <v>0</v>
      </c>
    </row>
    <row r="124" spans="6:9">
      <c r="F124" s="7">
        <f>IF('W rejestracji'!$C$131="","",'W rejestracji'!$C$131)</f>
        <v>0</v>
      </c>
      <c r="G124" s="7">
        <f>IF(Zarejestrowane!$C$131="","",Zarejestrowane!$C$131)</f>
        <v>0</v>
      </c>
      <c r="H124" s="9">
        <f>IF(AND($F124&lt;&gt;"",ISNUMBER(SEARCH('Nr rejestracyjny'!$F$5,$F124))),COUNT($H$1:H123)+1,"")</f>
        <v>0</v>
      </c>
      <c r="I124" s="9">
        <f>IF(AND($G124&lt;&gt;"",ISNUMBER(SEARCH('Nr rejestracyjny'!$F$5,$G124))),COUNT($I$1:I123)+1,"")</f>
        <v>0</v>
      </c>
    </row>
    <row r="125" spans="6:9">
      <c r="F125" s="7">
        <f>IF('W rejestracji'!$C$132="","",'W rejestracji'!$C$132)</f>
        <v>0</v>
      </c>
      <c r="G125" s="7">
        <f>IF(Zarejestrowane!$C$132="","",Zarejestrowane!$C$132)</f>
        <v>0</v>
      </c>
      <c r="H125" s="9">
        <f>IF(AND($F125&lt;&gt;"",ISNUMBER(SEARCH('Nr rejestracyjny'!$F$5,$F125))),COUNT($H$1:H124)+1,"")</f>
        <v>0</v>
      </c>
      <c r="I125" s="9">
        <f>IF(AND($G125&lt;&gt;"",ISNUMBER(SEARCH('Nr rejestracyjny'!$F$5,$G125))),COUNT($I$1:I124)+1,"")</f>
        <v>0</v>
      </c>
    </row>
    <row r="126" spans="6:9">
      <c r="F126" s="7">
        <f>IF('W rejestracji'!$C$133="","",'W rejestracji'!$C$133)</f>
        <v>0</v>
      </c>
      <c r="G126" s="7">
        <f>IF(Zarejestrowane!$C$133="","",Zarejestrowane!$C$133)</f>
        <v>0</v>
      </c>
      <c r="H126" s="9">
        <f>IF(AND($F126&lt;&gt;"",ISNUMBER(SEARCH('Nr rejestracyjny'!$F$5,$F126))),COUNT($H$1:H125)+1,"")</f>
        <v>0</v>
      </c>
      <c r="I126" s="9">
        <f>IF(AND($G126&lt;&gt;"",ISNUMBER(SEARCH('Nr rejestracyjny'!$F$5,$G126))),COUNT($I$1:I125)+1,"")</f>
        <v>0</v>
      </c>
    </row>
    <row r="127" spans="6:9">
      <c r="F127" s="7">
        <f>IF('W rejestracji'!$C$134="","",'W rejestracji'!$C$134)</f>
        <v>0</v>
      </c>
      <c r="G127" s="7">
        <f>IF(Zarejestrowane!$C$134="","",Zarejestrowane!$C$134)</f>
        <v>0</v>
      </c>
      <c r="H127" s="9">
        <f>IF(AND($F127&lt;&gt;"",ISNUMBER(SEARCH('Nr rejestracyjny'!$F$5,$F127))),COUNT($H$1:H126)+1,"")</f>
        <v>0</v>
      </c>
      <c r="I127" s="9">
        <f>IF(AND($G127&lt;&gt;"",ISNUMBER(SEARCH('Nr rejestracyjny'!$F$5,$G127))),COUNT($I$1:I126)+1,"")</f>
        <v>0</v>
      </c>
    </row>
    <row r="128" spans="6:9">
      <c r="F128" s="7">
        <f>IF('W rejestracji'!$C$135="","",'W rejestracji'!$C$135)</f>
        <v>0</v>
      </c>
      <c r="G128" s="7">
        <f>IF(Zarejestrowane!$C$135="","",Zarejestrowane!$C$135)</f>
        <v>0</v>
      </c>
      <c r="H128" s="9">
        <f>IF(AND($F128&lt;&gt;"",ISNUMBER(SEARCH('Nr rejestracyjny'!$F$5,$F128))),COUNT($H$1:H127)+1,"")</f>
        <v>0</v>
      </c>
      <c r="I128" s="9">
        <f>IF(AND($G128&lt;&gt;"",ISNUMBER(SEARCH('Nr rejestracyjny'!$F$5,$G128))),COUNT($I$1:I127)+1,"")</f>
        <v>0</v>
      </c>
    </row>
    <row r="129" spans="6:9">
      <c r="F129" s="7">
        <f>IF('W rejestracji'!$C$136="","",'W rejestracji'!$C$136)</f>
        <v>0</v>
      </c>
      <c r="G129" s="7">
        <f>IF(Zarejestrowane!$C$136="","",Zarejestrowane!$C$136)</f>
        <v>0</v>
      </c>
      <c r="H129" s="9">
        <f>IF(AND($F129&lt;&gt;"",ISNUMBER(SEARCH('Nr rejestracyjny'!$F$5,$F129))),COUNT($H$1:H128)+1,"")</f>
        <v>0</v>
      </c>
      <c r="I129" s="9">
        <f>IF(AND($G129&lt;&gt;"",ISNUMBER(SEARCH('Nr rejestracyjny'!$F$5,$G129))),COUNT($I$1:I128)+1,"")</f>
        <v>0</v>
      </c>
    </row>
    <row r="130" spans="6:9">
      <c r="F130" s="7">
        <f>IF('W rejestracji'!$C$137="","",'W rejestracji'!$C$137)</f>
        <v>0</v>
      </c>
      <c r="G130" s="7">
        <f>IF(Zarejestrowane!$C$137="","",Zarejestrowane!$C$137)</f>
        <v>0</v>
      </c>
      <c r="H130" s="9">
        <f>IF(AND($F130&lt;&gt;"",ISNUMBER(SEARCH('Nr rejestracyjny'!$F$5,$F130))),COUNT($H$1:H129)+1,"")</f>
        <v>0</v>
      </c>
      <c r="I130" s="9">
        <f>IF(AND($G130&lt;&gt;"",ISNUMBER(SEARCH('Nr rejestracyjny'!$F$5,$G130))),COUNT($I$1:I129)+1,"")</f>
        <v>0</v>
      </c>
    </row>
    <row r="131" spans="6:9">
      <c r="F131" s="7">
        <f>IF('W rejestracji'!$C$138="","",'W rejestracji'!$C$138)</f>
        <v>0</v>
      </c>
      <c r="G131" s="7">
        <f>IF(Zarejestrowane!$C$138="","",Zarejestrowane!$C$138)</f>
        <v>0</v>
      </c>
      <c r="H131" s="9">
        <f>IF(AND($F131&lt;&gt;"",ISNUMBER(SEARCH('Nr rejestracyjny'!$F$5,$F131))),COUNT($H$1:H130)+1,"")</f>
        <v>0</v>
      </c>
      <c r="I131" s="9">
        <f>IF(AND($G131&lt;&gt;"",ISNUMBER(SEARCH('Nr rejestracyjny'!$F$5,$G131))),COUNT($I$1:I130)+1,"")</f>
        <v>0</v>
      </c>
    </row>
    <row r="132" spans="6:9">
      <c r="F132" s="7">
        <f>IF('W rejestracji'!$C$139="","",'W rejestracji'!$C$139)</f>
        <v>0</v>
      </c>
      <c r="G132" s="7">
        <f>IF(Zarejestrowane!$C$139="","",Zarejestrowane!$C$139)</f>
        <v>0</v>
      </c>
      <c r="H132" s="9">
        <f>IF(AND($F132&lt;&gt;"",ISNUMBER(SEARCH('Nr rejestracyjny'!$F$5,$F132))),COUNT($H$1:H131)+1,"")</f>
        <v>0</v>
      </c>
      <c r="I132" s="9">
        <f>IF(AND($G132&lt;&gt;"",ISNUMBER(SEARCH('Nr rejestracyjny'!$F$5,$G132))),COUNT($I$1:I131)+1,"")</f>
        <v>0</v>
      </c>
    </row>
    <row r="133" spans="6:9">
      <c r="F133" s="7">
        <f>IF('W rejestracji'!$C$140="","",'W rejestracji'!$C$140)</f>
        <v>0</v>
      </c>
      <c r="G133" s="7">
        <f>IF(Zarejestrowane!$C$140="","",Zarejestrowane!$C$140)</f>
        <v>0</v>
      </c>
      <c r="H133" s="9">
        <f>IF(AND($F133&lt;&gt;"",ISNUMBER(SEARCH('Nr rejestracyjny'!$F$5,$F133))),COUNT($H$1:H132)+1,"")</f>
        <v>0</v>
      </c>
      <c r="I133" s="9">
        <f>IF(AND($G133&lt;&gt;"",ISNUMBER(SEARCH('Nr rejestracyjny'!$F$5,$G133))),COUNT($I$1:I132)+1,"")</f>
        <v>0</v>
      </c>
    </row>
    <row r="134" spans="6:9">
      <c r="F134" s="7">
        <f>IF('W rejestracji'!$C$141="","",'W rejestracji'!$C$141)</f>
        <v>0</v>
      </c>
      <c r="G134" s="7">
        <f>IF(Zarejestrowane!$C$141="","",Zarejestrowane!$C$141)</f>
        <v>0</v>
      </c>
      <c r="H134" s="9">
        <f>IF(AND($F134&lt;&gt;"",ISNUMBER(SEARCH('Nr rejestracyjny'!$F$5,$F134))),COUNT($H$1:H133)+1,"")</f>
        <v>0</v>
      </c>
      <c r="I134" s="9">
        <f>IF(AND($G134&lt;&gt;"",ISNUMBER(SEARCH('Nr rejestracyjny'!$F$5,$G134))),COUNT($I$1:I133)+1,"")</f>
        <v>0</v>
      </c>
    </row>
    <row r="135" spans="6:9">
      <c r="F135" s="7">
        <f>IF('W rejestracji'!$C$142="","",'W rejestracji'!$C$142)</f>
        <v>0</v>
      </c>
      <c r="G135" s="7">
        <f>IF(Zarejestrowane!$C$142="","",Zarejestrowane!$C$142)</f>
        <v>0</v>
      </c>
      <c r="H135" s="9">
        <f>IF(AND($F135&lt;&gt;"",ISNUMBER(SEARCH('Nr rejestracyjny'!$F$5,$F135))),COUNT($H$1:H134)+1,"")</f>
        <v>0</v>
      </c>
      <c r="I135" s="9">
        <f>IF(AND($G135&lt;&gt;"",ISNUMBER(SEARCH('Nr rejestracyjny'!$F$5,$G135))),COUNT($I$1:I134)+1,"")</f>
        <v>0</v>
      </c>
    </row>
    <row r="136" spans="6:9">
      <c r="F136" s="7">
        <f>IF('W rejestracji'!$C$143="","",'W rejestracji'!$C$143)</f>
        <v>0</v>
      </c>
      <c r="G136" s="7">
        <f>IF(Zarejestrowane!$C$143="","",Zarejestrowane!$C$143)</f>
        <v>0</v>
      </c>
      <c r="H136" s="9">
        <f>IF(AND($F136&lt;&gt;"",ISNUMBER(SEARCH('Nr rejestracyjny'!$F$5,$F136))),COUNT($H$1:H135)+1,"")</f>
        <v>0</v>
      </c>
      <c r="I136" s="9">
        <f>IF(AND($G136&lt;&gt;"",ISNUMBER(SEARCH('Nr rejestracyjny'!$F$5,$G136))),COUNT($I$1:I135)+1,"")</f>
        <v>0</v>
      </c>
    </row>
    <row r="137" spans="6:9">
      <c r="F137" s="7">
        <f>IF('W rejestracji'!$C$144="","",'W rejestracji'!$C$144)</f>
        <v>0</v>
      </c>
      <c r="G137" s="7">
        <f>IF(Zarejestrowane!$C$144="","",Zarejestrowane!$C$144)</f>
        <v>0</v>
      </c>
      <c r="H137" s="9">
        <f>IF(AND($F137&lt;&gt;"",ISNUMBER(SEARCH('Nr rejestracyjny'!$F$5,$F137))),COUNT($H$1:H136)+1,"")</f>
        <v>0</v>
      </c>
      <c r="I137" s="9">
        <f>IF(AND($G137&lt;&gt;"",ISNUMBER(SEARCH('Nr rejestracyjny'!$F$5,$G137))),COUNT($I$1:I136)+1,"")</f>
        <v>0</v>
      </c>
    </row>
    <row r="138" spans="6:9">
      <c r="F138" s="7">
        <f>IF('W rejestracji'!$C$145="","",'W rejestracji'!$C$145)</f>
        <v>0</v>
      </c>
      <c r="G138" s="7">
        <f>IF(Zarejestrowane!$C$145="","",Zarejestrowane!$C$145)</f>
        <v>0</v>
      </c>
      <c r="H138" s="9">
        <f>IF(AND($F138&lt;&gt;"",ISNUMBER(SEARCH('Nr rejestracyjny'!$F$5,$F138))),COUNT($H$1:H137)+1,"")</f>
        <v>0</v>
      </c>
      <c r="I138" s="9">
        <f>IF(AND($G138&lt;&gt;"",ISNUMBER(SEARCH('Nr rejestracyjny'!$F$5,$G138))),COUNT($I$1:I137)+1,"")</f>
        <v>0</v>
      </c>
    </row>
    <row r="139" spans="6:9">
      <c r="F139" s="7">
        <f>IF('W rejestracji'!$C$146="","",'W rejestracji'!$C$146)</f>
        <v>0</v>
      </c>
      <c r="G139" s="7">
        <f>IF(Zarejestrowane!$C$146="","",Zarejestrowane!$C$146)</f>
        <v>0</v>
      </c>
      <c r="H139" s="9">
        <f>IF(AND($F139&lt;&gt;"",ISNUMBER(SEARCH('Nr rejestracyjny'!$F$5,$F139))),COUNT($H$1:H138)+1,"")</f>
        <v>0</v>
      </c>
      <c r="I139" s="9">
        <f>IF(AND($G139&lt;&gt;"",ISNUMBER(SEARCH('Nr rejestracyjny'!$F$5,$G139))),COUNT($I$1:I138)+1,"")</f>
        <v>0</v>
      </c>
    </row>
    <row r="140" spans="6:9">
      <c r="F140" s="7">
        <f>IF('W rejestracji'!$C$147="","",'W rejestracji'!$C$147)</f>
        <v>0</v>
      </c>
      <c r="G140" s="7">
        <f>IF(Zarejestrowane!$C$147="","",Zarejestrowane!$C$147)</f>
        <v>0</v>
      </c>
      <c r="H140" s="9">
        <f>IF(AND($F140&lt;&gt;"",ISNUMBER(SEARCH('Nr rejestracyjny'!$F$5,$F140))),COUNT($H$1:H139)+1,"")</f>
        <v>0</v>
      </c>
      <c r="I140" s="9">
        <f>IF(AND($G140&lt;&gt;"",ISNUMBER(SEARCH('Nr rejestracyjny'!$F$5,$G140))),COUNT($I$1:I139)+1,"")</f>
        <v>0</v>
      </c>
    </row>
    <row r="141" spans="6:9">
      <c r="F141" s="7">
        <f>IF('W rejestracji'!$C$148="","",'W rejestracji'!$C$148)</f>
        <v>0</v>
      </c>
      <c r="G141" s="7">
        <f>IF(Zarejestrowane!$C$148="","",Zarejestrowane!$C$148)</f>
        <v>0</v>
      </c>
      <c r="H141" s="9">
        <f>IF(AND($F141&lt;&gt;"",ISNUMBER(SEARCH('Nr rejestracyjny'!$F$5,$F141))),COUNT($H$1:H140)+1,"")</f>
        <v>0</v>
      </c>
      <c r="I141" s="9">
        <f>IF(AND($G141&lt;&gt;"",ISNUMBER(SEARCH('Nr rejestracyjny'!$F$5,$G141))),COUNT($I$1:I140)+1,"")</f>
        <v>0</v>
      </c>
    </row>
    <row r="142" spans="6:9">
      <c r="F142" s="7">
        <f>IF('W rejestracji'!$C$149="","",'W rejestracji'!$C$149)</f>
        <v>0</v>
      </c>
      <c r="G142" s="7">
        <f>IF(Zarejestrowane!$C$149="","",Zarejestrowane!$C$149)</f>
        <v>0</v>
      </c>
      <c r="H142" s="9">
        <f>IF(AND($F142&lt;&gt;"",ISNUMBER(SEARCH('Nr rejestracyjny'!$F$5,$F142))),COUNT($H$1:H141)+1,"")</f>
        <v>0</v>
      </c>
      <c r="I142" s="9">
        <f>IF(AND($G142&lt;&gt;"",ISNUMBER(SEARCH('Nr rejestracyjny'!$F$5,$G142))),COUNT($I$1:I141)+1,"")</f>
        <v>0</v>
      </c>
    </row>
    <row r="143" spans="6:9">
      <c r="F143" s="7">
        <f>IF('W rejestracji'!$C$150="","",'W rejestracji'!$C$150)</f>
        <v>0</v>
      </c>
      <c r="G143" s="7">
        <f>IF(Zarejestrowane!$C$150="","",Zarejestrowane!$C$150)</f>
        <v>0</v>
      </c>
      <c r="H143" s="9">
        <f>IF(AND($F143&lt;&gt;"",ISNUMBER(SEARCH('Nr rejestracyjny'!$F$5,$F143))),COUNT($H$1:H142)+1,"")</f>
        <v>0</v>
      </c>
      <c r="I143" s="9">
        <f>IF(AND($G143&lt;&gt;"",ISNUMBER(SEARCH('Nr rejestracyjny'!$F$5,$G143))),COUNT($I$1:I142)+1,"")</f>
        <v>0</v>
      </c>
    </row>
    <row r="144" spans="6:9">
      <c r="F144" s="7">
        <f>IF('W rejestracji'!$C$151="","",'W rejestracji'!$C$151)</f>
        <v>0</v>
      </c>
      <c r="G144" s="7">
        <f>IF(Zarejestrowane!$C$151="","",Zarejestrowane!$C$151)</f>
        <v>0</v>
      </c>
      <c r="H144" s="9">
        <f>IF(AND($F144&lt;&gt;"",ISNUMBER(SEARCH('Nr rejestracyjny'!$F$5,$F144))),COUNT($H$1:H143)+1,"")</f>
        <v>0</v>
      </c>
      <c r="I144" s="9">
        <f>IF(AND($G144&lt;&gt;"",ISNUMBER(SEARCH('Nr rejestracyjny'!$F$5,$G144))),COUNT($I$1:I143)+1,"")</f>
        <v>0</v>
      </c>
    </row>
    <row r="145" spans="6:9">
      <c r="F145" s="7">
        <f>IF('W rejestracji'!$C$152="","",'W rejestracji'!$C$152)</f>
        <v>0</v>
      </c>
      <c r="G145" s="7">
        <f>IF(Zarejestrowane!$C$152="","",Zarejestrowane!$C$152)</f>
        <v>0</v>
      </c>
      <c r="H145" s="9">
        <f>IF(AND($F145&lt;&gt;"",ISNUMBER(SEARCH('Nr rejestracyjny'!$F$5,$F145))),COUNT($H$1:H144)+1,"")</f>
        <v>0</v>
      </c>
      <c r="I145" s="9">
        <f>IF(AND($G145&lt;&gt;"",ISNUMBER(SEARCH('Nr rejestracyjny'!$F$5,$G145))),COUNT($I$1:I144)+1,"")</f>
        <v>0</v>
      </c>
    </row>
    <row r="146" spans="6:9">
      <c r="F146" s="7">
        <f>IF('W rejestracji'!$C$153="","",'W rejestracji'!$C$153)</f>
        <v>0</v>
      </c>
      <c r="G146" s="7">
        <f>IF(Zarejestrowane!$C$153="","",Zarejestrowane!$C$153)</f>
        <v>0</v>
      </c>
      <c r="H146" s="9">
        <f>IF(AND($F146&lt;&gt;"",ISNUMBER(SEARCH('Nr rejestracyjny'!$F$5,$F146))),COUNT($H$1:H145)+1,"")</f>
        <v>0</v>
      </c>
      <c r="I146" s="9">
        <f>IF(AND($G146&lt;&gt;"",ISNUMBER(SEARCH('Nr rejestracyjny'!$F$5,$G146))),COUNT($I$1:I145)+1,"")</f>
        <v>0</v>
      </c>
    </row>
    <row r="147" spans="6:9">
      <c r="F147" s="7">
        <f>IF('W rejestracji'!$C$154="","",'W rejestracji'!$C$154)</f>
        <v>0</v>
      </c>
      <c r="G147" s="7">
        <f>IF(Zarejestrowane!$C$154="","",Zarejestrowane!$C$154)</f>
        <v>0</v>
      </c>
      <c r="H147" s="9">
        <f>IF(AND($F147&lt;&gt;"",ISNUMBER(SEARCH('Nr rejestracyjny'!$F$5,$F147))),COUNT($H$1:H146)+1,"")</f>
        <v>0</v>
      </c>
      <c r="I147" s="9">
        <f>IF(AND($G147&lt;&gt;"",ISNUMBER(SEARCH('Nr rejestracyjny'!$F$5,$G147))),COUNT($I$1:I146)+1,"")</f>
        <v>0</v>
      </c>
    </row>
    <row r="148" spans="6:9">
      <c r="F148" s="7">
        <f>IF('W rejestracji'!$C$155="","",'W rejestracji'!$C$155)</f>
        <v>0</v>
      </c>
      <c r="G148" s="7">
        <f>IF(Zarejestrowane!$C$155="","",Zarejestrowane!$C$155)</f>
        <v>0</v>
      </c>
      <c r="H148" s="9">
        <f>IF(AND($F148&lt;&gt;"",ISNUMBER(SEARCH('Nr rejestracyjny'!$F$5,$F148))),COUNT($H$1:H147)+1,"")</f>
        <v>0</v>
      </c>
      <c r="I148" s="9">
        <f>IF(AND($G148&lt;&gt;"",ISNUMBER(SEARCH('Nr rejestracyjny'!$F$5,$G148))),COUNT($I$1:I147)+1,"")</f>
        <v>0</v>
      </c>
    </row>
    <row r="149" spans="6:9">
      <c r="F149" s="7">
        <f>IF('W rejestracji'!$C$156="","",'W rejestracji'!$C$156)</f>
        <v>0</v>
      </c>
      <c r="G149" s="7">
        <f>IF(Zarejestrowane!$C$156="","",Zarejestrowane!$C$156)</f>
        <v>0</v>
      </c>
      <c r="H149" s="9">
        <f>IF(AND($F149&lt;&gt;"",ISNUMBER(SEARCH('Nr rejestracyjny'!$F$5,$F149))),COUNT($H$1:H148)+1,"")</f>
        <v>0</v>
      </c>
      <c r="I149" s="9">
        <f>IF(AND($G149&lt;&gt;"",ISNUMBER(SEARCH('Nr rejestracyjny'!$F$5,$G149))),COUNT($I$1:I148)+1,"")</f>
        <v>0</v>
      </c>
    </row>
    <row r="150" spans="6:9">
      <c r="F150" s="7">
        <f>IF('W rejestracji'!$C$157="","",'W rejestracji'!$C$157)</f>
        <v>0</v>
      </c>
      <c r="G150" s="7">
        <f>IF(Zarejestrowane!$C$157="","",Zarejestrowane!$C$157)</f>
        <v>0</v>
      </c>
      <c r="H150" s="9">
        <f>IF(AND($F150&lt;&gt;"",ISNUMBER(SEARCH('Nr rejestracyjny'!$F$5,$F150))),COUNT($H$1:H149)+1,"")</f>
        <v>0</v>
      </c>
      <c r="I150" s="9">
        <f>IF(AND($G150&lt;&gt;"",ISNUMBER(SEARCH('Nr rejestracyjny'!$F$5,$G150))),COUNT($I$1:I149)+1,"")</f>
        <v>0</v>
      </c>
    </row>
    <row r="151" spans="6:9">
      <c r="F151" s="7">
        <f>IF('W rejestracji'!$C$158="","",'W rejestracji'!$C$158)</f>
        <v>0</v>
      </c>
      <c r="G151" s="7">
        <f>IF(Zarejestrowane!$C$158="","",Zarejestrowane!$C$158)</f>
        <v>0</v>
      </c>
      <c r="H151" s="9">
        <f>IF(AND($F151&lt;&gt;"",ISNUMBER(SEARCH('Nr rejestracyjny'!$F$5,$F151))),COUNT($H$1:H150)+1,"")</f>
        <v>0</v>
      </c>
      <c r="I151" s="9">
        <f>IF(AND($G151&lt;&gt;"",ISNUMBER(SEARCH('Nr rejestracyjny'!$F$5,$G151))),COUNT($I$1:I150)+1,"")</f>
        <v>0</v>
      </c>
    </row>
    <row r="152" spans="6:9">
      <c r="F152" s="7">
        <f>IF('W rejestracji'!$C$159="","",'W rejestracji'!$C$159)</f>
        <v>0</v>
      </c>
      <c r="G152" s="7">
        <f>IF(Zarejestrowane!$C$159="","",Zarejestrowane!$C$159)</f>
        <v>0</v>
      </c>
      <c r="H152" s="9">
        <f>IF(AND($F152&lt;&gt;"",ISNUMBER(SEARCH('Nr rejestracyjny'!$F$5,$F152))),COUNT($H$1:H151)+1,"")</f>
        <v>0</v>
      </c>
      <c r="I152" s="9">
        <f>IF(AND($G152&lt;&gt;"",ISNUMBER(SEARCH('Nr rejestracyjny'!$F$5,$G152))),COUNT($I$1:I151)+1,"")</f>
        <v>0</v>
      </c>
    </row>
    <row r="153" spans="6:9">
      <c r="F153" s="7">
        <f>IF('W rejestracji'!$C$160="","",'W rejestracji'!$C$160)</f>
        <v>0</v>
      </c>
      <c r="G153" s="7">
        <f>IF(Zarejestrowane!$C$160="","",Zarejestrowane!$C$160)</f>
        <v>0</v>
      </c>
      <c r="H153" s="9">
        <f>IF(AND($F153&lt;&gt;"",ISNUMBER(SEARCH('Nr rejestracyjny'!$F$5,$F153))),COUNT($H$1:H152)+1,"")</f>
        <v>0</v>
      </c>
      <c r="I153" s="9">
        <f>IF(AND($G153&lt;&gt;"",ISNUMBER(SEARCH('Nr rejestracyjny'!$F$5,$G153))),COUNT($I$1:I152)+1,"")</f>
        <v>0</v>
      </c>
    </row>
    <row r="154" spans="6:9">
      <c r="F154" s="7">
        <f>IF('W rejestracji'!$C$161="","",'W rejestracji'!$C$161)</f>
        <v>0</v>
      </c>
      <c r="G154" s="7">
        <f>IF(Zarejestrowane!$C$161="","",Zarejestrowane!$C$161)</f>
        <v>0</v>
      </c>
      <c r="H154" s="9">
        <f>IF(AND($F154&lt;&gt;"",ISNUMBER(SEARCH('Nr rejestracyjny'!$F$5,$F154))),COUNT($H$1:H153)+1,"")</f>
        <v>0</v>
      </c>
      <c r="I154" s="9">
        <f>IF(AND($G154&lt;&gt;"",ISNUMBER(SEARCH('Nr rejestracyjny'!$F$5,$G154))),COUNT($I$1:I153)+1,"")</f>
        <v>0</v>
      </c>
    </row>
    <row r="155" spans="6:9">
      <c r="F155" s="7">
        <f>IF('W rejestracji'!$C$162="","",'W rejestracji'!$C$162)</f>
        <v>0</v>
      </c>
      <c r="G155" s="7">
        <f>IF(Zarejestrowane!$C$162="","",Zarejestrowane!$C$162)</f>
        <v>0</v>
      </c>
      <c r="H155" s="9">
        <f>IF(AND($F155&lt;&gt;"",ISNUMBER(SEARCH('Nr rejestracyjny'!$F$5,$F155))),COUNT($H$1:H154)+1,"")</f>
        <v>0</v>
      </c>
      <c r="I155" s="9">
        <f>IF(AND($G155&lt;&gt;"",ISNUMBER(SEARCH('Nr rejestracyjny'!$F$5,$G155))),COUNT($I$1:I154)+1,"")</f>
        <v>0</v>
      </c>
    </row>
    <row r="156" spans="6:9">
      <c r="F156" s="7">
        <f>IF('W rejestracji'!$C$163="","",'W rejestracji'!$C$163)</f>
        <v>0</v>
      </c>
      <c r="G156" s="7">
        <f>IF(Zarejestrowane!$C$163="","",Zarejestrowane!$C$163)</f>
        <v>0</v>
      </c>
      <c r="H156" s="9">
        <f>IF(AND($F156&lt;&gt;"",ISNUMBER(SEARCH('Nr rejestracyjny'!$F$5,$F156))),COUNT($H$1:H155)+1,"")</f>
        <v>0</v>
      </c>
      <c r="I156" s="9">
        <f>IF(AND($G156&lt;&gt;"",ISNUMBER(SEARCH('Nr rejestracyjny'!$F$5,$G156))),COUNT($I$1:I155)+1,"")</f>
        <v>0</v>
      </c>
    </row>
    <row r="157" spans="6:9">
      <c r="F157" s="7">
        <f>IF('W rejestracji'!$C$164="","",'W rejestracji'!$C$164)</f>
        <v>0</v>
      </c>
      <c r="G157" s="7">
        <f>IF(Zarejestrowane!$C$164="","",Zarejestrowane!$C$164)</f>
        <v>0</v>
      </c>
      <c r="H157" s="9">
        <f>IF(AND($F157&lt;&gt;"",ISNUMBER(SEARCH('Nr rejestracyjny'!$F$5,$F157))),COUNT($H$1:H156)+1,"")</f>
        <v>0</v>
      </c>
      <c r="I157" s="9">
        <f>IF(AND($G157&lt;&gt;"",ISNUMBER(SEARCH('Nr rejestracyjny'!$F$5,$G157))),COUNT($I$1:I156)+1,"")</f>
        <v>0</v>
      </c>
    </row>
    <row r="158" spans="6:9">
      <c r="F158" s="7">
        <f>IF('W rejestracji'!$C$165="","",'W rejestracji'!$C$165)</f>
        <v>0</v>
      </c>
      <c r="G158" s="7">
        <f>IF(Zarejestrowane!$C$165="","",Zarejestrowane!$C$165)</f>
        <v>0</v>
      </c>
      <c r="H158" s="9">
        <f>IF(AND($F158&lt;&gt;"",ISNUMBER(SEARCH('Nr rejestracyjny'!$F$5,$F158))),COUNT($H$1:H157)+1,"")</f>
        <v>0</v>
      </c>
      <c r="I158" s="9">
        <f>IF(AND($G158&lt;&gt;"",ISNUMBER(SEARCH('Nr rejestracyjny'!$F$5,$G158))),COUNT($I$1:I157)+1,"")</f>
        <v>0</v>
      </c>
    </row>
    <row r="159" spans="6:9">
      <c r="F159" s="7">
        <f>IF('W rejestracji'!$C$166="","",'W rejestracji'!$C$166)</f>
        <v>0</v>
      </c>
      <c r="G159" s="7">
        <f>IF(Zarejestrowane!$C$166="","",Zarejestrowane!$C$166)</f>
        <v>0</v>
      </c>
      <c r="H159" s="9">
        <f>IF(AND($F159&lt;&gt;"",ISNUMBER(SEARCH('Nr rejestracyjny'!$F$5,$F159))),COUNT($H$1:H158)+1,"")</f>
        <v>0</v>
      </c>
      <c r="I159" s="9">
        <f>IF(AND($G159&lt;&gt;"",ISNUMBER(SEARCH('Nr rejestracyjny'!$F$5,$G159))),COUNT($I$1:I158)+1,"")</f>
        <v>0</v>
      </c>
    </row>
    <row r="160" spans="6:9">
      <c r="F160" s="7">
        <f>IF('W rejestracji'!$C$167="","",'W rejestracji'!$C$167)</f>
        <v>0</v>
      </c>
      <c r="G160" s="7">
        <f>IF(Zarejestrowane!$C$167="","",Zarejestrowane!$C$167)</f>
        <v>0</v>
      </c>
      <c r="H160" s="9">
        <f>IF(AND($F160&lt;&gt;"",ISNUMBER(SEARCH('Nr rejestracyjny'!$F$5,$F160))),COUNT($H$1:H159)+1,"")</f>
        <v>0</v>
      </c>
      <c r="I160" s="9">
        <f>IF(AND($G160&lt;&gt;"",ISNUMBER(SEARCH('Nr rejestracyjny'!$F$5,$G160))),COUNT($I$1:I159)+1,"")</f>
        <v>0</v>
      </c>
    </row>
    <row r="161" spans="6:9">
      <c r="F161" s="7">
        <f>IF('W rejestracji'!$C$168="","",'W rejestracji'!$C$168)</f>
        <v>0</v>
      </c>
      <c r="G161" s="7">
        <f>IF(Zarejestrowane!$C$168="","",Zarejestrowane!$C$168)</f>
        <v>0</v>
      </c>
      <c r="H161" s="9">
        <f>IF(AND($F161&lt;&gt;"",ISNUMBER(SEARCH('Nr rejestracyjny'!$F$5,$F161))),COUNT($H$1:H160)+1,"")</f>
        <v>0</v>
      </c>
      <c r="I161" s="9">
        <f>IF(AND($G161&lt;&gt;"",ISNUMBER(SEARCH('Nr rejestracyjny'!$F$5,$G161))),COUNT($I$1:I160)+1,"")</f>
        <v>0</v>
      </c>
    </row>
    <row r="162" spans="6:9">
      <c r="F162" s="7">
        <f>IF('W rejestracji'!$C$169="","",'W rejestracji'!$C$169)</f>
        <v>0</v>
      </c>
      <c r="G162" s="7">
        <f>IF(Zarejestrowane!$C$169="","",Zarejestrowane!$C$169)</f>
        <v>0</v>
      </c>
      <c r="H162" s="9">
        <f>IF(AND($F162&lt;&gt;"",ISNUMBER(SEARCH('Nr rejestracyjny'!$F$5,$F162))),COUNT($H$1:H161)+1,"")</f>
        <v>0</v>
      </c>
      <c r="I162" s="9">
        <f>IF(AND($G162&lt;&gt;"",ISNUMBER(SEARCH('Nr rejestracyjny'!$F$5,$G162))),COUNT($I$1:I161)+1,"")</f>
        <v>0</v>
      </c>
    </row>
    <row r="163" spans="6:9">
      <c r="F163" s="7">
        <f>IF('W rejestracji'!$C$170="","",'W rejestracji'!$C$170)</f>
        <v>0</v>
      </c>
      <c r="G163" s="7">
        <f>IF(Zarejestrowane!$C$170="","",Zarejestrowane!$C$170)</f>
        <v>0</v>
      </c>
      <c r="H163" s="9">
        <f>IF(AND($F163&lt;&gt;"",ISNUMBER(SEARCH('Nr rejestracyjny'!$F$5,$F163))),COUNT($H$1:H162)+1,"")</f>
        <v>0</v>
      </c>
      <c r="I163" s="9">
        <f>IF(AND($G163&lt;&gt;"",ISNUMBER(SEARCH('Nr rejestracyjny'!$F$5,$G163))),COUNT($I$1:I162)+1,"")</f>
        <v>0</v>
      </c>
    </row>
    <row r="164" spans="6:9">
      <c r="F164" s="7">
        <f>IF('W rejestracji'!$C$171="","",'W rejestracji'!$C$171)</f>
        <v>0</v>
      </c>
      <c r="G164" s="7">
        <f>IF(Zarejestrowane!$C$171="","",Zarejestrowane!$C$171)</f>
        <v>0</v>
      </c>
      <c r="H164" s="9">
        <f>IF(AND($F164&lt;&gt;"",ISNUMBER(SEARCH('Nr rejestracyjny'!$F$5,$F164))),COUNT($H$1:H163)+1,"")</f>
        <v>0</v>
      </c>
      <c r="I164" s="9">
        <f>IF(AND($G164&lt;&gt;"",ISNUMBER(SEARCH('Nr rejestracyjny'!$F$5,$G164))),COUNT($I$1:I163)+1,"")</f>
        <v>0</v>
      </c>
    </row>
    <row r="165" spans="6:9">
      <c r="F165" s="7">
        <f>IF('W rejestracji'!$C$172="","",'W rejestracji'!$C$172)</f>
        <v>0</v>
      </c>
      <c r="G165" s="7">
        <f>IF(Zarejestrowane!$C$172="","",Zarejestrowane!$C$172)</f>
        <v>0</v>
      </c>
      <c r="H165" s="9">
        <f>IF(AND($F165&lt;&gt;"",ISNUMBER(SEARCH('Nr rejestracyjny'!$F$5,$F165))),COUNT($H$1:H164)+1,"")</f>
        <v>0</v>
      </c>
      <c r="I165" s="9">
        <f>IF(AND($G165&lt;&gt;"",ISNUMBER(SEARCH('Nr rejestracyjny'!$F$5,$G165))),COUNT($I$1:I164)+1,"")</f>
        <v>0</v>
      </c>
    </row>
    <row r="166" spans="6:9">
      <c r="F166" s="7">
        <f>IF('W rejestracji'!$C$173="","",'W rejestracji'!$C$173)</f>
        <v>0</v>
      </c>
      <c r="G166" s="7">
        <f>IF(Zarejestrowane!$C$173="","",Zarejestrowane!$C$173)</f>
        <v>0</v>
      </c>
      <c r="H166" s="9">
        <f>IF(AND($F166&lt;&gt;"",ISNUMBER(SEARCH('Nr rejestracyjny'!$F$5,$F166))),COUNT($H$1:H165)+1,"")</f>
        <v>0</v>
      </c>
      <c r="I166" s="9">
        <f>IF(AND($G166&lt;&gt;"",ISNUMBER(SEARCH('Nr rejestracyjny'!$F$5,$G166))),COUNT($I$1:I165)+1,"")</f>
        <v>0</v>
      </c>
    </row>
    <row r="167" spans="6:9">
      <c r="F167" s="7">
        <f>IF('W rejestracji'!$C$174="","",'W rejestracji'!$C$174)</f>
        <v>0</v>
      </c>
      <c r="G167" s="7">
        <f>IF(Zarejestrowane!$C$174="","",Zarejestrowane!$C$174)</f>
        <v>0</v>
      </c>
      <c r="H167" s="9">
        <f>IF(AND($F167&lt;&gt;"",ISNUMBER(SEARCH('Nr rejestracyjny'!$F$5,$F167))),COUNT($H$1:H166)+1,"")</f>
        <v>0</v>
      </c>
      <c r="I167" s="9">
        <f>IF(AND($G167&lt;&gt;"",ISNUMBER(SEARCH('Nr rejestracyjny'!$F$5,$G167))),COUNT($I$1:I166)+1,"")</f>
        <v>0</v>
      </c>
    </row>
    <row r="168" spans="6:9">
      <c r="F168" s="7">
        <f>IF('W rejestracji'!$C$175="","",'W rejestracji'!$C$175)</f>
        <v>0</v>
      </c>
      <c r="G168" s="7">
        <f>IF(Zarejestrowane!$C$175="","",Zarejestrowane!$C$175)</f>
        <v>0</v>
      </c>
      <c r="H168" s="9">
        <f>IF(AND($F168&lt;&gt;"",ISNUMBER(SEARCH('Nr rejestracyjny'!$F$5,$F168))),COUNT($H$1:H167)+1,"")</f>
        <v>0</v>
      </c>
      <c r="I168" s="9">
        <f>IF(AND($G168&lt;&gt;"",ISNUMBER(SEARCH('Nr rejestracyjny'!$F$5,$G168))),COUNT($I$1:I167)+1,"")</f>
        <v>0</v>
      </c>
    </row>
    <row r="169" spans="6:9">
      <c r="F169" s="7">
        <f>IF('W rejestracji'!$C$176="","",'W rejestracji'!$C$176)</f>
        <v>0</v>
      </c>
      <c r="G169" s="7">
        <f>IF(Zarejestrowane!$C$176="","",Zarejestrowane!$C$176)</f>
        <v>0</v>
      </c>
      <c r="H169" s="9">
        <f>IF(AND($F169&lt;&gt;"",ISNUMBER(SEARCH('Nr rejestracyjny'!$F$5,$F169))),COUNT($H$1:H168)+1,"")</f>
        <v>0</v>
      </c>
      <c r="I169" s="9">
        <f>IF(AND($G169&lt;&gt;"",ISNUMBER(SEARCH('Nr rejestracyjny'!$F$5,$G169))),COUNT($I$1:I168)+1,"")</f>
        <v>0</v>
      </c>
    </row>
    <row r="170" spans="6:9">
      <c r="F170" s="7">
        <f>IF('W rejestracji'!$C$177="","",'W rejestracji'!$C$177)</f>
        <v>0</v>
      </c>
      <c r="G170" s="7">
        <f>IF(Zarejestrowane!$C$177="","",Zarejestrowane!$C$177)</f>
        <v>0</v>
      </c>
      <c r="H170" s="9">
        <f>IF(AND($F170&lt;&gt;"",ISNUMBER(SEARCH('Nr rejestracyjny'!$F$5,$F170))),COUNT($H$1:H169)+1,"")</f>
        <v>0</v>
      </c>
      <c r="I170" s="9">
        <f>IF(AND($G170&lt;&gt;"",ISNUMBER(SEARCH('Nr rejestracyjny'!$F$5,$G170))),COUNT($I$1:I169)+1,"")</f>
        <v>0</v>
      </c>
    </row>
    <row r="171" spans="6:9">
      <c r="F171" s="7">
        <f>IF('W rejestracji'!$C$178="","",'W rejestracji'!$C$178)</f>
        <v>0</v>
      </c>
      <c r="G171" s="7">
        <f>IF(Zarejestrowane!$C$178="","",Zarejestrowane!$C$178)</f>
        <v>0</v>
      </c>
      <c r="H171" s="9">
        <f>IF(AND($F171&lt;&gt;"",ISNUMBER(SEARCH('Nr rejestracyjny'!$F$5,$F171))),COUNT($H$1:H170)+1,"")</f>
        <v>0</v>
      </c>
      <c r="I171" s="9">
        <f>IF(AND($G171&lt;&gt;"",ISNUMBER(SEARCH('Nr rejestracyjny'!$F$5,$G171))),COUNT($I$1:I170)+1,"")</f>
        <v>0</v>
      </c>
    </row>
    <row r="172" spans="6:9">
      <c r="F172" s="7">
        <f>IF('W rejestracji'!$C$179="","",'W rejestracji'!$C$179)</f>
        <v>0</v>
      </c>
      <c r="G172" s="7">
        <f>IF(Zarejestrowane!$C$179="","",Zarejestrowane!$C$179)</f>
        <v>0</v>
      </c>
      <c r="H172" s="9">
        <f>IF(AND($F172&lt;&gt;"",ISNUMBER(SEARCH('Nr rejestracyjny'!$F$5,$F172))),COUNT($H$1:H171)+1,"")</f>
        <v>0</v>
      </c>
      <c r="I172" s="9">
        <f>IF(AND($G172&lt;&gt;"",ISNUMBER(SEARCH('Nr rejestracyjny'!$F$5,$G172))),COUNT($I$1:I171)+1,"")</f>
        <v>0</v>
      </c>
    </row>
    <row r="173" spans="6:9">
      <c r="F173" s="7">
        <f>IF('W rejestracji'!$C$180="","",'W rejestracji'!$C$180)</f>
        <v>0</v>
      </c>
      <c r="G173" s="7">
        <f>IF(Zarejestrowane!$C$180="","",Zarejestrowane!$C$180)</f>
        <v>0</v>
      </c>
      <c r="H173" s="9">
        <f>IF(AND($F173&lt;&gt;"",ISNUMBER(SEARCH('Nr rejestracyjny'!$F$5,$F173))),COUNT($H$1:H172)+1,"")</f>
        <v>0</v>
      </c>
      <c r="I173" s="9">
        <f>IF(AND($G173&lt;&gt;"",ISNUMBER(SEARCH('Nr rejestracyjny'!$F$5,$G173))),COUNT($I$1:I172)+1,"")</f>
        <v>0</v>
      </c>
    </row>
    <row r="174" spans="6:9">
      <c r="F174" s="7">
        <f>IF('W rejestracji'!$C$181="","",'W rejestracji'!$C$181)</f>
        <v>0</v>
      </c>
      <c r="G174" s="7">
        <f>IF(Zarejestrowane!$C$181="","",Zarejestrowane!$C$181)</f>
        <v>0</v>
      </c>
      <c r="H174" s="9">
        <f>IF(AND($F174&lt;&gt;"",ISNUMBER(SEARCH('Nr rejestracyjny'!$F$5,$F174))),COUNT($H$1:H173)+1,"")</f>
        <v>0</v>
      </c>
      <c r="I174" s="9">
        <f>IF(AND($G174&lt;&gt;"",ISNUMBER(SEARCH('Nr rejestracyjny'!$F$5,$G174))),COUNT($I$1:I173)+1,"")</f>
        <v>0</v>
      </c>
    </row>
    <row r="175" spans="6:9">
      <c r="F175" s="7">
        <f>IF('W rejestracji'!$C$182="","",'W rejestracji'!$C$182)</f>
        <v>0</v>
      </c>
      <c r="G175" s="7">
        <f>IF(Zarejestrowane!$C$182="","",Zarejestrowane!$C$182)</f>
        <v>0</v>
      </c>
      <c r="H175" s="9">
        <f>IF(AND($F175&lt;&gt;"",ISNUMBER(SEARCH('Nr rejestracyjny'!$F$5,$F175))),COUNT($H$1:H174)+1,"")</f>
        <v>0</v>
      </c>
      <c r="I175" s="9">
        <f>IF(AND($G175&lt;&gt;"",ISNUMBER(SEARCH('Nr rejestracyjny'!$F$5,$G175))),COUNT($I$1:I174)+1,"")</f>
        <v>0</v>
      </c>
    </row>
    <row r="176" spans="6:9">
      <c r="F176" s="7">
        <f>IF('W rejestracji'!$C$183="","",'W rejestracji'!$C$183)</f>
        <v>0</v>
      </c>
      <c r="G176" s="7">
        <f>IF(Zarejestrowane!$C$183="","",Zarejestrowane!$C$183)</f>
        <v>0</v>
      </c>
      <c r="H176" s="9">
        <f>IF(AND($F176&lt;&gt;"",ISNUMBER(SEARCH('Nr rejestracyjny'!$F$5,$F176))),COUNT($H$1:H175)+1,"")</f>
        <v>0</v>
      </c>
      <c r="I176" s="9">
        <f>IF(AND($G176&lt;&gt;"",ISNUMBER(SEARCH('Nr rejestracyjny'!$F$5,$G176))),COUNT($I$1:I175)+1,"")</f>
        <v>0</v>
      </c>
    </row>
    <row r="177" spans="6:9">
      <c r="F177" s="7">
        <f>IF('W rejestracji'!$C$184="","",'W rejestracji'!$C$184)</f>
        <v>0</v>
      </c>
      <c r="G177" s="7">
        <f>IF(Zarejestrowane!$C$184="","",Zarejestrowane!$C$184)</f>
        <v>0</v>
      </c>
      <c r="H177" s="9">
        <f>IF(AND($F177&lt;&gt;"",ISNUMBER(SEARCH('Nr rejestracyjny'!$F$5,$F177))),COUNT($H$1:H176)+1,"")</f>
        <v>0</v>
      </c>
      <c r="I177" s="9">
        <f>IF(AND($G177&lt;&gt;"",ISNUMBER(SEARCH('Nr rejestracyjny'!$F$5,$G177))),COUNT($I$1:I176)+1,"")</f>
        <v>0</v>
      </c>
    </row>
    <row r="178" spans="6:9">
      <c r="F178" s="7">
        <f>IF('W rejestracji'!$C$185="","",'W rejestracji'!$C$185)</f>
        <v>0</v>
      </c>
      <c r="G178" s="7">
        <f>IF(Zarejestrowane!$C$185="","",Zarejestrowane!$C$185)</f>
        <v>0</v>
      </c>
      <c r="H178" s="9">
        <f>IF(AND($F178&lt;&gt;"",ISNUMBER(SEARCH('Nr rejestracyjny'!$F$5,$F178))),COUNT($H$1:H177)+1,"")</f>
        <v>0</v>
      </c>
      <c r="I178" s="9">
        <f>IF(AND($G178&lt;&gt;"",ISNUMBER(SEARCH('Nr rejestracyjny'!$F$5,$G178))),COUNT($I$1:I177)+1,"")</f>
        <v>0</v>
      </c>
    </row>
    <row r="179" spans="6:9">
      <c r="F179" s="7">
        <f>IF('W rejestracji'!$C$186="","",'W rejestracji'!$C$186)</f>
        <v>0</v>
      </c>
      <c r="G179" s="7">
        <f>IF(Zarejestrowane!$C$186="","",Zarejestrowane!$C$186)</f>
        <v>0</v>
      </c>
      <c r="H179" s="9">
        <f>IF(AND($F179&lt;&gt;"",ISNUMBER(SEARCH('Nr rejestracyjny'!$F$5,$F179))),COUNT($H$1:H178)+1,"")</f>
        <v>0</v>
      </c>
      <c r="I179" s="9">
        <f>IF(AND($G179&lt;&gt;"",ISNUMBER(SEARCH('Nr rejestracyjny'!$F$5,$G179))),COUNT($I$1:I178)+1,"")</f>
        <v>0</v>
      </c>
    </row>
    <row r="180" spans="6:9">
      <c r="F180" s="7">
        <f>IF('W rejestracji'!$C$187="","",'W rejestracji'!$C$187)</f>
        <v>0</v>
      </c>
      <c r="G180" s="7">
        <f>IF(Zarejestrowane!$C$187="","",Zarejestrowane!$C$187)</f>
        <v>0</v>
      </c>
      <c r="H180" s="9">
        <f>IF(AND($F180&lt;&gt;"",ISNUMBER(SEARCH('Nr rejestracyjny'!$F$5,$F180))),COUNT($H$1:H179)+1,"")</f>
        <v>0</v>
      </c>
      <c r="I180" s="9">
        <f>IF(AND($G180&lt;&gt;"",ISNUMBER(SEARCH('Nr rejestracyjny'!$F$5,$G180))),COUNT($I$1:I179)+1,"")</f>
        <v>0</v>
      </c>
    </row>
    <row r="181" spans="6:9">
      <c r="F181" s="7">
        <f>IF('W rejestracji'!$C$188="","",'W rejestracji'!$C$188)</f>
        <v>0</v>
      </c>
      <c r="G181" s="7">
        <f>IF(Zarejestrowane!$C$188="","",Zarejestrowane!$C$188)</f>
        <v>0</v>
      </c>
      <c r="H181" s="9">
        <f>IF(AND($F181&lt;&gt;"",ISNUMBER(SEARCH('Nr rejestracyjny'!$F$5,$F181))),COUNT($H$1:H180)+1,"")</f>
        <v>0</v>
      </c>
      <c r="I181" s="9">
        <f>IF(AND($G181&lt;&gt;"",ISNUMBER(SEARCH('Nr rejestracyjny'!$F$5,$G181))),COUNT($I$1:I180)+1,"")</f>
        <v>0</v>
      </c>
    </row>
    <row r="182" spans="6:9">
      <c r="F182" s="7">
        <f>IF('W rejestracji'!$C$189="","",'W rejestracji'!$C$189)</f>
        <v>0</v>
      </c>
      <c r="G182" s="7">
        <f>IF(Zarejestrowane!$C$189="","",Zarejestrowane!$C$189)</f>
        <v>0</v>
      </c>
      <c r="H182" s="9">
        <f>IF(AND($F182&lt;&gt;"",ISNUMBER(SEARCH('Nr rejestracyjny'!$F$5,$F182))),COUNT($H$1:H181)+1,"")</f>
        <v>0</v>
      </c>
      <c r="I182" s="9">
        <f>IF(AND($G182&lt;&gt;"",ISNUMBER(SEARCH('Nr rejestracyjny'!$F$5,$G182))),COUNT($I$1:I181)+1,"")</f>
        <v>0</v>
      </c>
    </row>
    <row r="183" spans="6:9">
      <c r="F183" s="7">
        <f>IF('W rejestracji'!$C$190="","",'W rejestracji'!$C$190)</f>
        <v>0</v>
      </c>
      <c r="G183" s="7">
        <f>IF(Zarejestrowane!$C$190="","",Zarejestrowane!$C$190)</f>
        <v>0</v>
      </c>
      <c r="H183" s="9">
        <f>IF(AND($F183&lt;&gt;"",ISNUMBER(SEARCH('Nr rejestracyjny'!$F$5,$F183))),COUNT($H$1:H182)+1,"")</f>
        <v>0</v>
      </c>
      <c r="I183" s="9">
        <f>IF(AND($G183&lt;&gt;"",ISNUMBER(SEARCH('Nr rejestracyjny'!$F$5,$G183))),COUNT($I$1:I182)+1,"")</f>
        <v>0</v>
      </c>
    </row>
    <row r="184" spans="6:9">
      <c r="F184" s="7">
        <f>IF('W rejestracji'!$C$191="","",'W rejestracji'!$C$191)</f>
        <v>0</v>
      </c>
      <c r="G184" s="7">
        <f>IF(Zarejestrowane!$C$191="","",Zarejestrowane!$C$191)</f>
        <v>0</v>
      </c>
      <c r="H184" s="9">
        <f>IF(AND($F184&lt;&gt;"",ISNUMBER(SEARCH('Nr rejestracyjny'!$F$5,$F184))),COUNT($H$1:H183)+1,"")</f>
        <v>0</v>
      </c>
      <c r="I184" s="9">
        <f>IF(AND($G184&lt;&gt;"",ISNUMBER(SEARCH('Nr rejestracyjny'!$F$5,$G184))),COUNT($I$1:I183)+1,"")</f>
        <v>0</v>
      </c>
    </row>
    <row r="185" spans="6:9">
      <c r="F185" s="7">
        <f>IF('W rejestracji'!$C$192="","",'W rejestracji'!$C$192)</f>
        <v>0</v>
      </c>
      <c r="G185" s="7">
        <f>IF(Zarejestrowane!$C$192="","",Zarejestrowane!$C$192)</f>
        <v>0</v>
      </c>
      <c r="H185" s="9">
        <f>IF(AND($F185&lt;&gt;"",ISNUMBER(SEARCH('Nr rejestracyjny'!$F$5,$F185))),COUNT($H$1:H184)+1,"")</f>
        <v>0</v>
      </c>
      <c r="I185" s="9">
        <f>IF(AND($G185&lt;&gt;"",ISNUMBER(SEARCH('Nr rejestracyjny'!$F$5,$G185))),COUNT($I$1:I184)+1,"")</f>
        <v>0</v>
      </c>
    </row>
    <row r="186" spans="6:9">
      <c r="F186" s="7">
        <f>IF('W rejestracji'!$C$193="","",'W rejestracji'!$C$193)</f>
        <v>0</v>
      </c>
      <c r="G186" s="7">
        <f>IF(Zarejestrowane!$C$193="","",Zarejestrowane!$C$193)</f>
        <v>0</v>
      </c>
      <c r="H186" s="9">
        <f>IF(AND($F186&lt;&gt;"",ISNUMBER(SEARCH('Nr rejestracyjny'!$F$5,$F186))),COUNT($H$1:H185)+1,"")</f>
        <v>0</v>
      </c>
      <c r="I186" s="9">
        <f>IF(AND($G186&lt;&gt;"",ISNUMBER(SEARCH('Nr rejestracyjny'!$F$5,$G186))),COUNT($I$1:I185)+1,"")</f>
        <v>0</v>
      </c>
    </row>
    <row r="187" spans="6:9">
      <c r="F187" s="7">
        <f>IF('W rejestracji'!$C$194="","",'W rejestracji'!$C$194)</f>
        <v>0</v>
      </c>
      <c r="G187" s="7">
        <f>IF(Zarejestrowane!$C$194="","",Zarejestrowane!$C$194)</f>
        <v>0</v>
      </c>
      <c r="H187" s="9">
        <f>IF(AND($F187&lt;&gt;"",ISNUMBER(SEARCH('Nr rejestracyjny'!$F$5,$F187))),COUNT($H$1:H186)+1,"")</f>
        <v>0</v>
      </c>
      <c r="I187" s="9">
        <f>IF(AND($G187&lt;&gt;"",ISNUMBER(SEARCH('Nr rejestracyjny'!$F$5,$G187))),COUNT($I$1:I186)+1,"")</f>
        <v>0</v>
      </c>
    </row>
    <row r="188" spans="6:9">
      <c r="F188" s="7">
        <f>IF('W rejestracji'!$C$195="","",'W rejestracji'!$C$195)</f>
        <v>0</v>
      </c>
      <c r="G188" s="7">
        <f>IF(Zarejestrowane!$C$195="","",Zarejestrowane!$C$195)</f>
        <v>0</v>
      </c>
      <c r="H188" s="9">
        <f>IF(AND($F188&lt;&gt;"",ISNUMBER(SEARCH('Nr rejestracyjny'!$F$5,$F188))),COUNT($H$1:H187)+1,"")</f>
        <v>0</v>
      </c>
      <c r="I188" s="9">
        <f>IF(AND($G188&lt;&gt;"",ISNUMBER(SEARCH('Nr rejestracyjny'!$F$5,$G188))),COUNT($I$1:I187)+1,"")</f>
        <v>0</v>
      </c>
    </row>
    <row r="189" spans="6:9">
      <c r="F189" s="7">
        <f>IF('W rejestracji'!$C$196="","",'W rejestracji'!$C$196)</f>
        <v>0</v>
      </c>
      <c r="G189" s="7">
        <f>IF(Zarejestrowane!$C$196="","",Zarejestrowane!$C$196)</f>
        <v>0</v>
      </c>
      <c r="H189" s="9">
        <f>IF(AND($F189&lt;&gt;"",ISNUMBER(SEARCH('Nr rejestracyjny'!$F$5,$F189))),COUNT($H$1:H188)+1,"")</f>
        <v>0</v>
      </c>
      <c r="I189" s="9">
        <f>IF(AND($G189&lt;&gt;"",ISNUMBER(SEARCH('Nr rejestracyjny'!$F$5,$G189))),COUNT($I$1:I188)+1,"")</f>
        <v>0</v>
      </c>
    </row>
    <row r="190" spans="6:9">
      <c r="F190" s="7">
        <f>IF('W rejestracji'!$C$197="","",'W rejestracji'!$C$197)</f>
        <v>0</v>
      </c>
      <c r="G190" s="7">
        <f>IF(Zarejestrowane!$C$197="","",Zarejestrowane!$C$197)</f>
        <v>0</v>
      </c>
      <c r="H190" s="9">
        <f>IF(AND($F190&lt;&gt;"",ISNUMBER(SEARCH('Nr rejestracyjny'!$F$5,$F190))),COUNT($H$1:H189)+1,"")</f>
        <v>0</v>
      </c>
      <c r="I190" s="9">
        <f>IF(AND($G190&lt;&gt;"",ISNUMBER(SEARCH('Nr rejestracyjny'!$F$5,$G190))),COUNT($I$1:I189)+1,"")</f>
        <v>0</v>
      </c>
    </row>
    <row r="191" spans="6:9">
      <c r="F191" s="7">
        <f>IF('W rejestracji'!$C$198="","",'W rejestracji'!$C$198)</f>
        <v>0</v>
      </c>
      <c r="G191" s="7">
        <f>IF(Zarejestrowane!$C$198="","",Zarejestrowane!$C$198)</f>
        <v>0</v>
      </c>
      <c r="H191" s="9">
        <f>IF(AND($F191&lt;&gt;"",ISNUMBER(SEARCH('Nr rejestracyjny'!$F$5,$F191))),COUNT($H$1:H190)+1,"")</f>
        <v>0</v>
      </c>
      <c r="I191" s="9">
        <f>IF(AND($G191&lt;&gt;"",ISNUMBER(SEARCH('Nr rejestracyjny'!$F$5,$G191))),COUNT($I$1:I190)+1,"")</f>
        <v>0</v>
      </c>
    </row>
    <row r="192" spans="6:9">
      <c r="F192" s="7">
        <f>IF('W rejestracji'!$C$199="","",'W rejestracji'!$C$199)</f>
        <v>0</v>
      </c>
      <c r="G192" s="7">
        <f>IF(Zarejestrowane!$C$199="","",Zarejestrowane!$C$199)</f>
        <v>0</v>
      </c>
      <c r="H192" s="9">
        <f>IF(AND($F192&lt;&gt;"",ISNUMBER(SEARCH('Nr rejestracyjny'!$F$5,$F192))),COUNT($H$1:H191)+1,"")</f>
        <v>0</v>
      </c>
      <c r="I192" s="9">
        <f>IF(AND($G192&lt;&gt;"",ISNUMBER(SEARCH('Nr rejestracyjny'!$F$5,$G192))),COUNT($I$1:I191)+1,"")</f>
        <v>0</v>
      </c>
    </row>
    <row r="193" spans="6:9">
      <c r="F193" s="7">
        <f>IF('W rejestracji'!$C$200="","",'W rejestracji'!$C$200)</f>
        <v>0</v>
      </c>
      <c r="G193" s="7">
        <f>IF(Zarejestrowane!$C$200="","",Zarejestrowane!$C$200)</f>
        <v>0</v>
      </c>
      <c r="H193" s="9">
        <f>IF(AND($F193&lt;&gt;"",ISNUMBER(SEARCH('Nr rejestracyjny'!$F$5,$F193))),COUNT($H$1:H192)+1,"")</f>
        <v>0</v>
      </c>
      <c r="I193" s="9">
        <f>IF(AND($G193&lt;&gt;"",ISNUMBER(SEARCH('Nr rejestracyjny'!$F$5,$G193))),COUNT($I$1:I192)+1,"")</f>
        <v>0</v>
      </c>
    </row>
    <row r="194" spans="6:9">
      <c r="F194" s="7">
        <f>IF('W rejestracji'!$C$201="","",'W rejestracji'!$C$201)</f>
        <v>0</v>
      </c>
      <c r="G194" s="7">
        <f>IF(Zarejestrowane!$C$201="","",Zarejestrowane!$C$201)</f>
        <v>0</v>
      </c>
      <c r="H194" s="9">
        <f>IF(AND($F194&lt;&gt;"",ISNUMBER(SEARCH('Nr rejestracyjny'!$F$5,$F194))),COUNT($H$1:H193)+1,"")</f>
        <v>0</v>
      </c>
      <c r="I194" s="9">
        <f>IF(AND($G194&lt;&gt;"",ISNUMBER(SEARCH('Nr rejestracyjny'!$F$5,$G194))),COUNT($I$1:I193)+1,"")</f>
        <v>0</v>
      </c>
    </row>
    <row r="195" spans="6:9">
      <c r="F195" s="7">
        <f>IF('W rejestracji'!$C$202="","",'W rejestracji'!$C$202)</f>
        <v>0</v>
      </c>
      <c r="G195" s="7">
        <f>IF(Zarejestrowane!$C$202="","",Zarejestrowane!$C$202)</f>
        <v>0</v>
      </c>
      <c r="H195" s="9">
        <f>IF(AND($F195&lt;&gt;"",ISNUMBER(SEARCH('Nr rejestracyjny'!$F$5,$F195))),COUNT($H$1:H194)+1,"")</f>
        <v>0</v>
      </c>
      <c r="I195" s="9">
        <f>IF(AND($G195&lt;&gt;"",ISNUMBER(SEARCH('Nr rejestracyjny'!$F$5,$G195))),COUNT($I$1:I194)+1,"")</f>
        <v>0</v>
      </c>
    </row>
    <row r="196" spans="6:9">
      <c r="F196" s="7">
        <f>IF('W rejestracji'!$C$203="","",'W rejestracji'!$C$203)</f>
        <v>0</v>
      </c>
      <c r="G196" s="7">
        <f>IF(Zarejestrowane!$C$203="","",Zarejestrowane!$C$203)</f>
        <v>0</v>
      </c>
      <c r="H196" s="9">
        <f>IF(AND($F196&lt;&gt;"",ISNUMBER(SEARCH('Nr rejestracyjny'!$F$5,$F196))),COUNT($H$1:H195)+1,"")</f>
        <v>0</v>
      </c>
      <c r="I196" s="9">
        <f>IF(AND($G196&lt;&gt;"",ISNUMBER(SEARCH('Nr rejestracyjny'!$F$5,$G196))),COUNT($I$1:I195)+1,"")</f>
        <v>0</v>
      </c>
    </row>
    <row r="197" spans="6:9">
      <c r="F197" s="7">
        <f>IF('W rejestracji'!$C$204="","",'W rejestracji'!$C$204)</f>
        <v>0</v>
      </c>
      <c r="G197" s="7">
        <f>IF(Zarejestrowane!$C$204="","",Zarejestrowane!$C$204)</f>
        <v>0</v>
      </c>
      <c r="H197" s="9">
        <f>IF(AND($F197&lt;&gt;"",ISNUMBER(SEARCH('Nr rejestracyjny'!$F$5,$F197))),COUNT($H$1:H196)+1,"")</f>
        <v>0</v>
      </c>
      <c r="I197" s="9">
        <f>IF(AND($G197&lt;&gt;"",ISNUMBER(SEARCH('Nr rejestracyjny'!$F$5,$G197))),COUNT($I$1:I196)+1,"")</f>
        <v>0</v>
      </c>
    </row>
    <row r="198" spans="6:9">
      <c r="F198" s="7">
        <f>IF('W rejestracji'!$C$205="","",'W rejestracji'!$C$205)</f>
        <v>0</v>
      </c>
      <c r="G198" s="7">
        <f>IF(Zarejestrowane!$C$205="","",Zarejestrowane!$C$205)</f>
        <v>0</v>
      </c>
      <c r="H198" s="9">
        <f>IF(AND($F198&lt;&gt;"",ISNUMBER(SEARCH('Nr rejestracyjny'!$F$5,$F198))),COUNT($H$1:H197)+1,"")</f>
        <v>0</v>
      </c>
      <c r="I198" s="9">
        <f>IF(AND($G198&lt;&gt;"",ISNUMBER(SEARCH('Nr rejestracyjny'!$F$5,$G198))),COUNT($I$1:I197)+1,"")</f>
        <v>0</v>
      </c>
    </row>
    <row r="199" spans="6:9">
      <c r="F199" s="7">
        <f>IF('W rejestracji'!$C$206="","",'W rejestracji'!$C$206)</f>
        <v>0</v>
      </c>
      <c r="G199" s="7">
        <f>IF(Zarejestrowane!$C$206="","",Zarejestrowane!$C$206)</f>
        <v>0</v>
      </c>
      <c r="H199" s="9">
        <f>IF(AND($F199&lt;&gt;"",ISNUMBER(SEARCH('Nr rejestracyjny'!$F$5,$F199))),COUNT($H$1:H198)+1,"")</f>
        <v>0</v>
      </c>
      <c r="I199" s="9">
        <f>IF(AND($G199&lt;&gt;"",ISNUMBER(SEARCH('Nr rejestracyjny'!$F$5,$G199))),COUNT($I$1:I198)+1,"")</f>
        <v>0</v>
      </c>
    </row>
    <row r="200" spans="6:9">
      <c r="F200" s="7">
        <f>IF('W rejestracji'!$C$207="","",'W rejestracji'!$C$207)</f>
        <v>0</v>
      </c>
      <c r="G200" s="7">
        <f>IF(Zarejestrowane!$C$207="","",Zarejestrowane!$C$207)</f>
        <v>0</v>
      </c>
      <c r="H200" s="9">
        <f>IF(AND($F200&lt;&gt;"",ISNUMBER(SEARCH('Nr rejestracyjny'!$F$5,$F200))),COUNT($H$1:H199)+1,"")</f>
        <v>0</v>
      </c>
      <c r="I200" s="9">
        <f>IF(AND($G200&lt;&gt;"",ISNUMBER(SEARCH('Nr rejestracyjny'!$F$5,$G200))),COUNT($I$1:I199)+1,"")</f>
        <v>0</v>
      </c>
    </row>
    <row r="201" spans="6:9">
      <c r="F201" s="7">
        <f>IF('W rejestracji'!$C$208="","",'W rejestracji'!$C$208)</f>
        <v>0</v>
      </c>
      <c r="G201" s="7">
        <f>IF(Zarejestrowane!$C$208="","",Zarejestrowane!$C$208)</f>
        <v>0</v>
      </c>
      <c r="H201" s="9">
        <f>IF(AND($F201&lt;&gt;"",ISNUMBER(SEARCH('Nr rejestracyjny'!$F$5,$F201))),COUNT($H$1:H200)+1,"")</f>
        <v>0</v>
      </c>
      <c r="I201" s="9">
        <f>IF(AND($G201&lt;&gt;"",ISNUMBER(SEARCH('Nr rejestracyjny'!$F$5,$G201))),COUNT($I$1:I200)+1,"")</f>
        <v>0</v>
      </c>
    </row>
    <row r="202" spans="6:9">
      <c r="F202" s="7">
        <f>IF('W rejestracji'!$C$209="","",'W rejestracji'!$C$209)</f>
        <v>0</v>
      </c>
      <c r="G202" s="7">
        <f>IF(Zarejestrowane!$C$209="","",Zarejestrowane!$C$209)</f>
        <v>0</v>
      </c>
      <c r="H202" s="9">
        <f>IF(AND($F202&lt;&gt;"",ISNUMBER(SEARCH('Nr rejestracyjny'!$F$5,$F202))),COUNT($H$1:H201)+1,"")</f>
        <v>0</v>
      </c>
      <c r="I202" s="9">
        <f>IF(AND($G202&lt;&gt;"",ISNUMBER(SEARCH('Nr rejestracyjny'!$F$5,$G202))),COUNT($I$1:I201)+1,"")</f>
        <v>0</v>
      </c>
    </row>
    <row r="203" spans="6:9">
      <c r="F203" s="7">
        <f>IF('W rejestracji'!$C$210="","",'W rejestracji'!$C$210)</f>
        <v>0</v>
      </c>
      <c r="G203" s="7">
        <f>IF(Zarejestrowane!$C$210="","",Zarejestrowane!$C$210)</f>
        <v>0</v>
      </c>
      <c r="H203" s="9">
        <f>IF(AND($F203&lt;&gt;"",ISNUMBER(SEARCH('Nr rejestracyjny'!$F$5,$F203))),COUNT($H$1:H202)+1,"")</f>
        <v>0</v>
      </c>
      <c r="I203" s="9">
        <f>IF(AND($G203&lt;&gt;"",ISNUMBER(SEARCH('Nr rejestracyjny'!$F$5,$G203))),COUNT($I$1:I202)+1,"")</f>
        <v>0</v>
      </c>
    </row>
    <row r="204" spans="6:9">
      <c r="F204" s="7">
        <f>IF('W rejestracji'!$C$211="","",'W rejestracji'!$C$211)</f>
        <v>0</v>
      </c>
      <c r="G204" s="7">
        <f>IF(Zarejestrowane!$C$211="","",Zarejestrowane!$C$211)</f>
        <v>0</v>
      </c>
      <c r="H204" s="9">
        <f>IF(AND($F204&lt;&gt;"",ISNUMBER(SEARCH('Nr rejestracyjny'!$F$5,$F204))),COUNT($H$1:H203)+1,"")</f>
        <v>0</v>
      </c>
      <c r="I204" s="9">
        <f>IF(AND($G204&lt;&gt;"",ISNUMBER(SEARCH('Nr rejestracyjny'!$F$5,$G204))),COUNT($I$1:I203)+1,"")</f>
        <v>0</v>
      </c>
    </row>
    <row r="205" spans="6:9">
      <c r="F205" s="7">
        <f>IF('W rejestracji'!$C$212="","",'W rejestracji'!$C$212)</f>
        <v>0</v>
      </c>
      <c r="G205" s="7">
        <f>IF(Zarejestrowane!$C$212="","",Zarejestrowane!$C$212)</f>
        <v>0</v>
      </c>
      <c r="H205" s="9">
        <f>IF(AND($F205&lt;&gt;"",ISNUMBER(SEARCH('Nr rejestracyjny'!$F$5,$F205))),COUNT($H$1:H204)+1,"")</f>
        <v>0</v>
      </c>
      <c r="I205" s="9">
        <f>IF(AND($G205&lt;&gt;"",ISNUMBER(SEARCH('Nr rejestracyjny'!$F$5,$G205))),COUNT($I$1:I204)+1,"")</f>
        <v>0</v>
      </c>
    </row>
    <row r="206" spans="6:9">
      <c r="F206" s="7">
        <f>IF('W rejestracji'!$C$213="","",'W rejestracji'!$C$213)</f>
        <v>0</v>
      </c>
      <c r="G206" s="7">
        <f>IF(Zarejestrowane!$C$213="","",Zarejestrowane!$C$213)</f>
        <v>0</v>
      </c>
      <c r="H206" s="9">
        <f>IF(AND($F206&lt;&gt;"",ISNUMBER(SEARCH('Nr rejestracyjny'!$F$5,$F206))),COUNT($H$1:H205)+1,"")</f>
        <v>0</v>
      </c>
      <c r="I206" s="9">
        <f>IF(AND($G206&lt;&gt;"",ISNUMBER(SEARCH('Nr rejestracyjny'!$F$5,$G206))),COUNT($I$1:I205)+1,"")</f>
        <v>0</v>
      </c>
    </row>
    <row r="207" spans="6:9">
      <c r="F207" s="7">
        <f>IF('W rejestracji'!$C$214="","",'W rejestracji'!$C$214)</f>
        <v>0</v>
      </c>
      <c r="G207" s="7">
        <f>IF(Zarejestrowane!$C$214="","",Zarejestrowane!$C$214)</f>
        <v>0</v>
      </c>
      <c r="H207" s="9">
        <f>IF(AND($F207&lt;&gt;"",ISNUMBER(SEARCH('Nr rejestracyjny'!$F$5,$F207))),COUNT($H$1:H206)+1,"")</f>
        <v>0</v>
      </c>
      <c r="I207" s="9">
        <f>IF(AND($G207&lt;&gt;"",ISNUMBER(SEARCH('Nr rejestracyjny'!$F$5,$G207))),COUNT($I$1:I206)+1,"")</f>
        <v>0</v>
      </c>
    </row>
    <row r="208" spans="6:9">
      <c r="F208" s="7">
        <f>IF('W rejestracji'!$C$215="","",'W rejestracji'!$C$215)</f>
        <v>0</v>
      </c>
      <c r="G208" s="7">
        <f>IF(Zarejestrowane!$C$215="","",Zarejestrowane!$C$215)</f>
        <v>0</v>
      </c>
      <c r="H208" s="9">
        <f>IF(AND($F208&lt;&gt;"",ISNUMBER(SEARCH('Nr rejestracyjny'!$F$5,$F208))),COUNT($H$1:H207)+1,"")</f>
        <v>0</v>
      </c>
      <c r="I208" s="9">
        <f>IF(AND($G208&lt;&gt;"",ISNUMBER(SEARCH('Nr rejestracyjny'!$F$5,$G208))),COUNT($I$1:I207)+1,"")</f>
        <v>0</v>
      </c>
    </row>
    <row r="209" spans="6:9">
      <c r="F209" s="7">
        <f>IF('W rejestracji'!$C$216="","",'W rejestracji'!$C$216)</f>
        <v>0</v>
      </c>
      <c r="G209" s="7">
        <f>IF(Zarejestrowane!$C$216="","",Zarejestrowane!$C$216)</f>
        <v>0</v>
      </c>
      <c r="H209" s="9">
        <f>IF(AND($F209&lt;&gt;"",ISNUMBER(SEARCH('Nr rejestracyjny'!$F$5,$F209))),COUNT($H$1:H208)+1,"")</f>
        <v>0</v>
      </c>
      <c r="I209" s="9">
        <f>IF(AND($G209&lt;&gt;"",ISNUMBER(SEARCH('Nr rejestracyjny'!$F$5,$G209))),COUNT($I$1:I208)+1,"")</f>
        <v>0</v>
      </c>
    </row>
    <row r="210" spans="6:9">
      <c r="F210" s="7">
        <f>IF('W rejestracji'!$C$217="","",'W rejestracji'!$C$217)</f>
        <v>0</v>
      </c>
      <c r="G210" s="7">
        <f>IF(Zarejestrowane!$C$217="","",Zarejestrowane!$C$217)</f>
        <v>0</v>
      </c>
      <c r="H210" s="9">
        <f>IF(AND($F210&lt;&gt;"",ISNUMBER(SEARCH('Nr rejestracyjny'!$F$5,$F210))),COUNT($H$1:H209)+1,"")</f>
        <v>0</v>
      </c>
      <c r="I210" s="9">
        <f>IF(AND($G210&lt;&gt;"",ISNUMBER(SEARCH('Nr rejestracyjny'!$F$5,$G210))),COUNT($I$1:I209)+1,"")</f>
        <v>0</v>
      </c>
    </row>
    <row r="211" spans="6:9">
      <c r="F211" s="7">
        <f>IF('W rejestracji'!$C$218="","",'W rejestracji'!$C$218)</f>
        <v>0</v>
      </c>
      <c r="G211" s="7">
        <f>IF(Zarejestrowane!$C$218="","",Zarejestrowane!$C$218)</f>
        <v>0</v>
      </c>
      <c r="H211" s="9">
        <f>IF(AND($F211&lt;&gt;"",ISNUMBER(SEARCH('Nr rejestracyjny'!$F$5,$F211))),COUNT($H$1:H210)+1,"")</f>
        <v>0</v>
      </c>
      <c r="I211" s="9">
        <f>IF(AND($G211&lt;&gt;"",ISNUMBER(SEARCH('Nr rejestracyjny'!$F$5,$G211))),COUNT($I$1:I210)+1,"")</f>
        <v>0</v>
      </c>
    </row>
    <row r="212" spans="6:9">
      <c r="F212" s="7">
        <f>IF('W rejestracji'!$C$219="","",'W rejestracji'!$C$219)</f>
        <v>0</v>
      </c>
      <c r="G212" s="7">
        <f>IF(Zarejestrowane!$C$219="","",Zarejestrowane!$C$219)</f>
        <v>0</v>
      </c>
      <c r="H212" s="9">
        <f>IF(AND($F212&lt;&gt;"",ISNUMBER(SEARCH('Nr rejestracyjny'!$F$5,$F212))),COUNT($H$1:H211)+1,"")</f>
        <v>0</v>
      </c>
      <c r="I212" s="9">
        <f>IF(AND($G212&lt;&gt;"",ISNUMBER(SEARCH('Nr rejestracyjny'!$F$5,$G212))),COUNT($I$1:I211)+1,"")</f>
        <v>0</v>
      </c>
    </row>
    <row r="213" spans="6:9">
      <c r="F213" s="7">
        <f>IF('W rejestracji'!$C$220="","",'W rejestracji'!$C$220)</f>
        <v>0</v>
      </c>
      <c r="G213" s="7">
        <f>IF(Zarejestrowane!$C$220="","",Zarejestrowane!$C$220)</f>
        <v>0</v>
      </c>
      <c r="H213" s="9">
        <f>IF(AND($F213&lt;&gt;"",ISNUMBER(SEARCH('Nr rejestracyjny'!$F$5,$F213))),COUNT($H$1:H212)+1,"")</f>
        <v>0</v>
      </c>
      <c r="I213" s="9">
        <f>IF(AND($G213&lt;&gt;"",ISNUMBER(SEARCH('Nr rejestracyjny'!$F$5,$G213))),COUNT($I$1:I212)+1,"")</f>
        <v>0</v>
      </c>
    </row>
    <row r="214" spans="6:9">
      <c r="F214" s="7">
        <f>IF('W rejestracji'!$C$221="","",'W rejestracji'!$C$221)</f>
        <v>0</v>
      </c>
      <c r="G214" s="7">
        <f>IF(Zarejestrowane!$C$221="","",Zarejestrowane!$C$221)</f>
        <v>0</v>
      </c>
      <c r="H214" s="9">
        <f>IF(AND($F214&lt;&gt;"",ISNUMBER(SEARCH('Nr rejestracyjny'!$F$5,$F214))),COUNT($H$1:H213)+1,"")</f>
        <v>0</v>
      </c>
      <c r="I214" s="9">
        <f>IF(AND($G214&lt;&gt;"",ISNUMBER(SEARCH('Nr rejestracyjny'!$F$5,$G214))),COUNT($I$1:I213)+1,"")</f>
        <v>0</v>
      </c>
    </row>
    <row r="215" spans="6:9">
      <c r="F215" s="7">
        <f>IF('W rejestracji'!$C$222="","",'W rejestracji'!$C$222)</f>
        <v>0</v>
      </c>
      <c r="G215" s="7">
        <f>IF(Zarejestrowane!$C$222="","",Zarejestrowane!$C$222)</f>
        <v>0</v>
      </c>
      <c r="H215" s="9">
        <f>IF(AND($F215&lt;&gt;"",ISNUMBER(SEARCH('Nr rejestracyjny'!$F$5,$F215))),COUNT($H$1:H214)+1,"")</f>
        <v>0</v>
      </c>
      <c r="I215" s="9">
        <f>IF(AND($G215&lt;&gt;"",ISNUMBER(SEARCH('Nr rejestracyjny'!$F$5,$G215))),COUNT($I$1:I214)+1,"")</f>
        <v>0</v>
      </c>
    </row>
    <row r="216" spans="6:9">
      <c r="F216" s="7">
        <f>IF('W rejestracji'!$C$223="","",'W rejestracji'!$C$223)</f>
        <v>0</v>
      </c>
      <c r="G216" s="7">
        <f>IF(Zarejestrowane!$C$223="","",Zarejestrowane!$C$223)</f>
        <v>0</v>
      </c>
      <c r="H216" s="9">
        <f>IF(AND($F216&lt;&gt;"",ISNUMBER(SEARCH('Nr rejestracyjny'!$F$5,$F216))),COUNT($H$1:H215)+1,"")</f>
        <v>0</v>
      </c>
      <c r="I216" s="9">
        <f>IF(AND($G216&lt;&gt;"",ISNUMBER(SEARCH('Nr rejestracyjny'!$F$5,$G216))),COUNT($I$1:I215)+1,"")</f>
        <v>0</v>
      </c>
    </row>
    <row r="217" spans="6:9">
      <c r="F217" s="7">
        <f>IF('W rejestracji'!$C$224="","",'W rejestracji'!$C$224)</f>
        <v>0</v>
      </c>
      <c r="G217" s="7">
        <f>IF(Zarejestrowane!$C$224="","",Zarejestrowane!$C$224)</f>
        <v>0</v>
      </c>
      <c r="H217" s="9">
        <f>IF(AND($F217&lt;&gt;"",ISNUMBER(SEARCH('Nr rejestracyjny'!$F$5,$F217))),COUNT($H$1:H216)+1,"")</f>
        <v>0</v>
      </c>
      <c r="I217" s="9">
        <f>IF(AND($G217&lt;&gt;"",ISNUMBER(SEARCH('Nr rejestracyjny'!$F$5,$G217))),COUNT($I$1:I216)+1,"")</f>
        <v>0</v>
      </c>
    </row>
    <row r="218" spans="6:9">
      <c r="F218" s="7">
        <f>IF('W rejestracji'!$C$225="","",'W rejestracji'!$C$225)</f>
        <v>0</v>
      </c>
      <c r="G218" s="7">
        <f>IF(Zarejestrowane!$C$225="","",Zarejestrowane!$C$225)</f>
        <v>0</v>
      </c>
      <c r="H218" s="9">
        <f>IF(AND($F218&lt;&gt;"",ISNUMBER(SEARCH('Nr rejestracyjny'!$F$5,$F218))),COUNT($H$1:H217)+1,"")</f>
        <v>0</v>
      </c>
      <c r="I218" s="9">
        <f>IF(AND($G218&lt;&gt;"",ISNUMBER(SEARCH('Nr rejestracyjny'!$F$5,$G218))),COUNT($I$1:I217)+1,"")</f>
        <v>0</v>
      </c>
    </row>
    <row r="219" spans="6:9">
      <c r="F219" s="7">
        <f>IF('W rejestracji'!$C$226="","",'W rejestracji'!$C$226)</f>
        <v>0</v>
      </c>
      <c r="G219" s="7">
        <f>IF(Zarejestrowane!$C$226="","",Zarejestrowane!$C$226)</f>
        <v>0</v>
      </c>
      <c r="H219" s="9">
        <f>IF(AND($F219&lt;&gt;"",ISNUMBER(SEARCH('Nr rejestracyjny'!$F$5,$F219))),COUNT($H$1:H218)+1,"")</f>
        <v>0</v>
      </c>
      <c r="I219" s="9">
        <f>IF(AND($G219&lt;&gt;"",ISNUMBER(SEARCH('Nr rejestracyjny'!$F$5,$G219))),COUNT($I$1:I218)+1,"")</f>
        <v>0</v>
      </c>
    </row>
    <row r="220" spans="6:9">
      <c r="F220" s="7">
        <f>IF('W rejestracji'!$C$227="","",'W rejestracji'!$C$227)</f>
        <v>0</v>
      </c>
      <c r="G220" s="7">
        <f>IF(Zarejestrowane!$C$227="","",Zarejestrowane!$C$227)</f>
        <v>0</v>
      </c>
      <c r="H220" s="9">
        <f>IF(AND($F220&lt;&gt;"",ISNUMBER(SEARCH('Nr rejestracyjny'!$F$5,$F220))),COUNT($H$1:H219)+1,"")</f>
        <v>0</v>
      </c>
      <c r="I220" s="9">
        <f>IF(AND($G220&lt;&gt;"",ISNUMBER(SEARCH('Nr rejestracyjny'!$F$5,$G220))),COUNT($I$1:I219)+1,"")</f>
        <v>0</v>
      </c>
    </row>
    <row r="221" spans="6:9">
      <c r="F221" s="7">
        <f>IF('W rejestracji'!$C$228="","",'W rejestracji'!$C$228)</f>
        <v>0</v>
      </c>
      <c r="G221" s="7">
        <f>IF(Zarejestrowane!$C$228="","",Zarejestrowane!$C$228)</f>
        <v>0</v>
      </c>
      <c r="H221" s="9">
        <f>IF(AND($F221&lt;&gt;"",ISNUMBER(SEARCH('Nr rejestracyjny'!$F$5,$F221))),COUNT($H$1:H220)+1,"")</f>
        <v>0</v>
      </c>
      <c r="I221" s="9">
        <f>IF(AND($G221&lt;&gt;"",ISNUMBER(SEARCH('Nr rejestracyjny'!$F$5,$G221))),COUNT($I$1:I220)+1,"")</f>
        <v>0</v>
      </c>
    </row>
    <row r="222" spans="6:9">
      <c r="F222" s="7">
        <f>IF('W rejestracji'!$C$229="","",'W rejestracji'!$C$229)</f>
        <v>0</v>
      </c>
      <c r="G222" s="7">
        <f>IF(Zarejestrowane!$C$229="","",Zarejestrowane!$C$229)</f>
        <v>0</v>
      </c>
      <c r="H222" s="9">
        <f>IF(AND($F222&lt;&gt;"",ISNUMBER(SEARCH('Nr rejestracyjny'!$F$5,$F222))),COUNT($H$1:H221)+1,"")</f>
        <v>0</v>
      </c>
      <c r="I222" s="9">
        <f>IF(AND($G222&lt;&gt;"",ISNUMBER(SEARCH('Nr rejestracyjny'!$F$5,$G222))),COUNT($I$1:I221)+1,"")</f>
        <v>0</v>
      </c>
    </row>
    <row r="223" spans="6:9">
      <c r="F223" s="7">
        <f>IF('W rejestracji'!$C$230="","",'W rejestracji'!$C$230)</f>
        <v>0</v>
      </c>
      <c r="G223" s="7">
        <f>IF(Zarejestrowane!$C$230="","",Zarejestrowane!$C$230)</f>
        <v>0</v>
      </c>
      <c r="H223" s="9">
        <f>IF(AND($F223&lt;&gt;"",ISNUMBER(SEARCH('Nr rejestracyjny'!$F$5,$F223))),COUNT($H$1:H222)+1,"")</f>
        <v>0</v>
      </c>
      <c r="I223" s="9">
        <f>IF(AND($G223&lt;&gt;"",ISNUMBER(SEARCH('Nr rejestracyjny'!$F$5,$G223))),COUNT($I$1:I222)+1,"")</f>
        <v>0</v>
      </c>
    </row>
    <row r="224" spans="6:9">
      <c r="F224" s="7">
        <f>IF('W rejestracji'!$C$231="","",'W rejestracji'!$C$231)</f>
        <v>0</v>
      </c>
      <c r="G224" s="7">
        <f>IF(Zarejestrowane!$C$231="","",Zarejestrowane!$C$231)</f>
        <v>0</v>
      </c>
      <c r="H224" s="9">
        <f>IF(AND($F224&lt;&gt;"",ISNUMBER(SEARCH('Nr rejestracyjny'!$F$5,$F224))),COUNT($H$1:H223)+1,"")</f>
        <v>0</v>
      </c>
      <c r="I224" s="9">
        <f>IF(AND($G224&lt;&gt;"",ISNUMBER(SEARCH('Nr rejestracyjny'!$F$5,$G224))),COUNT($I$1:I223)+1,"")</f>
        <v>0</v>
      </c>
    </row>
    <row r="225" spans="6:9">
      <c r="F225" s="7">
        <f>IF('W rejestracji'!$C$232="","",'W rejestracji'!$C$232)</f>
        <v>0</v>
      </c>
      <c r="G225" s="7">
        <f>IF(Zarejestrowane!$C$232="","",Zarejestrowane!$C$232)</f>
        <v>0</v>
      </c>
      <c r="H225" s="9">
        <f>IF(AND($F225&lt;&gt;"",ISNUMBER(SEARCH('Nr rejestracyjny'!$F$5,$F225))),COUNT($H$1:H224)+1,"")</f>
        <v>0</v>
      </c>
      <c r="I225" s="9">
        <f>IF(AND($G225&lt;&gt;"",ISNUMBER(SEARCH('Nr rejestracyjny'!$F$5,$G225))),COUNT($I$1:I224)+1,"")</f>
        <v>0</v>
      </c>
    </row>
    <row r="226" spans="6:9">
      <c r="F226" s="7">
        <f>IF('W rejestracji'!$C$233="","",'W rejestracji'!$C$233)</f>
        <v>0</v>
      </c>
      <c r="G226" s="7">
        <f>IF(Zarejestrowane!$C$233="","",Zarejestrowane!$C$233)</f>
        <v>0</v>
      </c>
      <c r="H226" s="9">
        <f>IF(AND($F226&lt;&gt;"",ISNUMBER(SEARCH('Nr rejestracyjny'!$F$5,$F226))),COUNT($H$1:H225)+1,"")</f>
        <v>0</v>
      </c>
      <c r="I226" s="9">
        <f>IF(AND($G226&lt;&gt;"",ISNUMBER(SEARCH('Nr rejestracyjny'!$F$5,$G226))),COUNT($I$1:I225)+1,"")</f>
        <v>0</v>
      </c>
    </row>
    <row r="227" spans="6:9">
      <c r="F227" s="7">
        <f>IF('W rejestracji'!$C$234="","",'W rejestracji'!$C$234)</f>
        <v>0</v>
      </c>
      <c r="G227" s="7">
        <f>IF(Zarejestrowane!$C$234="","",Zarejestrowane!$C$234)</f>
        <v>0</v>
      </c>
      <c r="H227" s="9">
        <f>IF(AND($F227&lt;&gt;"",ISNUMBER(SEARCH('Nr rejestracyjny'!$F$5,$F227))),COUNT($H$1:H226)+1,"")</f>
        <v>0</v>
      </c>
      <c r="I227" s="9">
        <f>IF(AND($G227&lt;&gt;"",ISNUMBER(SEARCH('Nr rejestracyjny'!$F$5,$G227))),COUNT($I$1:I226)+1,"")</f>
        <v>0</v>
      </c>
    </row>
    <row r="228" spans="6:9">
      <c r="F228" s="7">
        <f>IF('W rejestracji'!$C$235="","",'W rejestracji'!$C$235)</f>
        <v>0</v>
      </c>
      <c r="G228" s="7">
        <f>IF(Zarejestrowane!$C$235="","",Zarejestrowane!$C$235)</f>
        <v>0</v>
      </c>
      <c r="H228" s="9">
        <f>IF(AND($F228&lt;&gt;"",ISNUMBER(SEARCH('Nr rejestracyjny'!$F$5,$F228))),COUNT($H$1:H227)+1,"")</f>
        <v>0</v>
      </c>
      <c r="I228" s="9">
        <f>IF(AND($G228&lt;&gt;"",ISNUMBER(SEARCH('Nr rejestracyjny'!$F$5,$G228))),COUNT($I$1:I227)+1,"")</f>
        <v>0</v>
      </c>
    </row>
    <row r="229" spans="6:9">
      <c r="F229" s="7">
        <f>IF('W rejestracji'!$C$236="","",'W rejestracji'!$C$236)</f>
        <v>0</v>
      </c>
      <c r="G229" s="7">
        <f>IF(Zarejestrowane!$C$236="","",Zarejestrowane!$C$236)</f>
        <v>0</v>
      </c>
      <c r="H229" s="9">
        <f>IF(AND($F229&lt;&gt;"",ISNUMBER(SEARCH('Nr rejestracyjny'!$F$5,$F229))),COUNT($H$1:H228)+1,"")</f>
        <v>0</v>
      </c>
      <c r="I229" s="9">
        <f>IF(AND($G229&lt;&gt;"",ISNUMBER(SEARCH('Nr rejestracyjny'!$F$5,$G229))),COUNT($I$1:I228)+1,"")</f>
        <v>0</v>
      </c>
    </row>
    <row r="230" spans="6:9">
      <c r="F230" s="7">
        <f>IF('W rejestracji'!$C$237="","",'W rejestracji'!$C$237)</f>
        <v>0</v>
      </c>
      <c r="G230" s="7">
        <f>IF(Zarejestrowane!$C$237="","",Zarejestrowane!$C$237)</f>
        <v>0</v>
      </c>
      <c r="H230" s="9">
        <f>IF(AND($F230&lt;&gt;"",ISNUMBER(SEARCH('Nr rejestracyjny'!$F$5,$F230))),COUNT($H$1:H229)+1,"")</f>
        <v>0</v>
      </c>
      <c r="I230" s="9">
        <f>IF(AND($G230&lt;&gt;"",ISNUMBER(SEARCH('Nr rejestracyjny'!$F$5,$G230))),COUNT($I$1:I229)+1,"")</f>
        <v>0</v>
      </c>
    </row>
    <row r="231" spans="6:9">
      <c r="F231" s="7">
        <f>IF('W rejestracji'!$C$238="","",'W rejestracji'!$C$238)</f>
        <v>0</v>
      </c>
      <c r="G231" s="7">
        <f>IF(Zarejestrowane!$C$238="","",Zarejestrowane!$C$238)</f>
        <v>0</v>
      </c>
      <c r="H231" s="9">
        <f>IF(AND($F231&lt;&gt;"",ISNUMBER(SEARCH('Nr rejestracyjny'!$F$5,$F231))),COUNT($H$1:H230)+1,"")</f>
        <v>0</v>
      </c>
      <c r="I231" s="9">
        <f>IF(AND($G231&lt;&gt;"",ISNUMBER(SEARCH('Nr rejestracyjny'!$F$5,$G231))),COUNT($I$1:I230)+1,"")</f>
        <v>0</v>
      </c>
    </row>
    <row r="232" spans="6:9">
      <c r="F232" s="7">
        <f>IF('W rejestracji'!$C$239="","",'W rejestracji'!$C$239)</f>
        <v>0</v>
      </c>
      <c r="G232" s="7">
        <f>IF(Zarejestrowane!$C$239="","",Zarejestrowane!$C$239)</f>
        <v>0</v>
      </c>
      <c r="H232" s="9">
        <f>IF(AND($F232&lt;&gt;"",ISNUMBER(SEARCH('Nr rejestracyjny'!$F$5,$F232))),COUNT($H$1:H231)+1,"")</f>
        <v>0</v>
      </c>
      <c r="I232" s="9">
        <f>IF(AND($G232&lt;&gt;"",ISNUMBER(SEARCH('Nr rejestracyjny'!$F$5,$G232))),COUNT($I$1:I231)+1,"")</f>
        <v>0</v>
      </c>
    </row>
    <row r="233" spans="6:9">
      <c r="F233" s="7">
        <f>IF('W rejestracji'!$C$240="","",'W rejestracji'!$C$240)</f>
        <v>0</v>
      </c>
      <c r="G233" s="7">
        <f>IF(Zarejestrowane!$C$240="","",Zarejestrowane!$C$240)</f>
        <v>0</v>
      </c>
      <c r="H233" s="9">
        <f>IF(AND($F233&lt;&gt;"",ISNUMBER(SEARCH('Nr rejestracyjny'!$F$5,$F233))),COUNT($H$1:H232)+1,"")</f>
        <v>0</v>
      </c>
      <c r="I233" s="9">
        <f>IF(AND($G233&lt;&gt;"",ISNUMBER(SEARCH('Nr rejestracyjny'!$F$5,$G233))),COUNT($I$1:I232)+1,"")</f>
        <v>0</v>
      </c>
    </row>
    <row r="234" spans="6:9">
      <c r="F234" s="7">
        <f>IF('W rejestracji'!$C$241="","",'W rejestracji'!$C$241)</f>
        <v>0</v>
      </c>
      <c r="G234" s="7">
        <f>IF(Zarejestrowane!$C$241="","",Zarejestrowane!$C$241)</f>
        <v>0</v>
      </c>
      <c r="H234" s="9">
        <f>IF(AND($F234&lt;&gt;"",ISNUMBER(SEARCH('Nr rejestracyjny'!$F$5,$F234))),COUNT($H$1:H233)+1,"")</f>
        <v>0</v>
      </c>
      <c r="I234" s="9">
        <f>IF(AND($G234&lt;&gt;"",ISNUMBER(SEARCH('Nr rejestracyjny'!$F$5,$G234))),COUNT($I$1:I233)+1,"")</f>
        <v>0</v>
      </c>
    </row>
    <row r="235" spans="6:9">
      <c r="F235" s="7">
        <f>IF('W rejestracji'!$C$242="","",'W rejestracji'!$C$242)</f>
        <v>0</v>
      </c>
      <c r="G235" s="7">
        <f>IF(Zarejestrowane!$C$242="","",Zarejestrowane!$C$242)</f>
        <v>0</v>
      </c>
      <c r="H235" s="9">
        <f>IF(AND($F235&lt;&gt;"",ISNUMBER(SEARCH('Nr rejestracyjny'!$F$5,$F235))),COUNT($H$1:H234)+1,"")</f>
        <v>0</v>
      </c>
      <c r="I235" s="9">
        <f>IF(AND($G235&lt;&gt;"",ISNUMBER(SEARCH('Nr rejestracyjny'!$F$5,$G235))),COUNT($I$1:I234)+1,"")</f>
        <v>0</v>
      </c>
    </row>
    <row r="236" spans="6:9">
      <c r="F236" s="7">
        <f>IF('W rejestracji'!$C$243="","",'W rejestracji'!$C$243)</f>
        <v>0</v>
      </c>
      <c r="G236" s="7">
        <f>IF(Zarejestrowane!$C$243="","",Zarejestrowane!$C$243)</f>
        <v>0</v>
      </c>
      <c r="H236" s="9">
        <f>IF(AND($F236&lt;&gt;"",ISNUMBER(SEARCH('Nr rejestracyjny'!$F$5,$F236))),COUNT($H$1:H235)+1,"")</f>
        <v>0</v>
      </c>
      <c r="I236" s="9">
        <f>IF(AND($G236&lt;&gt;"",ISNUMBER(SEARCH('Nr rejestracyjny'!$F$5,$G236))),COUNT($I$1:I235)+1,"")</f>
        <v>0</v>
      </c>
    </row>
    <row r="237" spans="6:9">
      <c r="F237" s="7">
        <f>IF('W rejestracji'!$C$244="","",'W rejestracji'!$C$244)</f>
        <v>0</v>
      </c>
      <c r="G237" s="7">
        <f>IF(Zarejestrowane!$C$244="","",Zarejestrowane!$C$244)</f>
        <v>0</v>
      </c>
      <c r="H237" s="9">
        <f>IF(AND($F237&lt;&gt;"",ISNUMBER(SEARCH('Nr rejestracyjny'!$F$5,$F237))),COUNT($H$1:H236)+1,"")</f>
        <v>0</v>
      </c>
      <c r="I237" s="9">
        <f>IF(AND($G237&lt;&gt;"",ISNUMBER(SEARCH('Nr rejestracyjny'!$F$5,$G237))),COUNT($I$1:I236)+1,"")</f>
        <v>0</v>
      </c>
    </row>
    <row r="238" spans="6:9">
      <c r="F238" s="7">
        <f>IF('W rejestracji'!$C$245="","",'W rejestracji'!$C$245)</f>
        <v>0</v>
      </c>
      <c r="G238" s="7">
        <f>IF(Zarejestrowane!$C$245="","",Zarejestrowane!$C$245)</f>
        <v>0</v>
      </c>
      <c r="H238" s="9">
        <f>IF(AND($F238&lt;&gt;"",ISNUMBER(SEARCH('Nr rejestracyjny'!$F$5,$F238))),COUNT($H$1:H237)+1,"")</f>
        <v>0</v>
      </c>
      <c r="I238" s="9">
        <f>IF(AND($G238&lt;&gt;"",ISNUMBER(SEARCH('Nr rejestracyjny'!$F$5,$G238))),COUNT($I$1:I237)+1,"")</f>
        <v>0</v>
      </c>
    </row>
    <row r="239" spans="6:9">
      <c r="F239" s="7">
        <f>IF('W rejestracji'!$C$246="","",'W rejestracji'!$C$246)</f>
        <v>0</v>
      </c>
      <c r="G239" s="7">
        <f>IF(Zarejestrowane!$C$246="","",Zarejestrowane!$C$246)</f>
        <v>0</v>
      </c>
      <c r="H239" s="9">
        <f>IF(AND($F239&lt;&gt;"",ISNUMBER(SEARCH('Nr rejestracyjny'!$F$5,$F239))),COUNT($H$1:H238)+1,"")</f>
        <v>0</v>
      </c>
      <c r="I239" s="9">
        <f>IF(AND($G239&lt;&gt;"",ISNUMBER(SEARCH('Nr rejestracyjny'!$F$5,$G239))),COUNT($I$1:I238)+1,"")</f>
        <v>0</v>
      </c>
    </row>
    <row r="240" spans="6:9">
      <c r="F240" s="7">
        <f>IF('W rejestracji'!$C$247="","",'W rejestracji'!$C$247)</f>
        <v>0</v>
      </c>
      <c r="G240" s="7">
        <f>IF(Zarejestrowane!$C$247="","",Zarejestrowane!$C$247)</f>
        <v>0</v>
      </c>
      <c r="H240" s="9">
        <f>IF(AND($F240&lt;&gt;"",ISNUMBER(SEARCH('Nr rejestracyjny'!$F$5,$F240))),COUNT($H$1:H239)+1,"")</f>
        <v>0</v>
      </c>
      <c r="I240" s="9">
        <f>IF(AND($G240&lt;&gt;"",ISNUMBER(SEARCH('Nr rejestracyjny'!$F$5,$G240))),COUNT($I$1:I239)+1,"")</f>
        <v>0</v>
      </c>
    </row>
    <row r="241" spans="6:9">
      <c r="F241" s="7">
        <f>IF('W rejestracji'!$C$248="","",'W rejestracji'!$C$248)</f>
        <v>0</v>
      </c>
      <c r="G241" s="7">
        <f>IF(Zarejestrowane!$C$248="","",Zarejestrowane!$C$248)</f>
        <v>0</v>
      </c>
      <c r="H241" s="9">
        <f>IF(AND($F241&lt;&gt;"",ISNUMBER(SEARCH('Nr rejestracyjny'!$F$5,$F241))),COUNT($H$1:H240)+1,"")</f>
        <v>0</v>
      </c>
      <c r="I241" s="9">
        <f>IF(AND($G241&lt;&gt;"",ISNUMBER(SEARCH('Nr rejestracyjny'!$F$5,$G241))),COUNT($I$1:I240)+1,"")</f>
        <v>0</v>
      </c>
    </row>
    <row r="242" spans="6:9">
      <c r="F242" s="7">
        <f>IF('W rejestracji'!$C$249="","",'W rejestracji'!$C$249)</f>
        <v>0</v>
      </c>
      <c r="G242" s="7">
        <f>IF(Zarejestrowane!$C$249="","",Zarejestrowane!$C$249)</f>
        <v>0</v>
      </c>
      <c r="H242" s="9">
        <f>IF(AND($F242&lt;&gt;"",ISNUMBER(SEARCH('Nr rejestracyjny'!$F$5,$F242))),COUNT($H$1:H241)+1,"")</f>
        <v>0</v>
      </c>
      <c r="I242" s="9">
        <f>IF(AND($G242&lt;&gt;"",ISNUMBER(SEARCH('Nr rejestracyjny'!$F$5,$G242))),COUNT($I$1:I241)+1,"")</f>
        <v>0</v>
      </c>
    </row>
    <row r="243" spans="6:9">
      <c r="F243" s="7">
        <f>IF('W rejestracji'!$C$250="","",'W rejestracji'!$C$250)</f>
        <v>0</v>
      </c>
      <c r="G243" s="7">
        <f>IF(Zarejestrowane!$C$250="","",Zarejestrowane!$C$250)</f>
        <v>0</v>
      </c>
      <c r="H243" s="9">
        <f>IF(AND($F243&lt;&gt;"",ISNUMBER(SEARCH('Nr rejestracyjny'!$F$5,$F243))),COUNT($H$1:H242)+1,"")</f>
        <v>0</v>
      </c>
      <c r="I243" s="9">
        <f>IF(AND($G243&lt;&gt;"",ISNUMBER(SEARCH('Nr rejestracyjny'!$F$5,$G243))),COUNT($I$1:I242)+1,"")</f>
        <v>0</v>
      </c>
    </row>
    <row r="244" spans="6:9">
      <c r="F244" s="7">
        <f>IF('W rejestracji'!$C$251="","",'W rejestracji'!$C$251)</f>
        <v>0</v>
      </c>
      <c r="G244" s="7">
        <f>IF(Zarejestrowane!$C$251="","",Zarejestrowane!$C$251)</f>
        <v>0</v>
      </c>
      <c r="H244" s="9">
        <f>IF(AND($F244&lt;&gt;"",ISNUMBER(SEARCH('Nr rejestracyjny'!$F$5,$F244))),COUNT($H$1:H243)+1,"")</f>
        <v>0</v>
      </c>
      <c r="I244" s="9">
        <f>IF(AND($G244&lt;&gt;"",ISNUMBER(SEARCH('Nr rejestracyjny'!$F$5,$G244))),COUNT($I$1:I243)+1,"")</f>
        <v>0</v>
      </c>
    </row>
    <row r="245" spans="6:9">
      <c r="F245" s="7">
        <f>IF('W rejestracji'!$C$252="","",'W rejestracji'!$C$252)</f>
        <v>0</v>
      </c>
      <c r="G245" s="7">
        <f>IF(Zarejestrowane!$C$252="","",Zarejestrowane!$C$252)</f>
        <v>0</v>
      </c>
      <c r="H245" s="9">
        <f>IF(AND($F245&lt;&gt;"",ISNUMBER(SEARCH('Nr rejestracyjny'!$F$5,$F245))),COUNT($H$1:H244)+1,"")</f>
        <v>0</v>
      </c>
      <c r="I245" s="9">
        <f>IF(AND($G245&lt;&gt;"",ISNUMBER(SEARCH('Nr rejestracyjny'!$F$5,$G245))),COUNT($I$1:I244)+1,"")</f>
        <v>0</v>
      </c>
    </row>
    <row r="246" spans="6:9">
      <c r="F246" s="7">
        <f>IF('W rejestracji'!$C$253="","",'W rejestracji'!$C$253)</f>
        <v>0</v>
      </c>
      <c r="G246" s="7">
        <f>IF(Zarejestrowane!$C$253="","",Zarejestrowane!$C$253)</f>
        <v>0</v>
      </c>
      <c r="H246" s="9">
        <f>IF(AND($F246&lt;&gt;"",ISNUMBER(SEARCH('Nr rejestracyjny'!$F$5,$F246))),COUNT($H$1:H245)+1,"")</f>
        <v>0</v>
      </c>
      <c r="I246" s="9">
        <f>IF(AND($G246&lt;&gt;"",ISNUMBER(SEARCH('Nr rejestracyjny'!$F$5,$G246))),COUNT($I$1:I245)+1,"")</f>
        <v>0</v>
      </c>
    </row>
    <row r="247" spans="6:9">
      <c r="F247" s="7">
        <f>IF('W rejestracji'!$C$254="","",'W rejestracji'!$C$254)</f>
        <v>0</v>
      </c>
      <c r="G247" s="7">
        <f>IF(Zarejestrowane!$C$254="","",Zarejestrowane!$C$254)</f>
        <v>0</v>
      </c>
      <c r="H247" s="9">
        <f>IF(AND($F247&lt;&gt;"",ISNUMBER(SEARCH('Nr rejestracyjny'!$F$5,$F247))),COUNT($H$1:H246)+1,"")</f>
        <v>0</v>
      </c>
      <c r="I247" s="9">
        <f>IF(AND($G247&lt;&gt;"",ISNUMBER(SEARCH('Nr rejestracyjny'!$F$5,$G247))),COUNT($I$1:I246)+1,"")</f>
        <v>0</v>
      </c>
    </row>
    <row r="248" spans="6:9">
      <c r="F248" s="7">
        <f>IF('W rejestracji'!$C$255="","",'W rejestracji'!$C$255)</f>
        <v>0</v>
      </c>
      <c r="G248" s="7">
        <f>IF(Zarejestrowane!$C$255="","",Zarejestrowane!$C$255)</f>
        <v>0</v>
      </c>
      <c r="H248" s="9">
        <f>IF(AND($F248&lt;&gt;"",ISNUMBER(SEARCH('Nr rejestracyjny'!$F$5,$F248))),COUNT($H$1:H247)+1,"")</f>
        <v>0</v>
      </c>
      <c r="I248" s="9">
        <f>IF(AND($G248&lt;&gt;"",ISNUMBER(SEARCH('Nr rejestracyjny'!$F$5,$G248))),COUNT($I$1:I247)+1,"")</f>
        <v>0</v>
      </c>
    </row>
    <row r="249" spans="6:9">
      <c r="F249" s="7">
        <f>IF('W rejestracji'!$C$256="","",'W rejestracji'!$C$256)</f>
        <v>0</v>
      </c>
      <c r="G249" s="7">
        <f>IF(Zarejestrowane!$C$256="","",Zarejestrowane!$C$256)</f>
        <v>0</v>
      </c>
      <c r="H249" s="9">
        <f>IF(AND($F249&lt;&gt;"",ISNUMBER(SEARCH('Nr rejestracyjny'!$F$5,$F249))),COUNT($H$1:H248)+1,"")</f>
        <v>0</v>
      </c>
      <c r="I249" s="9">
        <f>IF(AND($G249&lt;&gt;"",ISNUMBER(SEARCH('Nr rejestracyjny'!$F$5,$G249))),COUNT($I$1:I248)+1,"")</f>
        <v>0</v>
      </c>
    </row>
    <row r="250" spans="6:9">
      <c r="F250" s="7">
        <f>IF('W rejestracji'!$C$257="","",'W rejestracji'!$C$257)</f>
        <v>0</v>
      </c>
      <c r="G250" s="7">
        <f>IF(Zarejestrowane!$C$257="","",Zarejestrowane!$C$257)</f>
        <v>0</v>
      </c>
      <c r="H250" s="9">
        <f>IF(AND($F250&lt;&gt;"",ISNUMBER(SEARCH('Nr rejestracyjny'!$F$5,$F250))),COUNT($H$1:H249)+1,"")</f>
        <v>0</v>
      </c>
      <c r="I250" s="9">
        <f>IF(AND($G250&lt;&gt;"",ISNUMBER(SEARCH('Nr rejestracyjny'!$F$5,$G250))),COUNT($I$1:I249)+1,"")</f>
        <v>0</v>
      </c>
    </row>
    <row r="251" spans="6:9">
      <c r="F251" s="7">
        <f>IF('W rejestracji'!$C$258="","",'W rejestracji'!$C$258)</f>
        <v>0</v>
      </c>
      <c r="G251" s="7">
        <f>IF(Zarejestrowane!$C$258="","",Zarejestrowane!$C$258)</f>
        <v>0</v>
      </c>
      <c r="H251" s="9">
        <f>IF(AND($F251&lt;&gt;"",ISNUMBER(SEARCH('Nr rejestracyjny'!$F$5,$F251))),COUNT($H$1:H250)+1,"")</f>
        <v>0</v>
      </c>
      <c r="I251" s="9">
        <f>IF(AND($G251&lt;&gt;"",ISNUMBER(SEARCH('Nr rejestracyjny'!$F$5,$G251))),COUNT($I$1:I250)+1,"")</f>
        <v>0</v>
      </c>
    </row>
    <row r="252" spans="6:9">
      <c r="F252" s="7">
        <f>IF('W rejestracji'!$C$259="","",'W rejestracji'!$C$259)</f>
        <v>0</v>
      </c>
      <c r="G252" s="7">
        <f>IF(Zarejestrowane!$C$259="","",Zarejestrowane!$C$259)</f>
        <v>0</v>
      </c>
      <c r="H252" s="9">
        <f>IF(AND($F252&lt;&gt;"",ISNUMBER(SEARCH('Nr rejestracyjny'!$F$5,$F252))),COUNT($H$1:H251)+1,"")</f>
        <v>0</v>
      </c>
      <c r="I252" s="9">
        <f>IF(AND($G252&lt;&gt;"",ISNUMBER(SEARCH('Nr rejestracyjny'!$F$5,$G252))),COUNT($I$1:I251)+1,"")</f>
        <v>0</v>
      </c>
    </row>
    <row r="253" spans="6:9">
      <c r="F253" s="7">
        <f>IF('W rejestracji'!$C$260="","",'W rejestracji'!$C$260)</f>
        <v>0</v>
      </c>
      <c r="G253" s="7">
        <f>IF(Zarejestrowane!$C$260="","",Zarejestrowane!$C$260)</f>
        <v>0</v>
      </c>
      <c r="H253" s="9">
        <f>IF(AND($F253&lt;&gt;"",ISNUMBER(SEARCH('Nr rejestracyjny'!$F$5,$F253))),COUNT($H$1:H252)+1,"")</f>
        <v>0</v>
      </c>
      <c r="I253" s="9">
        <f>IF(AND($G253&lt;&gt;"",ISNUMBER(SEARCH('Nr rejestracyjny'!$F$5,$G253))),COUNT($I$1:I252)+1,"")</f>
        <v>0</v>
      </c>
    </row>
    <row r="254" spans="6:9">
      <c r="F254" s="7">
        <f>IF('W rejestracji'!$C$261="","",'W rejestracji'!$C$261)</f>
        <v>0</v>
      </c>
      <c r="G254" s="7">
        <f>IF(Zarejestrowane!$C$261="","",Zarejestrowane!$C$261)</f>
        <v>0</v>
      </c>
      <c r="H254" s="9">
        <f>IF(AND($F254&lt;&gt;"",ISNUMBER(SEARCH('Nr rejestracyjny'!$F$5,$F254))),COUNT($H$1:H253)+1,"")</f>
        <v>0</v>
      </c>
      <c r="I254" s="9">
        <f>IF(AND($G254&lt;&gt;"",ISNUMBER(SEARCH('Nr rejestracyjny'!$F$5,$G254))),COUNT($I$1:I253)+1,"")</f>
        <v>0</v>
      </c>
    </row>
    <row r="255" spans="6:9">
      <c r="F255" s="7">
        <f>IF('W rejestracji'!$C$262="","",'W rejestracji'!$C$262)</f>
        <v>0</v>
      </c>
      <c r="G255" s="7">
        <f>IF(Zarejestrowane!$C$262="","",Zarejestrowane!$C$262)</f>
        <v>0</v>
      </c>
      <c r="H255" s="9">
        <f>IF(AND($F255&lt;&gt;"",ISNUMBER(SEARCH('Nr rejestracyjny'!$F$5,$F255))),COUNT($H$1:H254)+1,"")</f>
        <v>0</v>
      </c>
      <c r="I255" s="9">
        <f>IF(AND($G255&lt;&gt;"",ISNUMBER(SEARCH('Nr rejestracyjny'!$F$5,$G255))),COUNT($I$1:I254)+1,"")</f>
        <v>0</v>
      </c>
    </row>
    <row r="256" spans="6:9">
      <c r="F256" s="7">
        <f>IF('W rejestracji'!$C$263="","",'W rejestracji'!$C$263)</f>
        <v>0</v>
      </c>
      <c r="G256" s="7">
        <f>IF(Zarejestrowane!$C$263="","",Zarejestrowane!$C$263)</f>
        <v>0</v>
      </c>
      <c r="H256" s="9">
        <f>IF(AND($F256&lt;&gt;"",ISNUMBER(SEARCH('Nr rejestracyjny'!$F$5,$F256))),COUNT($H$1:H255)+1,"")</f>
        <v>0</v>
      </c>
      <c r="I256" s="9">
        <f>IF(AND($G256&lt;&gt;"",ISNUMBER(SEARCH('Nr rejestracyjny'!$F$5,$G256))),COUNT($I$1:I255)+1,"")</f>
        <v>0</v>
      </c>
    </row>
    <row r="257" spans="6:9">
      <c r="F257" s="7">
        <f>IF('W rejestracji'!$C$264="","",'W rejestracji'!$C$264)</f>
        <v>0</v>
      </c>
      <c r="G257" s="7">
        <f>IF(Zarejestrowane!$C$264="","",Zarejestrowane!$C$264)</f>
        <v>0</v>
      </c>
      <c r="H257" s="9">
        <f>IF(AND($F257&lt;&gt;"",ISNUMBER(SEARCH('Nr rejestracyjny'!$F$5,$F257))),COUNT($H$1:H256)+1,"")</f>
        <v>0</v>
      </c>
      <c r="I257" s="9">
        <f>IF(AND($G257&lt;&gt;"",ISNUMBER(SEARCH('Nr rejestracyjny'!$F$5,$G257))),COUNT($I$1:I256)+1,"")</f>
        <v>0</v>
      </c>
    </row>
    <row r="258" spans="6:9">
      <c r="F258" s="7">
        <f>IF('W rejestracji'!$C$265="","",'W rejestracji'!$C$265)</f>
        <v>0</v>
      </c>
      <c r="G258" s="7">
        <f>IF(Zarejestrowane!$C$265="","",Zarejestrowane!$C$265)</f>
        <v>0</v>
      </c>
      <c r="H258" s="9">
        <f>IF(AND($F258&lt;&gt;"",ISNUMBER(SEARCH('Nr rejestracyjny'!$F$5,$F258))),COUNT($H$1:H257)+1,"")</f>
        <v>0</v>
      </c>
      <c r="I258" s="9">
        <f>IF(AND($G258&lt;&gt;"",ISNUMBER(SEARCH('Nr rejestracyjny'!$F$5,$G258))),COUNT($I$1:I257)+1,"")</f>
        <v>0</v>
      </c>
    </row>
    <row r="259" spans="6:9">
      <c r="F259" s="7">
        <f>IF('W rejestracji'!$C$266="","",'W rejestracji'!$C$266)</f>
        <v>0</v>
      </c>
      <c r="G259" s="7">
        <f>IF(Zarejestrowane!$C$266="","",Zarejestrowane!$C$266)</f>
        <v>0</v>
      </c>
      <c r="H259" s="9">
        <f>IF(AND($F259&lt;&gt;"",ISNUMBER(SEARCH('Nr rejestracyjny'!$F$5,$F259))),COUNT($H$1:H258)+1,"")</f>
        <v>0</v>
      </c>
      <c r="I259" s="9">
        <f>IF(AND($G259&lt;&gt;"",ISNUMBER(SEARCH('Nr rejestracyjny'!$F$5,$G259))),COUNT($I$1:I258)+1,"")</f>
        <v>0</v>
      </c>
    </row>
    <row r="260" spans="6:9">
      <c r="F260" s="7">
        <f>IF('W rejestracji'!$C$267="","",'W rejestracji'!$C$267)</f>
        <v>0</v>
      </c>
      <c r="G260" s="7">
        <f>IF(Zarejestrowane!$C$267="","",Zarejestrowane!$C$267)</f>
        <v>0</v>
      </c>
      <c r="H260" s="9">
        <f>IF(AND($F260&lt;&gt;"",ISNUMBER(SEARCH('Nr rejestracyjny'!$F$5,$F260))),COUNT($H$1:H259)+1,"")</f>
        <v>0</v>
      </c>
      <c r="I260" s="9">
        <f>IF(AND($G260&lt;&gt;"",ISNUMBER(SEARCH('Nr rejestracyjny'!$F$5,$G260))),COUNT($I$1:I259)+1,"")</f>
        <v>0</v>
      </c>
    </row>
    <row r="261" spans="6:9">
      <c r="F261" s="7">
        <f>IF('W rejestracji'!$C$268="","",'W rejestracji'!$C$268)</f>
        <v>0</v>
      </c>
      <c r="G261" s="7">
        <f>IF(Zarejestrowane!$C$268="","",Zarejestrowane!$C$268)</f>
        <v>0</v>
      </c>
      <c r="H261" s="9">
        <f>IF(AND($F261&lt;&gt;"",ISNUMBER(SEARCH('Nr rejestracyjny'!$F$5,$F261))),COUNT($H$1:H260)+1,"")</f>
        <v>0</v>
      </c>
      <c r="I261" s="9">
        <f>IF(AND($G261&lt;&gt;"",ISNUMBER(SEARCH('Nr rejestracyjny'!$F$5,$G261))),COUNT($I$1:I260)+1,"")</f>
        <v>0</v>
      </c>
    </row>
    <row r="262" spans="6:9">
      <c r="F262" s="7">
        <f>IF('W rejestracji'!$C$269="","",'W rejestracji'!$C$269)</f>
        <v>0</v>
      </c>
      <c r="G262" s="7">
        <f>IF(Zarejestrowane!$C$269="","",Zarejestrowane!$C$269)</f>
        <v>0</v>
      </c>
      <c r="H262" s="9">
        <f>IF(AND($F262&lt;&gt;"",ISNUMBER(SEARCH('Nr rejestracyjny'!$F$5,$F262))),COUNT($H$1:H261)+1,"")</f>
        <v>0</v>
      </c>
      <c r="I262" s="9">
        <f>IF(AND($G262&lt;&gt;"",ISNUMBER(SEARCH('Nr rejestracyjny'!$F$5,$G262))),COUNT($I$1:I261)+1,"")</f>
        <v>0</v>
      </c>
    </row>
    <row r="263" spans="6:9">
      <c r="F263" s="7">
        <f>IF('W rejestracji'!$C$270="","",'W rejestracji'!$C$270)</f>
        <v>0</v>
      </c>
      <c r="G263" s="7">
        <f>IF(Zarejestrowane!$C$270="","",Zarejestrowane!$C$270)</f>
        <v>0</v>
      </c>
      <c r="H263" s="9">
        <f>IF(AND($F263&lt;&gt;"",ISNUMBER(SEARCH('Nr rejestracyjny'!$F$5,$F263))),COUNT($H$1:H262)+1,"")</f>
        <v>0</v>
      </c>
      <c r="I263" s="9">
        <f>IF(AND($G263&lt;&gt;"",ISNUMBER(SEARCH('Nr rejestracyjny'!$F$5,$G263))),COUNT($I$1:I262)+1,"")</f>
        <v>0</v>
      </c>
    </row>
    <row r="264" spans="6:9">
      <c r="F264" s="7">
        <f>IF('W rejestracji'!$C$271="","",'W rejestracji'!$C$271)</f>
        <v>0</v>
      </c>
      <c r="G264" s="7">
        <f>IF(Zarejestrowane!$C$271="","",Zarejestrowane!$C$271)</f>
        <v>0</v>
      </c>
      <c r="H264" s="9">
        <f>IF(AND($F264&lt;&gt;"",ISNUMBER(SEARCH('Nr rejestracyjny'!$F$5,$F264))),COUNT($H$1:H263)+1,"")</f>
        <v>0</v>
      </c>
      <c r="I264" s="9">
        <f>IF(AND($G264&lt;&gt;"",ISNUMBER(SEARCH('Nr rejestracyjny'!$F$5,$G264))),COUNT($I$1:I263)+1,"")</f>
        <v>0</v>
      </c>
    </row>
    <row r="265" spans="6:9">
      <c r="F265" s="7">
        <f>IF('W rejestracji'!$C$272="","",'W rejestracji'!$C$272)</f>
        <v>0</v>
      </c>
      <c r="G265" s="7">
        <f>IF(Zarejestrowane!$C$272="","",Zarejestrowane!$C$272)</f>
        <v>0</v>
      </c>
      <c r="H265" s="9">
        <f>IF(AND($F265&lt;&gt;"",ISNUMBER(SEARCH('Nr rejestracyjny'!$F$5,$F265))),COUNT($H$1:H264)+1,"")</f>
        <v>0</v>
      </c>
      <c r="I265" s="9">
        <f>IF(AND($G265&lt;&gt;"",ISNUMBER(SEARCH('Nr rejestracyjny'!$F$5,$G265))),COUNT($I$1:I264)+1,"")</f>
        <v>0</v>
      </c>
    </row>
    <row r="266" spans="6:9">
      <c r="F266" s="7">
        <f>IF('W rejestracji'!$C$273="","",'W rejestracji'!$C$273)</f>
        <v>0</v>
      </c>
      <c r="G266" s="7">
        <f>IF(Zarejestrowane!$C$273="","",Zarejestrowane!$C$273)</f>
        <v>0</v>
      </c>
      <c r="H266" s="9">
        <f>IF(AND($F266&lt;&gt;"",ISNUMBER(SEARCH('Nr rejestracyjny'!$F$5,$F266))),COUNT($H$1:H265)+1,"")</f>
        <v>0</v>
      </c>
      <c r="I266" s="9">
        <f>IF(AND($G266&lt;&gt;"",ISNUMBER(SEARCH('Nr rejestracyjny'!$F$5,$G266))),COUNT($I$1:I265)+1,"")</f>
        <v>0</v>
      </c>
    </row>
    <row r="267" spans="6:9">
      <c r="F267" s="7">
        <f>IF('W rejestracji'!$C$274="","",'W rejestracji'!$C$274)</f>
        <v>0</v>
      </c>
      <c r="G267" s="7">
        <f>IF(Zarejestrowane!$C$274="","",Zarejestrowane!$C$274)</f>
        <v>0</v>
      </c>
      <c r="H267" s="9">
        <f>IF(AND($F267&lt;&gt;"",ISNUMBER(SEARCH('Nr rejestracyjny'!$F$5,$F267))),COUNT($H$1:H266)+1,"")</f>
        <v>0</v>
      </c>
      <c r="I267" s="9">
        <f>IF(AND($G267&lt;&gt;"",ISNUMBER(SEARCH('Nr rejestracyjny'!$F$5,$G267))),COUNT($I$1:I266)+1,"")</f>
        <v>0</v>
      </c>
    </row>
    <row r="268" spans="6:9">
      <c r="F268" s="7">
        <f>IF('W rejestracji'!$C$275="","",'W rejestracji'!$C$275)</f>
        <v>0</v>
      </c>
      <c r="G268" s="7">
        <f>IF(Zarejestrowane!$C$275="","",Zarejestrowane!$C$275)</f>
        <v>0</v>
      </c>
      <c r="H268" s="9">
        <f>IF(AND($F268&lt;&gt;"",ISNUMBER(SEARCH('Nr rejestracyjny'!$F$5,$F268))),COUNT($H$1:H267)+1,"")</f>
        <v>0</v>
      </c>
      <c r="I268" s="9">
        <f>IF(AND($G268&lt;&gt;"",ISNUMBER(SEARCH('Nr rejestracyjny'!$F$5,$G268))),COUNT($I$1:I267)+1,"")</f>
        <v>0</v>
      </c>
    </row>
    <row r="269" spans="6:9">
      <c r="F269" s="7">
        <f>IF('W rejestracji'!$C$276="","",'W rejestracji'!$C$276)</f>
        <v>0</v>
      </c>
      <c r="G269" s="7">
        <f>IF(Zarejestrowane!$C$276="","",Zarejestrowane!$C$276)</f>
        <v>0</v>
      </c>
      <c r="H269" s="9">
        <f>IF(AND($F269&lt;&gt;"",ISNUMBER(SEARCH('Nr rejestracyjny'!$F$5,$F269))),COUNT($H$1:H268)+1,"")</f>
        <v>0</v>
      </c>
      <c r="I269" s="9">
        <f>IF(AND($G269&lt;&gt;"",ISNUMBER(SEARCH('Nr rejestracyjny'!$F$5,$G269))),COUNT($I$1:I268)+1,"")</f>
        <v>0</v>
      </c>
    </row>
    <row r="270" spans="6:9">
      <c r="F270" s="7">
        <f>IF('W rejestracji'!$C$277="","",'W rejestracji'!$C$277)</f>
        <v>0</v>
      </c>
      <c r="G270" s="7">
        <f>IF(Zarejestrowane!$C$277="","",Zarejestrowane!$C$277)</f>
        <v>0</v>
      </c>
      <c r="H270" s="9">
        <f>IF(AND($F270&lt;&gt;"",ISNUMBER(SEARCH('Nr rejestracyjny'!$F$5,$F270))),COUNT($H$1:H269)+1,"")</f>
        <v>0</v>
      </c>
      <c r="I270" s="9">
        <f>IF(AND($G270&lt;&gt;"",ISNUMBER(SEARCH('Nr rejestracyjny'!$F$5,$G270))),COUNT($I$1:I269)+1,"")</f>
        <v>0</v>
      </c>
    </row>
    <row r="271" spans="6:9">
      <c r="F271" s="7">
        <f>IF('W rejestracji'!$C$278="","",'W rejestracji'!$C$278)</f>
        <v>0</v>
      </c>
      <c r="G271" s="7">
        <f>IF(Zarejestrowane!$C$278="","",Zarejestrowane!$C$278)</f>
        <v>0</v>
      </c>
      <c r="H271" s="9">
        <f>IF(AND($F271&lt;&gt;"",ISNUMBER(SEARCH('Nr rejestracyjny'!$F$5,$F271))),COUNT($H$1:H270)+1,"")</f>
        <v>0</v>
      </c>
      <c r="I271" s="9">
        <f>IF(AND($G271&lt;&gt;"",ISNUMBER(SEARCH('Nr rejestracyjny'!$F$5,$G271))),COUNT($I$1:I270)+1,"")</f>
        <v>0</v>
      </c>
    </row>
    <row r="272" spans="6:9">
      <c r="F272" s="7">
        <f>IF('W rejestracji'!$C$279="","",'W rejestracji'!$C$279)</f>
        <v>0</v>
      </c>
      <c r="G272" s="7">
        <f>IF(Zarejestrowane!$C$279="","",Zarejestrowane!$C$279)</f>
        <v>0</v>
      </c>
      <c r="H272" s="9">
        <f>IF(AND($F272&lt;&gt;"",ISNUMBER(SEARCH('Nr rejestracyjny'!$F$5,$F272))),COUNT($H$1:H271)+1,"")</f>
        <v>0</v>
      </c>
      <c r="I272" s="9">
        <f>IF(AND($G272&lt;&gt;"",ISNUMBER(SEARCH('Nr rejestracyjny'!$F$5,$G272))),COUNT($I$1:I271)+1,"")</f>
        <v>0</v>
      </c>
    </row>
    <row r="273" spans="6:9">
      <c r="F273" s="7">
        <f>IF('W rejestracji'!$C$280="","",'W rejestracji'!$C$280)</f>
        <v>0</v>
      </c>
      <c r="G273" s="7">
        <f>IF(Zarejestrowane!$C$280="","",Zarejestrowane!$C$280)</f>
        <v>0</v>
      </c>
      <c r="H273" s="9">
        <f>IF(AND($F273&lt;&gt;"",ISNUMBER(SEARCH('Nr rejestracyjny'!$F$5,$F273))),COUNT($H$1:H272)+1,"")</f>
        <v>0</v>
      </c>
      <c r="I273" s="9">
        <f>IF(AND($G273&lt;&gt;"",ISNUMBER(SEARCH('Nr rejestracyjny'!$F$5,$G273))),COUNT($I$1:I272)+1,"")</f>
        <v>0</v>
      </c>
    </row>
    <row r="274" spans="6:9">
      <c r="F274" s="7">
        <f>IF('W rejestracji'!$C$281="","",'W rejestracji'!$C$281)</f>
        <v>0</v>
      </c>
      <c r="G274" s="7">
        <f>IF(Zarejestrowane!$C$281="","",Zarejestrowane!$C$281)</f>
        <v>0</v>
      </c>
      <c r="H274" s="9">
        <f>IF(AND($F274&lt;&gt;"",ISNUMBER(SEARCH('Nr rejestracyjny'!$F$5,$F274))),COUNT($H$1:H273)+1,"")</f>
        <v>0</v>
      </c>
      <c r="I274" s="9">
        <f>IF(AND($G274&lt;&gt;"",ISNUMBER(SEARCH('Nr rejestracyjny'!$F$5,$G274))),COUNT($I$1:I273)+1,"")</f>
        <v>0</v>
      </c>
    </row>
    <row r="275" spans="6:9">
      <c r="F275" s="7">
        <f>IF('W rejestracji'!$C$282="","",'W rejestracji'!$C$282)</f>
        <v>0</v>
      </c>
      <c r="G275" s="7">
        <f>IF(Zarejestrowane!$C$282="","",Zarejestrowane!$C$282)</f>
        <v>0</v>
      </c>
      <c r="H275" s="9">
        <f>IF(AND($F275&lt;&gt;"",ISNUMBER(SEARCH('Nr rejestracyjny'!$F$5,$F275))),COUNT($H$1:H274)+1,"")</f>
        <v>0</v>
      </c>
      <c r="I275" s="9">
        <f>IF(AND($G275&lt;&gt;"",ISNUMBER(SEARCH('Nr rejestracyjny'!$F$5,$G275))),COUNT($I$1:I274)+1,"")</f>
        <v>0</v>
      </c>
    </row>
    <row r="276" spans="6:9">
      <c r="F276" s="7">
        <f>IF('W rejestracji'!$C$283="","",'W rejestracji'!$C$283)</f>
        <v>0</v>
      </c>
      <c r="G276" s="7">
        <f>IF(Zarejestrowane!$C$283="","",Zarejestrowane!$C$283)</f>
        <v>0</v>
      </c>
      <c r="H276" s="9">
        <f>IF(AND($F276&lt;&gt;"",ISNUMBER(SEARCH('Nr rejestracyjny'!$F$5,$F276))),COUNT($H$1:H275)+1,"")</f>
        <v>0</v>
      </c>
      <c r="I276" s="9">
        <f>IF(AND($G276&lt;&gt;"",ISNUMBER(SEARCH('Nr rejestracyjny'!$F$5,$G276))),COUNT($I$1:I275)+1,"")</f>
        <v>0</v>
      </c>
    </row>
    <row r="277" spans="6:9">
      <c r="F277" s="7">
        <f>IF('W rejestracji'!$C$284="","",'W rejestracji'!$C$284)</f>
        <v>0</v>
      </c>
      <c r="G277" s="7">
        <f>IF(Zarejestrowane!$C$284="","",Zarejestrowane!$C$284)</f>
        <v>0</v>
      </c>
      <c r="H277" s="9">
        <f>IF(AND($F277&lt;&gt;"",ISNUMBER(SEARCH('Nr rejestracyjny'!$F$5,$F277))),COUNT($H$1:H276)+1,"")</f>
        <v>0</v>
      </c>
      <c r="I277" s="9">
        <f>IF(AND($G277&lt;&gt;"",ISNUMBER(SEARCH('Nr rejestracyjny'!$F$5,$G277))),COUNT($I$1:I276)+1,"")</f>
        <v>0</v>
      </c>
    </row>
    <row r="278" spans="6:9">
      <c r="F278" s="7">
        <f>IF('W rejestracji'!$C$285="","",'W rejestracji'!$C$285)</f>
        <v>0</v>
      </c>
      <c r="G278" s="7">
        <f>IF(Zarejestrowane!$C$285="","",Zarejestrowane!$C$285)</f>
        <v>0</v>
      </c>
      <c r="H278" s="9">
        <f>IF(AND($F278&lt;&gt;"",ISNUMBER(SEARCH('Nr rejestracyjny'!$F$5,$F278))),COUNT($H$1:H277)+1,"")</f>
        <v>0</v>
      </c>
      <c r="I278" s="9">
        <f>IF(AND($G278&lt;&gt;"",ISNUMBER(SEARCH('Nr rejestracyjny'!$F$5,$G278))),COUNT($I$1:I277)+1,"")</f>
        <v>0</v>
      </c>
    </row>
    <row r="279" spans="6:9">
      <c r="F279" s="7">
        <f>IF('W rejestracji'!$C$286="","",'W rejestracji'!$C$286)</f>
        <v>0</v>
      </c>
      <c r="G279" s="7">
        <f>IF(Zarejestrowane!$C$286="","",Zarejestrowane!$C$286)</f>
        <v>0</v>
      </c>
      <c r="H279" s="9">
        <f>IF(AND($F279&lt;&gt;"",ISNUMBER(SEARCH('Nr rejestracyjny'!$F$5,$F279))),COUNT($H$1:H278)+1,"")</f>
        <v>0</v>
      </c>
      <c r="I279" s="9">
        <f>IF(AND($G279&lt;&gt;"",ISNUMBER(SEARCH('Nr rejestracyjny'!$F$5,$G279))),COUNT($I$1:I278)+1,"")</f>
        <v>0</v>
      </c>
    </row>
    <row r="280" spans="6:9">
      <c r="F280" s="7">
        <f>IF('W rejestracji'!$C$287="","",'W rejestracji'!$C$287)</f>
        <v>0</v>
      </c>
      <c r="G280" s="7">
        <f>IF(Zarejestrowane!$C$287="","",Zarejestrowane!$C$287)</f>
        <v>0</v>
      </c>
      <c r="H280" s="9">
        <f>IF(AND($F280&lt;&gt;"",ISNUMBER(SEARCH('Nr rejestracyjny'!$F$5,$F280))),COUNT($H$1:H279)+1,"")</f>
        <v>0</v>
      </c>
      <c r="I280" s="9">
        <f>IF(AND($G280&lt;&gt;"",ISNUMBER(SEARCH('Nr rejestracyjny'!$F$5,$G280))),COUNT($I$1:I279)+1,"")</f>
        <v>0</v>
      </c>
    </row>
    <row r="281" spans="6:9">
      <c r="F281" s="7">
        <f>IF('W rejestracji'!$C$288="","",'W rejestracji'!$C$288)</f>
        <v>0</v>
      </c>
      <c r="G281" s="7">
        <f>IF(Zarejestrowane!$C$288="","",Zarejestrowane!$C$288)</f>
        <v>0</v>
      </c>
      <c r="H281" s="9">
        <f>IF(AND($F281&lt;&gt;"",ISNUMBER(SEARCH('Nr rejestracyjny'!$F$5,$F281))),COUNT($H$1:H280)+1,"")</f>
        <v>0</v>
      </c>
      <c r="I281" s="9">
        <f>IF(AND($G281&lt;&gt;"",ISNUMBER(SEARCH('Nr rejestracyjny'!$F$5,$G281))),COUNT($I$1:I280)+1,"")</f>
        <v>0</v>
      </c>
    </row>
    <row r="282" spans="6:9">
      <c r="F282" s="7">
        <f>IF('W rejestracji'!$C$289="","",'W rejestracji'!$C$289)</f>
        <v>0</v>
      </c>
      <c r="G282" s="7">
        <f>IF(Zarejestrowane!$C$289="","",Zarejestrowane!$C$289)</f>
        <v>0</v>
      </c>
      <c r="H282" s="9">
        <f>IF(AND($F282&lt;&gt;"",ISNUMBER(SEARCH('Nr rejestracyjny'!$F$5,$F282))),COUNT($H$1:H281)+1,"")</f>
        <v>0</v>
      </c>
      <c r="I282" s="9">
        <f>IF(AND($G282&lt;&gt;"",ISNUMBER(SEARCH('Nr rejestracyjny'!$F$5,$G282))),COUNT($I$1:I281)+1,"")</f>
        <v>0</v>
      </c>
    </row>
    <row r="283" spans="6:9">
      <c r="F283" s="7">
        <f>IF('W rejestracji'!$C$290="","",'W rejestracji'!$C$290)</f>
        <v>0</v>
      </c>
      <c r="G283" s="7">
        <f>IF(Zarejestrowane!$C$290="","",Zarejestrowane!$C$290)</f>
        <v>0</v>
      </c>
      <c r="H283" s="9">
        <f>IF(AND($F283&lt;&gt;"",ISNUMBER(SEARCH('Nr rejestracyjny'!$F$5,$F283))),COUNT($H$1:H282)+1,"")</f>
        <v>0</v>
      </c>
      <c r="I283" s="9">
        <f>IF(AND($G283&lt;&gt;"",ISNUMBER(SEARCH('Nr rejestracyjny'!$F$5,$G283))),COUNT($I$1:I282)+1,"")</f>
        <v>0</v>
      </c>
    </row>
    <row r="284" spans="6:9">
      <c r="F284" s="7">
        <f>IF('W rejestracji'!$C$291="","",'W rejestracji'!$C$291)</f>
        <v>0</v>
      </c>
      <c r="G284" s="7">
        <f>IF(Zarejestrowane!$C$291="","",Zarejestrowane!$C$291)</f>
        <v>0</v>
      </c>
      <c r="H284" s="9">
        <f>IF(AND($F284&lt;&gt;"",ISNUMBER(SEARCH('Nr rejestracyjny'!$F$5,$F284))),COUNT($H$1:H283)+1,"")</f>
        <v>0</v>
      </c>
      <c r="I284" s="9">
        <f>IF(AND($G284&lt;&gt;"",ISNUMBER(SEARCH('Nr rejestracyjny'!$F$5,$G284))),COUNT($I$1:I283)+1,"")</f>
        <v>0</v>
      </c>
    </row>
    <row r="285" spans="6:9">
      <c r="F285" s="7">
        <f>IF('W rejestracji'!$C$292="","",'W rejestracji'!$C$292)</f>
        <v>0</v>
      </c>
      <c r="G285" s="7">
        <f>IF(Zarejestrowane!$C$292="","",Zarejestrowane!$C$292)</f>
        <v>0</v>
      </c>
      <c r="H285" s="9">
        <f>IF(AND($F285&lt;&gt;"",ISNUMBER(SEARCH('Nr rejestracyjny'!$F$5,$F285))),COUNT($H$1:H284)+1,"")</f>
        <v>0</v>
      </c>
      <c r="I285" s="9">
        <f>IF(AND($G285&lt;&gt;"",ISNUMBER(SEARCH('Nr rejestracyjny'!$F$5,$G285))),COUNT($I$1:I284)+1,"")</f>
        <v>0</v>
      </c>
    </row>
    <row r="286" spans="6:9">
      <c r="F286" s="7">
        <f>IF('W rejestracji'!$C$293="","",'W rejestracji'!$C$293)</f>
        <v>0</v>
      </c>
      <c r="G286" s="7">
        <f>IF(Zarejestrowane!$C$293="","",Zarejestrowane!$C$293)</f>
        <v>0</v>
      </c>
      <c r="H286" s="9">
        <f>IF(AND($F286&lt;&gt;"",ISNUMBER(SEARCH('Nr rejestracyjny'!$F$5,$F286))),COUNT($H$1:H285)+1,"")</f>
        <v>0</v>
      </c>
      <c r="I286" s="9">
        <f>IF(AND($G286&lt;&gt;"",ISNUMBER(SEARCH('Nr rejestracyjny'!$F$5,$G286))),COUNT($I$1:I285)+1,"")</f>
        <v>0</v>
      </c>
    </row>
    <row r="287" spans="6:9">
      <c r="F287" s="7">
        <f>IF('W rejestracji'!$C$294="","",'W rejestracji'!$C$294)</f>
        <v>0</v>
      </c>
      <c r="G287" s="7">
        <f>IF(Zarejestrowane!$C$294="","",Zarejestrowane!$C$294)</f>
        <v>0</v>
      </c>
      <c r="H287" s="9">
        <f>IF(AND($F287&lt;&gt;"",ISNUMBER(SEARCH('Nr rejestracyjny'!$F$5,$F287))),COUNT($H$1:H286)+1,"")</f>
        <v>0</v>
      </c>
      <c r="I287" s="9">
        <f>IF(AND($G287&lt;&gt;"",ISNUMBER(SEARCH('Nr rejestracyjny'!$F$5,$G287))),COUNT($I$1:I286)+1,"")</f>
        <v>0</v>
      </c>
    </row>
    <row r="288" spans="6:9">
      <c r="F288" s="7">
        <f>IF('W rejestracji'!$C$295="","",'W rejestracji'!$C$295)</f>
        <v>0</v>
      </c>
      <c r="G288" s="7">
        <f>IF(Zarejestrowane!$C$295="","",Zarejestrowane!$C$295)</f>
        <v>0</v>
      </c>
      <c r="H288" s="9">
        <f>IF(AND($F288&lt;&gt;"",ISNUMBER(SEARCH('Nr rejestracyjny'!$F$5,$F288))),COUNT($H$1:H287)+1,"")</f>
        <v>0</v>
      </c>
      <c r="I288" s="9">
        <f>IF(AND($G288&lt;&gt;"",ISNUMBER(SEARCH('Nr rejestracyjny'!$F$5,$G288))),COUNT($I$1:I287)+1,"")</f>
        <v>0</v>
      </c>
    </row>
    <row r="289" spans="6:9">
      <c r="F289" s="7">
        <f>IF('W rejestracji'!$C$296="","",'W rejestracji'!$C$296)</f>
        <v>0</v>
      </c>
      <c r="G289" s="7">
        <f>IF(Zarejestrowane!$C$296="","",Zarejestrowane!$C$296)</f>
        <v>0</v>
      </c>
      <c r="H289" s="9">
        <f>IF(AND($F289&lt;&gt;"",ISNUMBER(SEARCH('Nr rejestracyjny'!$F$5,$F289))),COUNT($H$1:H288)+1,"")</f>
        <v>0</v>
      </c>
      <c r="I289" s="9">
        <f>IF(AND($G289&lt;&gt;"",ISNUMBER(SEARCH('Nr rejestracyjny'!$F$5,$G289))),COUNT($I$1:I288)+1,"")</f>
        <v>0</v>
      </c>
    </row>
    <row r="290" spans="6:9">
      <c r="F290" s="7">
        <f>IF('W rejestracji'!$C$297="","",'W rejestracji'!$C$297)</f>
        <v>0</v>
      </c>
      <c r="G290" s="7">
        <f>IF(Zarejestrowane!$C$297="","",Zarejestrowane!$C$297)</f>
        <v>0</v>
      </c>
      <c r="H290" s="9">
        <f>IF(AND($F290&lt;&gt;"",ISNUMBER(SEARCH('Nr rejestracyjny'!$F$5,$F290))),COUNT($H$1:H289)+1,"")</f>
        <v>0</v>
      </c>
      <c r="I290" s="9">
        <f>IF(AND($G290&lt;&gt;"",ISNUMBER(SEARCH('Nr rejestracyjny'!$F$5,$G290))),COUNT($I$1:I289)+1,"")</f>
        <v>0</v>
      </c>
    </row>
    <row r="291" spans="6:9">
      <c r="F291" s="7">
        <f>IF('W rejestracji'!$C$298="","",'W rejestracji'!$C$298)</f>
        <v>0</v>
      </c>
      <c r="G291" s="7">
        <f>IF(Zarejestrowane!$C$298="","",Zarejestrowane!$C$298)</f>
        <v>0</v>
      </c>
      <c r="H291" s="9">
        <f>IF(AND($F291&lt;&gt;"",ISNUMBER(SEARCH('Nr rejestracyjny'!$F$5,$F291))),COUNT($H$1:H290)+1,"")</f>
        <v>0</v>
      </c>
      <c r="I291" s="9">
        <f>IF(AND($G291&lt;&gt;"",ISNUMBER(SEARCH('Nr rejestracyjny'!$F$5,$G291))),COUNT($I$1:I290)+1,"")</f>
        <v>0</v>
      </c>
    </row>
    <row r="292" spans="6:9">
      <c r="F292" s="7">
        <f>IF('W rejestracji'!$C$299="","",'W rejestracji'!$C$299)</f>
        <v>0</v>
      </c>
      <c r="G292" s="7">
        <f>IF(Zarejestrowane!$C$299="","",Zarejestrowane!$C$299)</f>
        <v>0</v>
      </c>
      <c r="H292" s="9">
        <f>IF(AND($F292&lt;&gt;"",ISNUMBER(SEARCH('Nr rejestracyjny'!$F$5,$F292))),COUNT($H$1:H291)+1,"")</f>
        <v>0</v>
      </c>
      <c r="I292" s="9">
        <f>IF(AND($G292&lt;&gt;"",ISNUMBER(SEARCH('Nr rejestracyjny'!$F$5,$G292))),COUNT($I$1:I291)+1,"")</f>
        <v>0</v>
      </c>
    </row>
    <row r="293" spans="6:9">
      <c r="F293" s="7">
        <f>IF('W rejestracji'!$C$300="","",'W rejestracji'!$C$300)</f>
        <v>0</v>
      </c>
      <c r="G293" s="7">
        <f>IF(Zarejestrowane!$C$300="","",Zarejestrowane!$C$300)</f>
        <v>0</v>
      </c>
      <c r="H293" s="9">
        <f>IF(AND($F293&lt;&gt;"",ISNUMBER(SEARCH('Nr rejestracyjny'!$F$5,$F293))),COUNT($H$1:H292)+1,"")</f>
        <v>0</v>
      </c>
      <c r="I293" s="9">
        <f>IF(AND($G293&lt;&gt;"",ISNUMBER(SEARCH('Nr rejestracyjny'!$F$5,$G293))),COUNT($I$1:I292)+1,"")</f>
        <v>0</v>
      </c>
    </row>
    <row r="294" spans="6:9">
      <c r="F294" s="7">
        <f>IF('W rejestracji'!$C$301="","",'W rejestracji'!$C$301)</f>
        <v>0</v>
      </c>
      <c r="G294" s="7">
        <f>IF(Zarejestrowane!$C$301="","",Zarejestrowane!$C$301)</f>
        <v>0</v>
      </c>
      <c r="H294" s="9">
        <f>IF(AND($F294&lt;&gt;"",ISNUMBER(SEARCH('Nr rejestracyjny'!$F$5,$F294))),COUNT($H$1:H293)+1,"")</f>
        <v>0</v>
      </c>
      <c r="I294" s="9">
        <f>IF(AND($G294&lt;&gt;"",ISNUMBER(SEARCH('Nr rejestracyjny'!$F$5,$G294))),COUNT($I$1:I293)+1,"")</f>
        <v>0</v>
      </c>
    </row>
    <row r="295" spans="6:9">
      <c r="F295" s="7">
        <f>IF('W rejestracji'!$C$302="","",'W rejestracji'!$C$302)</f>
        <v>0</v>
      </c>
      <c r="G295" s="7">
        <f>IF(Zarejestrowane!$C$302="","",Zarejestrowane!$C$302)</f>
        <v>0</v>
      </c>
      <c r="H295" s="9">
        <f>IF(AND($F295&lt;&gt;"",ISNUMBER(SEARCH('Nr rejestracyjny'!$F$5,$F295))),COUNT($H$1:H294)+1,"")</f>
        <v>0</v>
      </c>
      <c r="I295" s="9">
        <f>IF(AND($G295&lt;&gt;"",ISNUMBER(SEARCH('Nr rejestracyjny'!$F$5,$G295))),COUNT($I$1:I294)+1,"")</f>
        <v>0</v>
      </c>
    </row>
    <row r="296" spans="6:9">
      <c r="F296" s="7">
        <f>IF('W rejestracji'!$C$303="","",'W rejestracji'!$C$303)</f>
        <v>0</v>
      </c>
      <c r="G296" s="7">
        <f>IF(Zarejestrowane!$C$303="","",Zarejestrowane!$C$303)</f>
        <v>0</v>
      </c>
      <c r="H296" s="9">
        <f>IF(AND($F296&lt;&gt;"",ISNUMBER(SEARCH('Nr rejestracyjny'!$F$5,$F296))),COUNT($H$1:H295)+1,"")</f>
        <v>0</v>
      </c>
      <c r="I296" s="9">
        <f>IF(AND($G296&lt;&gt;"",ISNUMBER(SEARCH('Nr rejestracyjny'!$F$5,$G296))),COUNT($I$1:I295)+1,"")</f>
        <v>0</v>
      </c>
    </row>
    <row r="297" spans="6:9">
      <c r="F297" s="7">
        <f>IF('W rejestracji'!$C$304="","",'W rejestracji'!$C$304)</f>
        <v>0</v>
      </c>
      <c r="G297" s="7">
        <f>IF(Zarejestrowane!$C$304="","",Zarejestrowane!$C$304)</f>
        <v>0</v>
      </c>
      <c r="H297" s="9">
        <f>IF(AND($F297&lt;&gt;"",ISNUMBER(SEARCH('Nr rejestracyjny'!$F$5,$F297))),COUNT($H$1:H296)+1,"")</f>
        <v>0</v>
      </c>
      <c r="I297" s="9">
        <f>IF(AND($G297&lt;&gt;"",ISNUMBER(SEARCH('Nr rejestracyjny'!$F$5,$G297))),COUNT($I$1:I296)+1,"")</f>
        <v>0</v>
      </c>
    </row>
    <row r="298" spans="6:9">
      <c r="F298" s="7">
        <f>IF('W rejestracji'!$C$305="","",'W rejestracji'!$C$305)</f>
        <v>0</v>
      </c>
      <c r="G298" s="7">
        <f>IF(Zarejestrowane!$C$305="","",Zarejestrowane!$C$305)</f>
        <v>0</v>
      </c>
      <c r="H298" s="9">
        <f>IF(AND($F298&lt;&gt;"",ISNUMBER(SEARCH('Nr rejestracyjny'!$F$5,$F298))),COUNT($H$1:H297)+1,"")</f>
        <v>0</v>
      </c>
      <c r="I298" s="9">
        <f>IF(AND($G298&lt;&gt;"",ISNUMBER(SEARCH('Nr rejestracyjny'!$F$5,$G298))),COUNT($I$1:I297)+1,"")</f>
        <v>0</v>
      </c>
    </row>
    <row r="299" spans="6:9">
      <c r="F299" s="7">
        <f>IF('W rejestracji'!$C$306="","",'W rejestracji'!$C$306)</f>
        <v>0</v>
      </c>
      <c r="G299" s="7">
        <f>IF(Zarejestrowane!$C$306="","",Zarejestrowane!$C$306)</f>
        <v>0</v>
      </c>
      <c r="H299" s="9">
        <f>IF(AND($F299&lt;&gt;"",ISNUMBER(SEARCH('Nr rejestracyjny'!$F$5,$F299))),COUNT($H$1:H298)+1,"")</f>
        <v>0</v>
      </c>
      <c r="I299" s="9">
        <f>IF(AND($G299&lt;&gt;"",ISNUMBER(SEARCH('Nr rejestracyjny'!$F$5,$G299))),COUNT($I$1:I298)+1,"")</f>
        <v>0</v>
      </c>
    </row>
    <row r="300" spans="6:9">
      <c r="F300" s="7">
        <f>IF('W rejestracji'!$C$307="","",'W rejestracji'!$C$307)</f>
        <v>0</v>
      </c>
      <c r="G300" s="7">
        <f>IF(Zarejestrowane!$C$307="","",Zarejestrowane!$C$307)</f>
        <v>0</v>
      </c>
      <c r="H300" s="9">
        <f>IF(AND($F300&lt;&gt;"",ISNUMBER(SEARCH('Nr rejestracyjny'!$F$5,$F300))),COUNT($H$1:H299)+1,"")</f>
        <v>0</v>
      </c>
      <c r="I300" s="9">
        <f>IF(AND($G300&lt;&gt;"",ISNUMBER(SEARCH('Nr rejestracyjny'!$F$5,$G300))),COUNT($I$1:I299)+1,"")</f>
        <v>0</v>
      </c>
    </row>
    <row r="301" spans="6:9">
      <c r="F301" s="7">
        <f>IF('W rejestracji'!$C$308="","",'W rejestracji'!$C$308)</f>
        <v>0</v>
      </c>
      <c r="G301" s="7">
        <f>IF(Zarejestrowane!$C$308="","",Zarejestrowane!$C$308)</f>
        <v>0</v>
      </c>
      <c r="H301" s="9">
        <f>IF(AND($F301&lt;&gt;"",ISNUMBER(SEARCH('Nr rejestracyjny'!$F$5,$F301))),COUNT($H$1:H300)+1,"")</f>
        <v>0</v>
      </c>
      <c r="I301" s="9">
        <f>IF(AND($G301&lt;&gt;"",ISNUMBER(SEARCH('Nr rejestracyjny'!$F$5,$G301))),COUNT($I$1:I300)+1,"")</f>
        <v>0</v>
      </c>
    </row>
    <row r="302" spans="6:9">
      <c r="F302" s="7">
        <f>IF('W rejestracji'!$C$309="","",'W rejestracji'!$C$309)</f>
        <v>0</v>
      </c>
      <c r="G302" s="7">
        <f>IF(Zarejestrowane!$C$309="","",Zarejestrowane!$C$309)</f>
        <v>0</v>
      </c>
      <c r="H302" s="9">
        <f>IF(AND($F302&lt;&gt;"",ISNUMBER(SEARCH('Nr rejestracyjny'!$F$5,$F302))),COUNT($H$1:H301)+1,"")</f>
        <v>0</v>
      </c>
      <c r="I302" s="9">
        <f>IF(AND($G302&lt;&gt;"",ISNUMBER(SEARCH('Nr rejestracyjny'!$F$5,$G302))),COUNT($I$1:I301)+1,"")</f>
        <v>0</v>
      </c>
    </row>
    <row r="303" spans="6:9">
      <c r="F303" s="7">
        <f>IF('W rejestracji'!$C$310="","",'W rejestracji'!$C$310)</f>
        <v>0</v>
      </c>
      <c r="G303" s="7">
        <f>IF(Zarejestrowane!$C$310="","",Zarejestrowane!$C$310)</f>
        <v>0</v>
      </c>
      <c r="H303" s="9">
        <f>IF(AND($F303&lt;&gt;"",ISNUMBER(SEARCH('Nr rejestracyjny'!$F$5,$F303))),COUNT($H$1:H302)+1,"")</f>
        <v>0</v>
      </c>
      <c r="I303" s="9">
        <f>IF(AND($G303&lt;&gt;"",ISNUMBER(SEARCH('Nr rejestracyjny'!$F$5,$G303))),COUNT($I$1:I302)+1,"")</f>
        <v>0</v>
      </c>
    </row>
    <row r="304" spans="6:9">
      <c r="F304" s="7">
        <f>IF('W rejestracji'!$C$311="","",'W rejestracji'!$C$311)</f>
        <v>0</v>
      </c>
      <c r="G304" s="7">
        <f>IF(Zarejestrowane!$C$311="","",Zarejestrowane!$C$311)</f>
        <v>0</v>
      </c>
      <c r="H304" s="9">
        <f>IF(AND($F304&lt;&gt;"",ISNUMBER(SEARCH('Nr rejestracyjny'!$F$5,$F304))),COUNT($H$1:H303)+1,"")</f>
        <v>0</v>
      </c>
      <c r="I304" s="9">
        <f>IF(AND($G304&lt;&gt;"",ISNUMBER(SEARCH('Nr rejestracyjny'!$F$5,$G304))),COUNT($I$1:I303)+1,"")</f>
        <v>0</v>
      </c>
    </row>
    <row r="305" spans="6:9">
      <c r="F305" s="7">
        <f>IF('W rejestracji'!$C$312="","",'W rejestracji'!$C$312)</f>
        <v>0</v>
      </c>
      <c r="G305" s="7">
        <f>IF(Zarejestrowane!$C$312="","",Zarejestrowane!$C$312)</f>
        <v>0</v>
      </c>
      <c r="H305" s="9">
        <f>IF(AND($F305&lt;&gt;"",ISNUMBER(SEARCH('Nr rejestracyjny'!$F$5,$F305))),COUNT($H$1:H304)+1,"")</f>
        <v>0</v>
      </c>
      <c r="I305" s="9">
        <f>IF(AND($G305&lt;&gt;"",ISNUMBER(SEARCH('Nr rejestracyjny'!$F$5,$G305))),COUNT($I$1:I304)+1,"")</f>
        <v>0</v>
      </c>
    </row>
    <row r="306" spans="6:9">
      <c r="F306" s="7">
        <f>IF('W rejestracji'!$C$313="","",'W rejestracji'!$C$313)</f>
        <v>0</v>
      </c>
      <c r="G306" s="7">
        <f>IF(Zarejestrowane!$C$313="","",Zarejestrowane!$C$313)</f>
        <v>0</v>
      </c>
      <c r="H306" s="9">
        <f>IF(AND($F306&lt;&gt;"",ISNUMBER(SEARCH('Nr rejestracyjny'!$F$5,$F306))),COUNT($H$1:H305)+1,"")</f>
        <v>0</v>
      </c>
      <c r="I306" s="9">
        <f>IF(AND($G306&lt;&gt;"",ISNUMBER(SEARCH('Nr rejestracyjny'!$F$5,$G306))),COUNT($I$1:I305)+1,"")</f>
        <v>0</v>
      </c>
    </row>
    <row r="307" spans="6:9">
      <c r="F307" s="7">
        <f>IF('W rejestracji'!$C$314="","",'W rejestracji'!$C$314)</f>
        <v>0</v>
      </c>
      <c r="G307" s="7">
        <f>IF(Zarejestrowane!$C$314="","",Zarejestrowane!$C$314)</f>
        <v>0</v>
      </c>
      <c r="H307" s="9">
        <f>IF(AND($F307&lt;&gt;"",ISNUMBER(SEARCH('Nr rejestracyjny'!$F$5,$F307))),COUNT($H$1:H306)+1,"")</f>
        <v>0</v>
      </c>
      <c r="I307" s="9">
        <f>IF(AND($G307&lt;&gt;"",ISNUMBER(SEARCH('Nr rejestracyjny'!$F$5,$G307))),COUNT($I$1:I306)+1,"")</f>
        <v>0</v>
      </c>
    </row>
    <row r="308" spans="6:9">
      <c r="F308" s="7">
        <f>IF('W rejestracji'!$C$315="","",'W rejestracji'!$C$315)</f>
        <v>0</v>
      </c>
      <c r="G308" s="7">
        <f>IF(Zarejestrowane!$C$315="","",Zarejestrowane!$C$315)</f>
        <v>0</v>
      </c>
      <c r="H308" s="9">
        <f>IF(AND($F308&lt;&gt;"",ISNUMBER(SEARCH('Nr rejestracyjny'!$F$5,$F308))),COUNT($H$1:H307)+1,"")</f>
        <v>0</v>
      </c>
      <c r="I308" s="9">
        <f>IF(AND($G308&lt;&gt;"",ISNUMBER(SEARCH('Nr rejestracyjny'!$F$5,$G308))),COUNT($I$1:I307)+1,"")</f>
        <v>0</v>
      </c>
    </row>
    <row r="309" spans="6:9">
      <c r="F309" s="7">
        <f>IF('W rejestracji'!$C$316="","",'W rejestracji'!$C$316)</f>
        <v>0</v>
      </c>
      <c r="G309" s="7">
        <f>IF(Zarejestrowane!$C$316="","",Zarejestrowane!$C$316)</f>
        <v>0</v>
      </c>
      <c r="H309" s="9">
        <f>IF(AND($F309&lt;&gt;"",ISNUMBER(SEARCH('Nr rejestracyjny'!$F$5,$F309))),COUNT($H$1:H308)+1,"")</f>
        <v>0</v>
      </c>
      <c r="I309" s="9">
        <f>IF(AND($G309&lt;&gt;"",ISNUMBER(SEARCH('Nr rejestracyjny'!$F$5,$G309))),COUNT($I$1:I308)+1,"")</f>
        <v>0</v>
      </c>
    </row>
    <row r="310" spans="6:9">
      <c r="F310" s="7">
        <f>IF('W rejestracji'!$C$317="","",'W rejestracji'!$C$317)</f>
        <v>0</v>
      </c>
      <c r="G310" s="7">
        <f>IF(Zarejestrowane!$C$317="","",Zarejestrowane!$C$317)</f>
        <v>0</v>
      </c>
      <c r="H310" s="9">
        <f>IF(AND($F310&lt;&gt;"",ISNUMBER(SEARCH('Nr rejestracyjny'!$F$5,$F310))),COUNT($H$1:H309)+1,"")</f>
        <v>0</v>
      </c>
      <c r="I310" s="9">
        <f>IF(AND($G310&lt;&gt;"",ISNUMBER(SEARCH('Nr rejestracyjny'!$F$5,$G310))),COUNT($I$1:I309)+1,"")</f>
        <v>0</v>
      </c>
    </row>
    <row r="311" spans="6:9">
      <c r="F311" s="7">
        <f>IF('W rejestracji'!$C$318="","",'W rejestracji'!$C$318)</f>
        <v>0</v>
      </c>
      <c r="G311" s="7">
        <f>IF(Zarejestrowane!$C$318="","",Zarejestrowane!$C$318)</f>
        <v>0</v>
      </c>
      <c r="H311" s="9">
        <f>IF(AND($F311&lt;&gt;"",ISNUMBER(SEARCH('Nr rejestracyjny'!$F$5,$F311))),COUNT($H$1:H310)+1,"")</f>
        <v>0</v>
      </c>
      <c r="I311" s="9">
        <f>IF(AND($G311&lt;&gt;"",ISNUMBER(SEARCH('Nr rejestracyjny'!$F$5,$G311))),COUNT($I$1:I310)+1,"")</f>
        <v>0</v>
      </c>
    </row>
    <row r="312" spans="6:9">
      <c r="F312" s="7">
        <f>IF('W rejestracji'!$C$319="","",'W rejestracji'!$C$319)</f>
        <v>0</v>
      </c>
      <c r="G312" s="7">
        <f>IF(Zarejestrowane!$C$319="","",Zarejestrowane!$C$319)</f>
        <v>0</v>
      </c>
      <c r="H312" s="9">
        <f>IF(AND($F312&lt;&gt;"",ISNUMBER(SEARCH('Nr rejestracyjny'!$F$5,$F312))),COUNT($H$1:H311)+1,"")</f>
        <v>0</v>
      </c>
      <c r="I312" s="9">
        <f>IF(AND($G312&lt;&gt;"",ISNUMBER(SEARCH('Nr rejestracyjny'!$F$5,$G312))),COUNT($I$1:I311)+1,"")</f>
        <v>0</v>
      </c>
    </row>
    <row r="313" spans="6:9">
      <c r="F313" s="7">
        <f>IF('W rejestracji'!$C$320="","",'W rejestracji'!$C$320)</f>
        <v>0</v>
      </c>
      <c r="G313" s="7">
        <f>IF(Zarejestrowane!$C$320="","",Zarejestrowane!$C$320)</f>
        <v>0</v>
      </c>
      <c r="H313" s="9">
        <f>IF(AND($F313&lt;&gt;"",ISNUMBER(SEARCH('Nr rejestracyjny'!$F$5,$F313))),COUNT($H$1:H312)+1,"")</f>
        <v>0</v>
      </c>
      <c r="I313" s="9">
        <f>IF(AND($G313&lt;&gt;"",ISNUMBER(SEARCH('Nr rejestracyjny'!$F$5,$G313))),COUNT($I$1:I312)+1,"")</f>
        <v>0</v>
      </c>
    </row>
    <row r="314" spans="6:9">
      <c r="F314" s="7">
        <f>IF('W rejestracji'!$C$321="","",'W rejestracji'!$C$321)</f>
        <v>0</v>
      </c>
      <c r="G314" s="7">
        <f>IF(Zarejestrowane!$C$321="","",Zarejestrowane!$C$321)</f>
        <v>0</v>
      </c>
      <c r="H314" s="9">
        <f>IF(AND($F314&lt;&gt;"",ISNUMBER(SEARCH('Nr rejestracyjny'!$F$5,$F314))),COUNT($H$1:H313)+1,"")</f>
        <v>0</v>
      </c>
      <c r="I314" s="9">
        <f>IF(AND($G314&lt;&gt;"",ISNUMBER(SEARCH('Nr rejestracyjny'!$F$5,$G314))),COUNT($I$1:I313)+1,"")</f>
        <v>0</v>
      </c>
    </row>
    <row r="315" spans="6:9">
      <c r="F315" s="7">
        <f>IF('W rejestracji'!$C$322="","",'W rejestracji'!$C$322)</f>
        <v>0</v>
      </c>
      <c r="G315" s="7">
        <f>IF(Zarejestrowane!$C$322="","",Zarejestrowane!$C$322)</f>
        <v>0</v>
      </c>
      <c r="H315" s="9">
        <f>IF(AND($F315&lt;&gt;"",ISNUMBER(SEARCH('Nr rejestracyjny'!$F$5,$F315))),COUNT($H$1:H314)+1,"")</f>
        <v>0</v>
      </c>
      <c r="I315" s="9">
        <f>IF(AND($G315&lt;&gt;"",ISNUMBER(SEARCH('Nr rejestracyjny'!$F$5,$G315))),COUNT($I$1:I314)+1,"")</f>
        <v>0</v>
      </c>
    </row>
    <row r="316" spans="6:9">
      <c r="F316" s="7">
        <f>IF('W rejestracji'!$C$323="","",'W rejestracji'!$C$323)</f>
        <v>0</v>
      </c>
      <c r="G316" s="7">
        <f>IF(Zarejestrowane!$C$323="","",Zarejestrowane!$C$323)</f>
        <v>0</v>
      </c>
      <c r="H316" s="9">
        <f>IF(AND($F316&lt;&gt;"",ISNUMBER(SEARCH('Nr rejestracyjny'!$F$5,$F316))),COUNT($H$1:H315)+1,"")</f>
        <v>0</v>
      </c>
      <c r="I316" s="9">
        <f>IF(AND($G316&lt;&gt;"",ISNUMBER(SEARCH('Nr rejestracyjny'!$F$5,$G316))),COUNT($I$1:I315)+1,"")</f>
        <v>0</v>
      </c>
    </row>
    <row r="317" spans="6:9">
      <c r="F317" s="7">
        <f>IF('W rejestracji'!$C$324="","",'W rejestracji'!$C$324)</f>
        <v>0</v>
      </c>
      <c r="G317" s="7">
        <f>IF(Zarejestrowane!$C$324="","",Zarejestrowane!$C$324)</f>
        <v>0</v>
      </c>
      <c r="H317" s="9">
        <f>IF(AND($F317&lt;&gt;"",ISNUMBER(SEARCH('Nr rejestracyjny'!$F$5,$F317))),COUNT($H$1:H316)+1,"")</f>
        <v>0</v>
      </c>
      <c r="I317" s="9">
        <f>IF(AND($G317&lt;&gt;"",ISNUMBER(SEARCH('Nr rejestracyjny'!$F$5,$G317))),COUNT($I$1:I316)+1,"")</f>
        <v>0</v>
      </c>
    </row>
    <row r="318" spans="6:9">
      <c r="F318" s="7">
        <f>IF('W rejestracji'!$C$325="","",'W rejestracji'!$C$325)</f>
        <v>0</v>
      </c>
      <c r="G318" s="7">
        <f>IF(Zarejestrowane!$C$325="","",Zarejestrowane!$C$325)</f>
        <v>0</v>
      </c>
      <c r="H318" s="9">
        <f>IF(AND($F318&lt;&gt;"",ISNUMBER(SEARCH('Nr rejestracyjny'!$F$5,$F318))),COUNT($H$1:H317)+1,"")</f>
        <v>0</v>
      </c>
      <c r="I318" s="9">
        <f>IF(AND($G318&lt;&gt;"",ISNUMBER(SEARCH('Nr rejestracyjny'!$F$5,$G318))),COUNT($I$1:I317)+1,"")</f>
        <v>0</v>
      </c>
    </row>
    <row r="319" spans="6:9">
      <c r="F319" s="7">
        <f>IF('W rejestracji'!$C$326="","",'W rejestracji'!$C$326)</f>
        <v>0</v>
      </c>
      <c r="G319" s="7">
        <f>IF(Zarejestrowane!$C$326="","",Zarejestrowane!$C$326)</f>
        <v>0</v>
      </c>
      <c r="H319" s="9">
        <f>IF(AND($F319&lt;&gt;"",ISNUMBER(SEARCH('Nr rejestracyjny'!$F$5,$F319))),COUNT($H$1:H318)+1,"")</f>
        <v>0</v>
      </c>
      <c r="I319" s="9">
        <f>IF(AND($G319&lt;&gt;"",ISNUMBER(SEARCH('Nr rejestracyjny'!$F$5,$G319))),COUNT($I$1:I318)+1,"")</f>
        <v>0</v>
      </c>
    </row>
    <row r="320" spans="6:9">
      <c r="F320" s="7">
        <f>IF('W rejestracji'!$C$327="","",'W rejestracji'!$C$327)</f>
        <v>0</v>
      </c>
      <c r="G320" s="7">
        <f>IF(Zarejestrowane!$C$327="","",Zarejestrowane!$C$327)</f>
        <v>0</v>
      </c>
      <c r="H320" s="9">
        <f>IF(AND($F320&lt;&gt;"",ISNUMBER(SEARCH('Nr rejestracyjny'!$F$5,$F320))),COUNT($H$1:H319)+1,"")</f>
        <v>0</v>
      </c>
      <c r="I320" s="9">
        <f>IF(AND($G320&lt;&gt;"",ISNUMBER(SEARCH('Nr rejestracyjny'!$F$5,$G320))),COUNT($I$1:I319)+1,"")</f>
        <v>0</v>
      </c>
    </row>
    <row r="321" spans="6:9">
      <c r="F321" s="7">
        <f>IF('W rejestracji'!$C$328="","",'W rejestracji'!$C$328)</f>
        <v>0</v>
      </c>
      <c r="G321" s="7">
        <f>IF(Zarejestrowane!$C$328="","",Zarejestrowane!$C$328)</f>
        <v>0</v>
      </c>
      <c r="H321" s="9">
        <f>IF(AND($F321&lt;&gt;"",ISNUMBER(SEARCH('Nr rejestracyjny'!$F$5,$F321))),COUNT($H$1:H320)+1,"")</f>
        <v>0</v>
      </c>
      <c r="I321" s="9">
        <f>IF(AND($G321&lt;&gt;"",ISNUMBER(SEARCH('Nr rejestracyjny'!$F$5,$G321))),COUNT($I$1:I320)+1,"")</f>
        <v>0</v>
      </c>
    </row>
    <row r="322" spans="6:9">
      <c r="F322" s="7">
        <f>IF('W rejestracji'!$C$329="","",'W rejestracji'!$C$329)</f>
        <v>0</v>
      </c>
      <c r="G322" s="7">
        <f>IF(Zarejestrowane!$C$329="","",Zarejestrowane!$C$329)</f>
        <v>0</v>
      </c>
      <c r="H322" s="9">
        <f>IF(AND($F322&lt;&gt;"",ISNUMBER(SEARCH('Nr rejestracyjny'!$F$5,$F322))),COUNT($H$1:H321)+1,"")</f>
        <v>0</v>
      </c>
      <c r="I322" s="9">
        <f>IF(AND($G322&lt;&gt;"",ISNUMBER(SEARCH('Nr rejestracyjny'!$F$5,$G322))),COUNT($I$1:I321)+1,"")</f>
        <v>0</v>
      </c>
    </row>
    <row r="323" spans="6:9">
      <c r="F323" s="7">
        <f>IF('W rejestracji'!$C$330="","",'W rejestracji'!$C$330)</f>
        <v>0</v>
      </c>
      <c r="G323" s="7">
        <f>IF(Zarejestrowane!$C$330="","",Zarejestrowane!$C$330)</f>
        <v>0</v>
      </c>
      <c r="H323" s="9">
        <f>IF(AND($F323&lt;&gt;"",ISNUMBER(SEARCH('Nr rejestracyjny'!$F$5,$F323))),COUNT($H$1:H322)+1,"")</f>
        <v>0</v>
      </c>
      <c r="I323" s="9">
        <f>IF(AND($G323&lt;&gt;"",ISNUMBER(SEARCH('Nr rejestracyjny'!$F$5,$G323))),COUNT($I$1:I322)+1,"")</f>
        <v>0</v>
      </c>
    </row>
    <row r="324" spans="6:9">
      <c r="F324" s="7">
        <f>IF('W rejestracji'!$C$331="","",'W rejestracji'!$C$331)</f>
        <v>0</v>
      </c>
      <c r="G324" s="7">
        <f>IF(Zarejestrowane!$C$331="","",Zarejestrowane!$C$331)</f>
        <v>0</v>
      </c>
      <c r="H324" s="9">
        <f>IF(AND($F324&lt;&gt;"",ISNUMBER(SEARCH('Nr rejestracyjny'!$F$5,$F324))),COUNT($H$1:H323)+1,"")</f>
        <v>0</v>
      </c>
      <c r="I324" s="9">
        <f>IF(AND($G324&lt;&gt;"",ISNUMBER(SEARCH('Nr rejestracyjny'!$F$5,$G324))),COUNT($I$1:I323)+1,"")</f>
        <v>0</v>
      </c>
    </row>
    <row r="325" spans="6:9">
      <c r="F325" s="7">
        <f>IF('W rejestracji'!$C$332="","",'W rejestracji'!$C$332)</f>
        <v>0</v>
      </c>
      <c r="G325" s="7">
        <f>IF(Zarejestrowane!$C$332="","",Zarejestrowane!$C$332)</f>
        <v>0</v>
      </c>
      <c r="H325" s="9">
        <f>IF(AND($F325&lt;&gt;"",ISNUMBER(SEARCH('Nr rejestracyjny'!$F$5,$F325))),COUNT($H$1:H324)+1,"")</f>
        <v>0</v>
      </c>
      <c r="I325" s="9">
        <f>IF(AND($G325&lt;&gt;"",ISNUMBER(SEARCH('Nr rejestracyjny'!$F$5,$G325))),COUNT($I$1:I324)+1,"")</f>
        <v>0</v>
      </c>
    </row>
    <row r="326" spans="6:9">
      <c r="F326" s="7">
        <f>IF('W rejestracji'!$C$333="","",'W rejestracji'!$C$333)</f>
        <v>0</v>
      </c>
      <c r="G326" s="7">
        <f>IF(Zarejestrowane!$C$333="","",Zarejestrowane!$C$333)</f>
        <v>0</v>
      </c>
      <c r="H326" s="9">
        <f>IF(AND($F326&lt;&gt;"",ISNUMBER(SEARCH('Nr rejestracyjny'!$F$5,$F326))),COUNT($H$1:H325)+1,"")</f>
        <v>0</v>
      </c>
      <c r="I326" s="9">
        <f>IF(AND($G326&lt;&gt;"",ISNUMBER(SEARCH('Nr rejestracyjny'!$F$5,$G326))),COUNT($I$1:I325)+1,"")</f>
        <v>0</v>
      </c>
    </row>
    <row r="327" spans="6:9">
      <c r="F327" s="7">
        <f>IF('W rejestracji'!$C$334="","",'W rejestracji'!$C$334)</f>
        <v>0</v>
      </c>
      <c r="G327" s="7">
        <f>IF(Zarejestrowane!$C$334="","",Zarejestrowane!$C$334)</f>
        <v>0</v>
      </c>
      <c r="H327" s="9">
        <f>IF(AND($F327&lt;&gt;"",ISNUMBER(SEARCH('Nr rejestracyjny'!$F$5,$F327))),COUNT($H$1:H326)+1,"")</f>
        <v>0</v>
      </c>
      <c r="I327" s="9">
        <f>IF(AND($G327&lt;&gt;"",ISNUMBER(SEARCH('Nr rejestracyjny'!$F$5,$G327))),COUNT($I$1:I326)+1,"")</f>
        <v>0</v>
      </c>
    </row>
    <row r="328" spans="6:9">
      <c r="F328" s="7">
        <f>IF('W rejestracji'!$C$335="","",'W rejestracji'!$C$335)</f>
        <v>0</v>
      </c>
      <c r="G328" s="7">
        <f>IF(Zarejestrowane!$C$335="","",Zarejestrowane!$C$335)</f>
        <v>0</v>
      </c>
      <c r="H328" s="9">
        <f>IF(AND($F328&lt;&gt;"",ISNUMBER(SEARCH('Nr rejestracyjny'!$F$5,$F328))),COUNT($H$1:H327)+1,"")</f>
        <v>0</v>
      </c>
      <c r="I328" s="9">
        <f>IF(AND($G328&lt;&gt;"",ISNUMBER(SEARCH('Nr rejestracyjny'!$F$5,$G328))),COUNT($I$1:I327)+1,"")</f>
        <v>0</v>
      </c>
    </row>
    <row r="329" spans="6:9">
      <c r="F329" s="7">
        <f>IF('W rejestracji'!$C$336="","",'W rejestracji'!$C$336)</f>
        <v>0</v>
      </c>
      <c r="G329" s="7">
        <f>IF(Zarejestrowane!$C$336="","",Zarejestrowane!$C$336)</f>
        <v>0</v>
      </c>
      <c r="H329" s="9">
        <f>IF(AND($F329&lt;&gt;"",ISNUMBER(SEARCH('Nr rejestracyjny'!$F$5,$F329))),COUNT($H$1:H328)+1,"")</f>
        <v>0</v>
      </c>
      <c r="I329" s="9">
        <f>IF(AND($G329&lt;&gt;"",ISNUMBER(SEARCH('Nr rejestracyjny'!$F$5,$G329))),COUNT($I$1:I328)+1,"")</f>
        <v>0</v>
      </c>
    </row>
    <row r="330" spans="6:9">
      <c r="F330" s="7">
        <f>IF('W rejestracji'!$C$337="","",'W rejestracji'!$C$337)</f>
        <v>0</v>
      </c>
      <c r="G330" s="7">
        <f>IF(Zarejestrowane!$C$337="","",Zarejestrowane!$C$337)</f>
        <v>0</v>
      </c>
      <c r="H330" s="9">
        <f>IF(AND($F330&lt;&gt;"",ISNUMBER(SEARCH('Nr rejestracyjny'!$F$5,$F330))),COUNT($H$1:H329)+1,"")</f>
        <v>0</v>
      </c>
      <c r="I330" s="9">
        <f>IF(AND($G330&lt;&gt;"",ISNUMBER(SEARCH('Nr rejestracyjny'!$F$5,$G330))),COUNT($I$1:I329)+1,"")</f>
        <v>0</v>
      </c>
    </row>
    <row r="331" spans="6:9">
      <c r="F331" s="7">
        <f>IF('W rejestracji'!$C$338="","",'W rejestracji'!$C$338)</f>
        <v>0</v>
      </c>
      <c r="G331" s="7">
        <f>IF(Zarejestrowane!$C$338="","",Zarejestrowane!$C$338)</f>
        <v>0</v>
      </c>
      <c r="H331" s="9">
        <f>IF(AND($F331&lt;&gt;"",ISNUMBER(SEARCH('Nr rejestracyjny'!$F$5,$F331))),COUNT($H$1:H330)+1,"")</f>
        <v>0</v>
      </c>
      <c r="I331" s="9">
        <f>IF(AND($G331&lt;&gt;"",ISNUMBER(SEARCH('Nr rejestracyjny'!$F$5,$G331))),COUNT($I$1:I330)+1,"")</f>
        <v>0</v>
      </c>
    </row>
    <row r="332" spans="6:9">
      <c r="F332" s="7">
        <f>IF('W rejestracji'!$C$339="","",'W rejestracji'!$C$339)</f>
        <v>0</v>
      </c>
      <c r="G332" s="7">
        <f>IF(Zarejestrowane!$C$339="","",Zarejestrowane!$C$339)</f>
        <v>0</v>
      </c>
      <c r="H332" s="9">
        <f>IF(AND($F332&lt;&gt;"",ISNUMBER(SEARCH('Nr rejestracyjny'!$F$5,$F332))),COUNT($H$1:H331)+1,"")</f>
        <v>0</v>
      </c>
      <c r="I332" s="9">
        <f>IF(AND($G332&lt;&gt;"",ISNUMBER(SEARCH('Nr rejestracyjny'!$F$5,$G332))),COUNT($I$1:I331)+1,"")</f>
        <v>0</v>
      </c>
    </row>
    <row r="333" spans="6:9">
      <c r="F333" s="7">
        <f>IF('W rejestracji'!$C$340="","",'W rejestracji'!$C$340)</f>
        <v>0</v>
      </c>
      <c r="G333" s="7">
        <f>IF(Zarejestrowane!$C$340="","",Zarejestrowane!$C$340)</f>
        <v>0</v>
      </c>
      <c r="H333" s="9">
        <f>IF(AND($F333&lt;&gt;"",ISNUMBER(SEARCH('Nr rejestracyjny'!$F$5,$F333))),COUNT($H$1:H332)+1,"")</f>
        <v>0</v>
      </c>
      <c r="I333" s="9">
        <f>IF(AND($G333&lt;&gt;"",ISNUMBER(SEARCH('Nr rejestracyjny'!$F$5,$G333))),COUNT($I$1:I332)+1,"")</f>
        <v>0</v>
      </c>
    </row>
    <row r="334" spans="6:9">
      <c r="F334" s="7">
        <f>IF('W rejestracji'!$C$341="","",'W rejestracji'!$C$341)</f>
        <v>0</v>
      </c>
      <c r="G334" s="7">
        <f>IF(Zarejestrowane!$C$341="","",Zarejestrowane!$C$341)</f>
        <v>0</v>
      </c>
      <c r="H334" s="9">
        <f>IF(AND($F334&lt;&gt;"",ISNUMBER(SEARCH('Nr rejestracyjny'!$F$5,$F334))),COUNT($H$1:H333)+1,"")</f>
        <v>0</v>
      </c>
      <c r="I334" s="9">
        <f>IF(AND($G334&lt;&gt;"",ISNUMBER(SEARCH('Nr rejestracyjny'!$F$5,$G334))),COUNT($I$1:I333)+1,"")</f>
        <v>0</v>
      </c>
    </row>
    <row r="335" spans="6:9">
      <c r="F335" s="7">
        <f>IF('W rejestracji'!$C$342="","",'W rejestracji'!$C$342)</f>
        <v>0</v>
      </c>
      <c r="G335" s="7">
        <f>IF(Zarejestrowane!$C$342="","",Zarejestrowane!$C$342)</f>
        <v>0</v>
      </c>
      <c r="H335" s="9">
        <f>IF(AND($F335&lt;&gt;"",ISNUMBER(SEARCH('Nr rejestracyjny'!$F$5,$F335))),COUNT($H$1:H334)+1,"")</f>
        <v>0</v>
      </c>
      <c r="I335" s="9">
        <f>IF(AND($G335&lt;&gt;"",ISNUMBER(SEARCH('Nr rejestracyjny'!$F$5,$G335))),COUNT($I$1:I334)+1,"")</f>
        <v>0</v>
      </c>
    </row>
    <row r="336" spans="6:9">
      <c r="F336" s="7">
        <f>IF('W rejestracji'!$C$343="","",'W rejestracji'!$C$343)</f>
        <v>0</v>
      </c>
      <c r="G336" s="7">
        <f>IF(Zarejestrowane!$C$343="","",Zarejestrowane!$C$343)</f>
        <v>0</v>
      </c>
      <c r="H336" s="9">
        <f>IF(AND($F336&lt;&gt;"",ISNUMBER(SEARCH('Nr rejestracyjny'!$F$5,$F336))),COUNT($H$1:H335)+1,"")</f>
        <v>0</v>
      </c>
      <c r="I336" s="9">
        <f>IF(AND($G336&lt;&gt;"",ISNUMBER(SEARCH('Nr rejestracyjny'!$F$5,$G336))),COUNT($I$1:I335)+1,"")</f>
        <v>0</v>
      </c>
    </row>
    <row r="337" spans="6:9">
      <c r="F337" s="7">
        <f>IF('W rejestracji'!$C$344="","",'W rejestracji'!$C$344)</f>
        <v>0</v>
      </c>
      <c r="G337" s="7">
        <f>IF(Zarejestrowane!$C$344="","",Zarejestrowane!$C$344)</f>
        <v>0</v>
      </c>
      <c r="H337" s="9">
        <f>IF(AND($F337&lt;&gt;"",ISNUMBER(SEARCH('Nr rejestracyjny'!$F$5,$F337))),COUNT($H$1:H336)+1,"")</f>
        <v>0</v>
      </c>
      <c r="I337" s="9">
        <f>IF(AND($G337&lt;&gt;"",ISNUMBER(SEARCH('Nr rejestracyjny'!$F$5,$G337))),COUNT($I$1:I336)+1,"")</f>
        <v>0</v>
      </c>
    </row>
    <row r="338" spans="6:9">
      <c r="F338" s="7">
        <f>IF('W rejestracji'!$C$345="","",'W rejestracji'!$C$345)</f>
        <v>0</v>
      </c>
      <c r="G338" s="7">
        <f>IF(Zarejestrowane!$C$345="","",Zarejestrowane!$C$345)</f>
        <v>0</v>
      </c>
      <c r="H338" s="9">
        <f>IF(AND($F338&lt;&gt;"",ISNUMBER(SEARCH('Nr rejestracyjny'!$F$5,$F338))),COUNT($H$1:H337)+1,"")</f>
        <v>0</v>
      </c>
      <c r="I338" s="9">
        <f>IF(AND($G338&lt;&gt;"",ISNUMBER(SEARCH('Nr rejestracyjny'!$F$5,$G338))),COUNT($I$1:I337)+1,"")</f>
        <v>0</v>
      </c>
    </row>
    <row r="339" spans="6:9">
      <c r="F339" s="7">
        <f>IF('W rejestracji'!$C$346="","",'W rejestracji'!$C$346)</f>
        <v>0</v>
      </c>
      <c r="G339" s="7">
        <f>IF(Zarejestrowane!$C$346="","",Zarejestrowane!$C$346)</f>
        <v>0</v>
      </c>
      <c r="H339" s="9">
        <f>IF(AND($F339&lt;&gt;"",ISNUMBER(SEARCH('Nr rejestracyjny'!$F$5,$F339))),COUNT($H$1:H338)+1,"")</f>
        <v>0</v>
      </c>
      <c r="I339" s="9">
        <f>IF(AND($G339&lt;&gt;"",ISNUMBER(SEARCH('Nr rejestracyjny'!$F$5,$G339))),COUNT($I$1:I338)+1,"")</f>
        <v>0</v>
      </c>
    </row>
    <row r="340" spans="6:9">
      <c r="F340" s="7">
        <f>IF('W rejestracji'!$C$347="","",'W rejestracji'!$C$347)</f>
        <v>0</v>
      </c>
      <c r="G340" s="7">
        <f>IF(Zarejestrowane!$C$347="","",Zarejestrowane!$C$347)</f>
        <v>0</v>
      </c>
      <c r="H340" s="9">
        <f>IF(AND($F340&lt;&gt;"",ISNUMBER(SEARCH('Nr rejestracyjny'!$F$5,$F340))),COUNT($H$1:H339)+1,"")</f>
        <v>0</v>
      </c>
      <c r="I340" s="9">
        <f>IF(AND($G340&lt;&gt;"",ISNUMBER(SEARCH('Nr rejestracyjny'!$F$5,$G340))),COUNT($I$1:I339)+1,"")</f>
        <v>0</v>
      </c>
    </row>
    <row r="341" spans="6:9">
      <c r="F341" s="7">
        <f>IF('W rejestracji'!$C$348="","",'W rejestracji'!$C$348)</f>
        <v>0</v>
      </c>
      <c r="G341" s="7">
        <f>IF(Zarejestrowane!$C$348="","",Zarejestrowane!$C$348)</f>
        <v>0</v>
      </c>
      <c r="H341" s="9">
        <f>IF(AND($F341&lt;&gt;"",ISNUMBER(SEARCH('Nr rejestracyjny'!$F$5,$F341))),COUNT($H$1:H340)+1,"")</f>
        <v>0</v>
      </c>
      <c r="I341" s="9">
        <f>IF(AND($G341&lt;&gt;"",ISNUMBER(SEARCH('Nr rejestracyjny'!$F$5,$G341))),COUNT($I$1:I340)+1,"")</f>
        <v>0</v>
      </c>
    </row>
    <row r="342" spans="6:9">
      <c r="F342" s="7">
        <f>IF('W rejestracji'!$C$349="","",'W rejestracji'!$C$349)</f>
        <v>0</v>
      </c>
      <c r="G342" s="7">
        <f>IF(Zarejestrowane!$C$349="","",Zarejestrowane!$C$349)</f>
        <v>0</v>
      </c>
      <c r="H342" s="9">
        <f>IF(AND($F342&lt;&gt;"",ISNUMBER(SEARCH('Nr rejestracyjny'!$F$5,$F342))),COUNT($H$1:H341)+1,"")</f>
        <v>0</v>
      </c>
      <c r="I342" s="9">
        <f>IF(AND($G342&lt;&gt;"",ISNUMBER(SEARCH('Nr rejestracyjny'!$F$5,$G342))),COUNT($I$1:I341)+1,"")</f>
        <v>0</v>
      </c>
    </row>
    <row r="343" spans="6:9">
      <c r="F343" s="7">
        <f>IF('W rejestracji'!$C$350="","",'W rejestracji'!$C$350)</f>
        <v>0</v>
      </c>
      <c r="G343" s="7">
        <f>IF(Zarejestrowane!$C$350="","",Zarejestrowane!$C$350)</f>
        <v>0</v>
      </c>
      <c r="H343" s="9">
        <f>IF(AND($F343&lt;&gt;"",ISNUMBER(SEARCH('Nr rejestracyjny'!$F$5,$F343))),COUNT($H$1:H342)+1,"")</f>
        <v>0</v>
      </c>
      <c r="I343" s="9">
        <f>IF(AND($G343&lt;&gt;"",ISNUMBER(SEARCH('Nr rejestracyjny'!$F$5,$G343))),COUNT($I$1:I342)+1,"")</f>
        <v>0</v>
      </c>
    </row>
    <row r="344" spans="6:9">
      <c r="F344" s="7">
        <f>IF('W rejestracji'!$C$351="","",'W rejestracji'!$C$351)</f>
        <v>0</v>
      </c>
      <c r="G344" s="7">
        <f>IF(Zarejestrowane!$C$351="","",Zarejestrowane!$C$351)</f>
        <v>0</v>
      </c>
      <c r="H344" s="9">
        <f>IF(AND($F344&lt;&gt;"",ISNUMBER(SEARCH('Nr rejestracyjny'!$F$5,$F344))),COUNT($H$1:H343)+1,"")</f>
        <v>0</v>
      </c>
      <c r="I344" s="9">
        <f>IF(AND($G344&lt;&gt;"",ISNUMBER(SEARCH('Nr rejestracyjny'!$F$5,$G344))),COUNT($I$1:I343)+1,"")</f>
        <v>0</v>
      </c>
    </row>
    <row r="345" spans="6:9">
      <c r="F345" s="7">
        <f>IF('W rejestracji'!$C$352="","",'W rejestracji'!$C$352)</f>
        <v>0</v>
      </c>
      <c r="G345" s="7">
        <f>IF(Zarejestrowane!$C$352="","",Zarejestrowane!$C$352)</f>
        <v>0</v>
      </c>
      <c r="H345" s="9">
        <f>IF(AND($F345&lt;&gt;"",ISNUMBER(SEARCH('Nr rejestracyjny'!$F$5,$F345))),COUNT($H$1:H344)+1,"")</f>
        <v>0</v>
      </c>
      <c r="I345" s="9">
        <f>IF(AND($G345&lt;&gt;"",ISNUMBER(SEARCH('Nr rejestracyjny'!$F$5,$G345))),COUNT($I$1:I344)+1,"")</f>
        <v>0</v>
      </c>
    </row>
    <row r="346" spans="6:9">
      <c r="F346" s="7">
        <f>IF('W rejestracji'!$C$353="","",'W rejestracji'!$C$353)</f>
        <v>0</v>
      </c>
      <c r="G346" s="7">
        <f>IF(Zarejestrowane!$C$353="","",Zarejestrowane!$C$353)</f>
        <v>0</v>
      </c>
      <c r="H346" s="9">
        <f>IF(AND($F346&lt;&gt;"",ISNUMBER(SEARCH('Nr rejestracyjny'!$F$5,$F346))),COUNT($H$1:H345)+1,"")</f>
        <v>0</v>
      </c>
      <c r="I346" s="9">
        <f>IF(AND($G346&lt;&gt;"",ISNUMBER(SEARCH('Nr rejestracyjny'!$F$5,$G346))),COUNT($I$1:I345)+1,"")</f>
        <v>0</v>
      </c>
    </row>
    <row r="347" spans="6:9">
      <c r="F347" s="7">
        <f>IF('W rejestracji'!$C$354="","",'W rejestracji'!$C$354)</f>
        <v>0</v>
      </c>
      <c r="G347" s="7">
        <f>IF(Zarejestrowane!$C$354="","",Zarejestrowane!$C$354)</f>
        <v>0</v>
      </c>
      <c r="H347" s="9">
        <f>IF(AND($F347&lt;&gt;"",ISNUMBER(SEARCH('Nr rejestracyjny'!$F$5,$F347))),COUNT($H$1:H346)+1,"")</f>
        <v>0</v>
      </c>
      <c r="I347" s="9">
        <f>IF(AND($G347&lt;&gt;"",ISNUMBER(SEARCH('Nr rejestracyjny'!$F$5,$G347))),COUNT($I$1:I346)+1,"")</f>
        <v>0</v>
      </c>
    </row>
    <row r="348" spans="6:9">
      <c r="F348" s="7">
        <f>IF('W rejestracji'!$C$355="","",'W rejestracji'!$C$355)</f>
        <v>0</v>
      </c>
      <c r="G348" s="7">
        <f>IF(Zarejestrowane!$C$355="","",Zarejestrowane!$C$355)</f>
        <v>0</v>
      </c>
      <c r="H348" s="9">
        <f>IF(AND($F348&lt;&gt;"",ISNUMBER(SEARCH('Nr rejestracyjny'!$F$5,$F348))),COUNT($H$1:H347)+1,"")</f>
        <v>0</v>
      </c>
      <c r="I348" s="9">
        <f>IF(AND($G348&lt;&gt;"",ISNUMBER(SEARCH('Nr rejestracyjny'!$F$5,$G348))),COUNT($I$1:I347)+1,"")</f>
        <v>0</v>
      </c>
    </row>
    <row r="349" spans="6:9">
      <c r="F349" s="7">
        <f>IF('W rejestracji'!$C$356="","",'W rejestracji'!$C$356)</f>
        <v>0</v>
      </c>
      <c r="G349" s="7">
        <f>IF(Zarejestrowane!$C$356="","",Zarejestrowane!$C$356)</f>
        <v>0</v>
      </c>
      <c r="H349" s="9">
        <f>IF(AND($F349&lt;&gt;"",ISNUMBER(SEARCH('Nr rejestracyjny'!$F$5,$F349))),COUNT($H$1:H348)+1,"")</f>
        <v>0</v>
      </c>
      <c r="I349" s="9">
        <f>IF(AND($G349&lt;&gt;"",ISNUMBER(SEARCH('Nr rejestracyjny'!$F$5,$G349))),COUNT($I$1:I348)+1,"")</f>
        <v>0</v>
      </c>
    </row>
    <row r="350" spans="6:9">
      <c r="F350" s="7">
        <f>IF('W rejestracji'!$C$357="","",'W rejestracji'!$C$357)</f>
        <v>0</v>
      </c>
      <c r="G350" s="7">
        <f>IF(Zarejestrowane!$C$357="","",Zarejestrowane!$C$357)</f>
        <v>0</v>
      </c>
      <c r="H350" s="9">
        <f>IF(AND($F350&lt;&gt;"",ISNUMBER(SEARCH('Nr rejestracyjny'!$F$5,$F350))),COUNT($H$1:H349)+1,"")</f>
        <v>0</v>
      </c>
      <c r="I350" s="9">
        <f>IF(AND($G350&lt;&gt;"",ISNUMBER(SEARCH('Nr rejestracyjny'!$F$5,$G350))),COUNT($I$1:I349)+1,"")</f>
        <v>0</v>
      </c>
    </row>
    <row r="351" spans="6:9">
      <c r="F351" s="7">
        <f>IF('W rejestracji'!$C$358="","",'W rejestracji'!$C$358)</f>
        <v>0</v>
      </c>
      <c r="G351" s="7">
        <f>IF(Zarejestrowane!$C$358="","",Zarejestrowane!$C$358)</f>
        <v>0</v>
      </c>
      <c r="H351" s="9">
        <f>IF(AND($F351&lt;&gt;"",ISNUMBER(SEARCH('Nr rejestracyjny'!$F$5,$F351))),COUNT($H$1:H350)+1,"")</f>
        <v>0</v>
      </c>
      <c r="I351" s="9">
        <f>IF(AND($G351&lt;&gt;"",ISNUMBER(SEARCH('Nr rejestracyjny'!$F$5,$G351))),COUNT($I$1:I350)+1,"")</f>
        <v>0</v>
      </c>
    </row>
    <row r="352" spans="6:9">
      <c r="F352" s="7">
        <f>IF('W rejestracji'!$C$359="","",'W rejestracji'!$C$359)</f>
        <v>0</v>
      </c>
      <c r="G352" s="7">
        <f>IF(Zarejestrowane!$C$359="","",Zarejestrowane!$C$359)</f>
        <v>0</v>
      </c>
      <c r="H352" s="9">
        <f>IF(AND($F352&lt;&gt;"",ISNUMBER(SEARCH('Nr rejestracyjny'!$F$5,$F352))),COUNT($H$1:H351)+1,"")</f>
        <v>0</v>
      </c>
      <c r="I352" s="9">
        <f>IF(AND($G352&lt;&gt;"",ISNUMBER(SEARCH('Nr rejestracyjny'!$F$5,$G352))),COUNT($I$1:I351)+1,"")</f>
        <v>0</v>
      </c>
    </row>
    <row r="353" spans="6:9">
      <c r="F353" s="7">
        <f>IF('W rejestracji'!$C$360="","",'W rejestracji'!$C$360)</f>
        <v>0</v>
      </c>
      <c r="G353" s="7">
        <f>IF(Zarejestrowane!$C$360="","",Zarejestrowane!$C$360)</f>
        <v>0</v>
      </c>
      <c r="H353" s="9">
        <f>IF(AND($F353&lt;&gt;"",ISNUMBER(SEARCH('Nr rejestracyjny'!$F$5,$F353))),COUNT($H$1:H352)+1,"")</f>
        <v>0</v>
      </c>
      <c r="I353" s="9">
        <f>IF(AND($G353&lt;&gt;"",ISNUMBER(SEARCH('Nr rejestracyjny'!$F$5,$G353))),COUNT($I$1:I352)+1,"")</f>
        <v>0</v>
      </c>
    </row>
    <row r="354" spans="6:9">
      <c r="F354" s="7">
        <f>IF('W rejestracji'!$C$361="","",'W rejestracji'!$C$361)</f>
        <v>0</v>
      </c>
      <c r="G354" s="7">
        <f>IF(Zarejestrowane!$C$361="","",Zarejestrowane!$C$361)</f>
        <v>0</v>
      </c>
      <c r="H354" s="9">
        <f>IF(AND($F354&lt;&gt;"",ISNUMBER(SEARCH('Nr rejestracyjny'!$F$5,$F354))),COUNT($H$1:H353)+1,"")</f>
        <v>0</v>
      </c>
      <c r="I354" s="9">
        <f>IF(AND($G354&lt;&gt;"",ISNUMBER(SEARCH('Nr rejestracyjny'!$F$5,$G354))),COUNT($I$1:I353)+1,"")</f>
        <v>0</v>
      </c>
    </row>
    <row r="355" spans="6:9">
      <c r="F355" s="7">
        <f>IF('W rejestracji'!$C$362="","",'W rejestracji'!$C$362)</f>
        <v>0</v>
      </c>
      <c r="G355" s="7">
        <f>IF(Zarejestrowane!$C$362="","",Zarejestrowane!$C$362)</f>
        <v>0</v>
      </c>
      <c r="H355" s="9">
        <f>IF(AND($F355&lt;&gt;"",ISNUMBER(SEARCH('Nr rejestracyjny'!$F$5,$F355))),COUNT($H$1:H354)+1,"")</f>
        <v>0</v>
      </c>
      <c r="I355" s="9">
        <f>IF(AND($G355&lt;&gt;"",ISNUMBER(SEARCH('Nr rejestracyjny'!$F$5,$G355))),COUNT($I$1:I354)+1,"")</f>
        <v>0</v>
      </c>
    </row>
    <row r="356" spans="6:9">
      <c r="F356" s="7">
        <f>IF('W rejestracji'!$C$363="","",'W rejestracji'!$C$363)</f>
        <v>0</v>
      </c>
      <c r="G356" s="7">
        <f>IF(Zarejestrowane!$C$363="","",Zarejestrowane!$C$363)</f>
        <v>0</v>
      </c>
      <c r="H356" s="9">
        <f>IF(AND($F356&lt;&gt;"",ISNUMBER(SEARCH('Nr rejestracyjny'!$F$5,$F356))),COUNT($H$1:H355)+1,"")</f>
        <v>0</v>
      </c>
      <c r="I356" s="9">
        <f>IF(AND($G356&lt;&gt;"",ISNUMBER(SEARCH('Nr rejestracyjny'!$F$5,$G356))),COUNT($I$1:I355)+1,"")</f>
        <v>0</v>
      </c>
    </row>
    <row r="357" spans="6:9">
      <c r="F357" s="7">
        <f>IF('W rejestracji'!$C$364="","",'W rejestracji'!$C$364)</f>
        <v>0</v>
      </c>
      <c r="G357" s="7">
        <f>IF(Zarejestrowane!$C$364="","",Zarejestrowane!$C$364)</f>
        <v>0</v>
      </c>
      <c r="H357" s="9">
        <f>IF(AND($F357&lt;&gt;"",ISNUMBER(SEARCH('Nr rejestracyjny'!$F$5,$F357))),COUNT($H$1:H356)+1,"")</f>
        <v>0</v>
      </c>
      <c r="I357" s="9">
        <f>IF(AND($G357&lt;&gt;"",ISNUMBER(SEARCH('Nr rejestracyjny'!$F$5,$G357))),COUNT($I$1:I356)+1,"")</f>
        <v>0</v>
      </c>
    </row>
    <row r="358" spans="6:9">
      <c r="F358" s="7">
        <f>IF('W rejestracji'!$C$365="","",'W rejestracji'!$C$365)</f>
        <v>0</v>
      </c>
      <c r="G358" s="7">
        <f>IF(Zarejestrowane!$C$365="","",Zarejestrowane!$C$365)</f>
        <v>0</v>
      </c>
      <c r="H358" s="9">
        <f>IF(AND($F358&lt;&gt;"",ISNUMBER(SEARCH('Nr rejestracyjny'!$F$5,$F358))),COUNT($H$1:H357)+1,"")</f>
        <v>0</v>
      </c>
      <c r="I358" s="9">
        <f>IF(AND($G358&lt;&gt;"",ISNUMBER(SEARCH('Nr rejestracyjny'!$F$5,$G358))),COUNT($I$1:I357)+1,"")</f>
        <v>0</v>
      </c>
    </row>
    <row r="359" spans="6:9">
      <c r="F359" s="7">
        <f>IF('W rejestracji'!$C$366="","",'W rejestracji'!$C$366)</f>
        <v>0</v>
      </c>
      <c r="G359" s="7">
        <f>IF(Zarejestrowane!$C$366="","",Zarejestrowane!$C$366)</f>
        <v>0</v>
      </c>
      <c r="H359" s="9">
        <f>IF(AND($F359&lt;&gt;"",ISNUMBER(SEARCH('Nr rejestracyjny'!$F$5,$F359))),COUNT($H$1:H358)+1,"")</f>
        <v>0</v>
      </c>
      <c r="I359" s="9">
        <f>IF(AND($G359&lt;&gt;"",ISNUMBER(SEARCH('Nr rejestracyjny'!$F$5,$G359))),COUNT($I$1:I358)+1,"")</f>
        <v>0</v>
      </c>
    </row>
    <row r="360" spans="6:9">
      <c r="F360" s="7">
        <f>IF('W rejestracji'!$C$367="","",'W rejestracji'!$C$367)</f>
        <v>0</v>
      </c>
      <c r="G360" s="7">
        <f>IF(Zarejestrowane!$C$367="","",Zarejestrowane!$C$367)</f>
        <v>0</v>
      </c>
      <c r="H360" s="9">
        <f>IF(AND($F360&lt;&gt;"",ISNUMBER(SEARCH('Nr rejestracyjny'!$F$5,$F360))),COUNT($H$1:H359)+1,"")</f>
        <v>0</v>
      </c>
      <c r="I360" s="9">
        <f>IF(AND($G360&lt;&gt;"",ISNUMBER(SEARCH('Nr rejestracyjny'!$F$5,$G360))),COUNT($I$1:I359)+1,"")</f>
        <v>0</v>
      </c>
    </row>
    <row r="361" spans="6:9">
      <c r="F361" s="7">
        <f>IF('W rejestracji'!$C$368="","",'W rejestracji'!$C$368)</f>
        <v>0</v>
      </c>
      <c r="G361" s="7">
        <f>IF(Zarejestrowane!$C$368="","",Zarejestrowane!$C$368)</f>
        <v>0</v>
      </c>
      <c r="H361" s="9">
        <f>IF(AND($F361&lt;&gt;"",ISNUMBER(SEARCH('Nr rejestracyjny'!$F$5,$F361))),COUNT($H$1:H360)+1,"")</f>
        <v>0</v>
      </c>
      <c r="I361" s="9">
        <f>IF(AND($G361&lt;&gt;"",ISNUMBER(SEARCH('Nr rejestracyjny'!$F$5,$G361))),COUNT($I$1:I360)+1,"")</f>
        <v>0</v>
      </c>
    </row>
    <row r="362" spans="6:9">
      <c r="F362" s="7">
        <f>IF('W rejestracji'!$C$369="","",'W rejestracji'!$C$369)</f>
        <v>0</v>
      </c>
      <c r="G362" s="7">
        <f>IF(Zarejestrowane!$C$369="","",Zarejestrowane!$C$369)</f>
        <v>0</v>
      </c>
      <c r="H362" s="9">
        <f>IF(AND($F362&lt;&gt;"",ISNUMBER(SEARCH('Nr rejestracyjny'!$F$5,$F362))),COUNT($H$1:H361)+1,"")</f>
        <v>0</v>
      </c>
      <c r="I362" s="9">
        <f>IF(AND($G362&lt;&gt;"",ISNUMBER(SEARCH('Nr rejestracyjny'!$F$5,$G362))),COUNT($I$1:I361)+1,"")</f>
        <v>0</v>
      </c>
    </row>
    <row r="363" spans="6:9">
      <c r="F363" s="7">
        <f>IF('W rejestracji'!$C$370="","",'W rejestracji'!$C$370)</f>
        <v>0</v>
      </c>
      <c r="G363" s="7">
        <f>IF(Zarejestrowane!$C$370="","",Zarejestrowane!$C$370)</f>
        <v>0</v>
      </c>
      <c r="H363" s="9">
        <f>IF(AND($F363&lt;&gt;"",ISNUMBER(SEARCH('Nr rejestracyjny'!$F$5,$F363))),COUNT($H$1:H362)+1,"")</f>
        <v>0</v>
      </c>
      <c r="I363" s="9">
        <f>IF(AND($G363&lt;&gt;"",ISNUMBER(SEARCH('Nr rejestracyjny'!$F$5,$G363))),COUNT($I$1:I362)+1,"")</f>
        <v>0</v>
      </c>
    </row>
    <row r="364" spans="6:9">
      <c r="F364" s="7">
        <f>IF('W rejestracji'!$C$371="","",'W rejestracji'!$C$371)</f>
        <v>0</v>
      </c>
      <c r="G364" s="7">
        <f>IF(Zarejestrowane!$C$371="","",Zarejestrowane!$C$371)</f>
        <v>0</v>
      </c>
      <c r="H364" s="9">
        <f>IF(AND($F364&lt;&gt;"",ISNUMBER(SEARCH('Nr rejestracyjny'!$F$5,$F364))),COUNT($H$1:H363)+1,"")</f>
        <v>0</v>
      </c>
      <c r="I364" s="9">
        <f>IF(AND($G364&lt;&gt;"",ISNUMBER(SEARCH('Nr rejestracyjny'!$F$5,$G364))),COUNT($I$1:I363)+1,"")</f>
        <v>0</v>
      </c>
    </row>
    <row r="365" spans="6:9">
      <c r="F365" s="7">
        <f>IF('W rejestracji'!$C$372="","",'W rejestracji'!$C$372)</f>
        <v>0</v>
      </c>
      <c r="G365" s="7">
        <f>IF(Zarejestrowane!$C$372="","",Zarejestrowane!$C$372)</f>
        <v>0</v>
      </c>
      <c r="H365" s="9">
        <f>IF(AND($F365&lt;&gt;"",ISNUMBER(SEARCH('Nr rejestracyjny'!$F$5,$F365))),COUNT($H$1:H364)+1,"")</f>
        <v>0</v>
      </c>
      <c r="I365" s="9">
        <f>IF(AND($G365&lt;&gt;"",ISNUMBER(SEARCH('Nr rejestracyjny'!$F$5,$G365))),COUNT($I$1:I364)+1,"")</f>
        <v>0</v>
      </c>
    </row>
    <row r="366" spans="6:9">
      <c r="F366" s="7">
        <f>IF('W rejestracji'!$C$373="","",'W rejestracji'!$C$373)</f>
        <v>0</v>
      </c>
      <c r="G366" s="7">
        <f>IF(Zarejestrowane!$C$373="","",Zarejestrowane!$C$373)</f>
        <v>0</v>
      </c>
      <c r="H366" s="9">
        <f>IF(AND($F366&lt;&gt;"",ISNUMBER(SEARCH('Nr rejestracyjny'!$F$5,$F366))),COUNT($H$1:H365)+1,"")</f>
        <v>0</v>
      </c>
      <c r="I366" s="9">
        <f>IF(AND($G366&lt;&gt;"",ISNUMBER(SEARCH('Nr rejestracyjny'!$F$5,$G366))),COUNT($I$1:I365)+1,"")</f>
        <v>0</v>
      </c>
    </row>
    <row r="367" spans="6:9">
      <c r="F367" s="7">
        <f>IF('W rejestracji'!$C$374="","",'W rejestracji'!$C$374)</f>
        <v>0</v>
      </c>
      <c r="G367" s="7">
        <f>IF(Zarejestrowane!$C$374="","",Zarejestrowane!$C$374)</f>
        <v>0</v>
      </c>
      <c r="H367" s="9">
        <f>IF(AND($F367&lt;&gt;"",ISNUMBER(SEARCH('Nr rejestracyjny'!$F$5,$F367))),COUNT($H$1:H366)+1,"")</f>
        <v>0</v>
      </c>
      <c r="I367" s="9">
        <f>IF(AND($G367&lt;&gt;"",ISNUMBER(SEARCH('Nr rejestracyjny'!$F$5,$G367))),COUNT($I$1:I366)+1,"")</f>
        <v>0</v>
      </c>
    </row>
    <row r="368" spans="6:9">
      <c r="F368" s="7">
        <f>IF('W rejestracji'!$C$375="","",'W rejestracji'!$C$375)</f>
        <v>0</v>
      </c>
      <c r="G368" s="7">
        <f>IF(Zarejestrowane!$C$375="","",Zarejestrowane!$C$375)</f>
        <v>0</v>
      </c>
      <c r="H368" s="9">
        <f>IF(AND($F368&lt;&gt;"",ISNUMBER(SEARCH('Nr rejestracyjny'!$F$5,$F368))),COUNT($H$1:H367)+1,"")</f>
        <v>0</v>
      </c>
      <c r="I368" s="9">
        <f>IF(AND($G368&lt;&gt;"",ISNUMBER(SEARCH('Nr rejestracyjny'!$F$5,$G368))),COUNT($I$1:I367)+1,"")</f>
        <v>0</v>
      </c>
    </row>
    <row r="369" spans="6:9">
      <c r="F369" s="7">
        <f>IF('W rejestracji'!$C$376="","",'W rejestracji'!$C$376)</f>
        <v>0</v>
      </c>
      <c r="G369" s="7">
        <f>IF(Zarejestrowane!$C$376="","",Zarejestrowane!$C$376)</f>
        <v>0</v>
      </c>
      <c r="H369" s="9">
        <f>IF(AND($F369&lt;&gt;"",ISNUMBER(SEARCH('Nr rejestracyjny'!$F$5,$F369))),COUNT($H$1:H368)+1,"")</f>
        <v>0</v>
      </c>
      <c r="I369" s="9">
        <f>IF(AND($G369&lt;&gt;"",ISNUMBER(SEARCH('Nr rejestracyjny'!$F$5,$G369))),COUNT($I$1:I368)+1,"")</f>
        <v>0</v>
      </c>
    </row>
    <row r="370" spans="6:9">
      <c r="F370" s="7">
        <f>IF('W rejestracji'!$C$377="","",'W rejestracji'!$C$377)</f>
        <v>0</v>
      </c>
      <c r="G370" s="7">
        <f>IF(Zarejestrowane!$C$377="","",Zarejestrowane!$C$377)</f>
        <v>0</v>
      </c>
      <c r="H370" s="9">
        <f>IF(AND($F370&lt;&gt;"",ISNUMBER(SEARCH('Nr rejestracyjny'!$F$5,$F370))),COUNT($H$1:H369)+1,"")</f>
        <v>0</v>
      </c>
      <c r="I370" s="9">
        <f>IF(AND($G370&lt;&gt;"",ISNUMBER(SEARCH('Nr rejestracyjny'!$F$5,$G370))),COUNT($I$1:I369)+1,"")</f>
        <v>0</v>
      </c>
    </row>
    <row r="371" spans="6:9">
      <c r="F371" s="7">
        <f>IF('W rejestracji'!$C$378="","",'W rejestracji'!$C$378)</f>
        <v>0</v>
      </c>
      <c r="G371" s="7">
        <f>IF(Zarejestrowane!$C$378="","",Zarejestrowane!$C$378)</f>
        <v>0</v>
      </c>
      <c r="H371" s="9">
        <f>IF(AND($F371&lt;&gt;"",ISNUMBER(SEARCH('Nr rejestracyjny'!$F$5,$F371))),COUNT($H$1:H370)+1,"")</f>
        <v>0</v>
      </c>
      <c r="I371" s="9">
        <f>IF(AND($G371&lt;&gt;"",ISNUMBER(SEARCH('Nr rejestracyjny'!$F$5,$G371))),COUNT($I$1:I370)+1,"")</f>
        <v>0</v>
      </c>
    </row>
    <row r="372" spans="6:9">
      <c r="F372" s="7">
        <f>IF('W rejestracji'!$C$379="","",'W rejestracji'!$C$379)</f>
        <v>0</v>
      </c>
      <c r="G372" s="7">
        <f>IF(Zarejestrowane!$C$379="","",Zarejestrowane!$C$379)</f>
        <v>0</v>
      </c>
      <c r="H372" s="9">
        <f>IF(AND($F372&lt;&gt;"",ISNUMBER(SEARCH('Nr rejestracyjny'!$F$5,$F372))),COUNT($H$1:H371)+1,"")</f>
        <v>0</v>
      </c>
      <c r="I372" s="9">
        <f>IF(AND($G372&lt;&gt;"",ISNUMBER(SEARCH('Nr rejestracyjny'!$F$5,$G372))),COUNT($I$1:I371)+1,"")</f>
        <v>0</v>
      </c>
    </row>
    <row r="373" spans="6:9">
      <c r="F373" s="7">
        <f>IF('W rejestracji'!$C$380="","",'W rejestracji'!$C$380)</f>
        <v>0</v>
      </c>
      <c r="G373" s="7">
        <f>IF(Zarejestrowane!$C$380="","",Zarejestrowane!$C$380)</f>
        <v>0</v>
      </c>
      <c r="H373" s="9">
        <f>IF(AND($F373&lt;&gt;"",ISNUMBER(SEARCH('Nr rejestracyjny'!$F$5,$F373))),COUNT($H$1:H372)+1,"")</f>
        <v>0</v>
      </c>
      <c r="I373" s="9">
        <f>IF(AND($G373&lt;&gt;"",ISNUMBER(SEARCH('Nr rejestracyjny'!$F$5,$G373))),COUNT($I$1:I372)+1,"")</f>
        <v>0</v>
      </c>
    </row>
    <row r="374" spans="6:9">
      <c r="F374" s="7">
        <f>IF('W rejestracji'!$C$381="","",'W rejestracji'!$C$381)</f>
        <v>0</v>
      </c>
      <c r="G374" s="7">
        <f>IF(Zarejestrowane!$C$381="","",Zarejestrowane!$C$381)</f>
        <v>0</v>
      </c>
      <c r="H374" s="9">
        <f>IF(AND($F374&lt;&gt;"",ISNUMBER(SEARCH('Nr rejestracyjny'!$F$5,$F374))),COUNT($H$1:H373)+1,"")</f>
        <v>0</v>
      </c>
      <c r="I374" s="9">
        <f>IF(AND($G374&lt;&gt;"",ISNUMBER(SEARCH('Nr rejestracyjny'!$F$5,$G374))),COUNT($I$1:I373)+1,"")</f>
        <v>0</v>
      </c>
    </row>
    <row r="375" spans="6:9">
      <c r="F375" s="7">
        <f>IF('W rejestracji'!$C$382="","",'W rejestracji'!$C$382)</f>
        <v>0</v>
      </c>
      <c r="G375" s="7">
        <f>IF(Zarejestrowane!$C$382="","",Zarejestrowane!$C$382)</f>
        <v>0</v>
      </c>
      <c r="H375" s="9">
        <f>IF(AND($F375&lt;&gt;"",ISNUMBER(SEARCH('Nr rejestracyjny'!$F$5,$F375))),COUNT($H$1:H374)+1,"")</f>
        <v>0</v>
      </c>
      <c r="I375" s="9">
        <f>IF(AND($G375&lt;&gt;"",ISNUMBER(SEARCH('Nr rejestracyjny'!$F$5,$G375))),COUNT($I$1:I374)+1,"")</f>
        <v>0</v>
      </c>
    </row>
    <row r="376" spans="6:9">
      <c r="F376" s="7">
        <f>IF('W rejestracji'!$C$383="","",'W rejestracji'!$C$383)</f>
        <v>0</v>
      </c>
      <c r="G376" s="7">
        <f>IF(Zarejestrowane!$C$383="","",Zarejestrowane!$C$383)</f>
        <v>0</v>
      </c>
      <c r="H376" s="9">
        <f>IF(AND($F376&lt;&gt;"",ISNUMBER(SEARCH('Nr rejestracyjny'!$F$5,$F376))),COUNT($H$1:H375)+1,"")</f>
        <v>0</v>
      </c>
      <c r="I376" s="9">
        <f>IF(AND($G376&lt;&gt;"",ISNUMBER(SEARCH('Nr rejestracyjny'!$F$5,$G376))),COUNT($I$1:I375)+1,"")</f>
        <v>0</v>
      </c>
    </row>
    <row r="377" spans="6:9">
      <c r="F377" s="7">
        <f>IF('W rejestracji'!$C$384="","",'W rejestracji'!$C$384)</f>
        <v>0</v>
      </c>
      <c r="G377" s="7">
        <f>IF(Zarejestrowane!$C$384="","",Zarejestrowane!$C$384)</f>
        <v>0</v>
      </c>
      <c r="H377" s="9">
        <f>IF(AND($F377&lt;&gt;"",ISNUMBER(SEARCH('Nr rejestracyjny'!$F$5,$F377))),COUNT($H$1:H376)+1,"")</f>
        <v>0</v>
      </c>
      <c r="I377" s="9">
        <f>IF(AND($G377&lt;&gt;"",ISNUMBER(SEARCH('Nr rejestracyjny'!$F$5,$G377))),COUNT($I$1:I376)+1,"")</f>
        <v>0</v>
      </c>
    </row>
    <row r="378" spans="6:9">
      <c r="F378" s="7">
        <f>IF('W rejestracji'!$C$385="","",'W rejestracji'!$C$385)</f>
        <v>0</v>
      </c>
      <c r="G378" s="7">
        <f>IF(Zarejestrowane!$C$385="","",Zarejestrowane!$C$385)</f>
        <v>0</v>
      </c>
      <c r="H378" s="9">
        <f>IF(AND($F378&lt;&gt;"",ISNUMBER(SEARCH('Nr rejestracyjny'!$F$5,$F378))),COUNT($H$1:H377)+1,"")</f>
        <v>0</v>
      </c>
      <c r="I378" s="9">
        <f>IF(AND($G378&lt;&gt;"",ISNUMBER(SEARCH('Nr rejestracyjny'!$F$5,$G378))),COUNT($I$1:I377)+1,"")</f>
        <v>0</v>
      </c>
    </row>
    <row r="379" spans="6:9">
      <c r="F379" s="7">
        <f>IF('W rejestracji'!$C$386="","",'W rejestracji'!$C$386)</f>
        <v>0</v>
      </c>
      <c r="G379" s="7">
        <f>IF(Zarejestrowane!$C$386="","",Zarejestrowane!$C$386)</f>
        <v>0</v>
      </c>
      <c r="H379" s="9">
        <f>IF(AND($F379&lt;&gt;"",ISNUMBER(SEARCH('Nr rejestracyjny'!$F$5,$F379))),COUNT($H$1:H378)+1,"")</f>
        <v>0</v>
      </c>
      <c r="I379" s="9">
        <f>IF(AND($G379&lt;&gt;"",ISNUMBER(SEARCH('Nr rejestracyjny'!$F$5,$G379))),COUNT($I$1:I378)+1,"")</f>
        <v>0</v>
      </c>
    </row>
    <row r="380" spans="6:9">
      <c r="F380" s="7">
        <f>IF('W rejestracji'!$C$387="","",'W rejestracji'!$C$387)</f>
        <v>0</v>
      </c>
      <c r="G380" s="7">
        <f>IF(Zarejestrowane!$C$387="","",Zarejestrowane!$C$387)</f>
        <v>0</v>
      </c>
      <c r="H380" s="9">
        <f>IF(AND($F380&lt;&gt;"",ISNUMBER(SEARCH('Nr rejestracyjny'!$F$5,$F380))),COUNT($H$1:H379)+1,"")</f>
        <v>0</v>
      </c>
      <c r="I380" s="9">
        <f>IF(AND($G380&lt;&gt;"",ISNUMBER(SEARCH('Nr rejestracyjny'!$F$5,$G380))),COUNT($I$1:I379)+1,"")</f>
        <v>0</v>
      </c>
    </row>
    <row r="381" spans="6:9">
      <c r="F381" s="7">
        <f>IF('W rejestracji'!$C$388="","",'W rejestracji'!$C$388)</f>
        <v>0</v>
      </c>
      <c r="G381" s="7">
        <f>IF(Zarejestrowane!$C$388="","",Zarejestrowane!$C$388)</f>
        <v>0</v>
      </c>
      <c r="H381" s="9">
        <f>IF(AND($F381&lt;&gt;"",ISNUMBER(SEARCH('Nr rejestracyjny'!$F$5,$F381))),COUNT($H$1:H380)+1,"")</f>
        <v>0</v>
      </c>
      <c r="I381" s="9">
        <f>IF(AND($G381&lt;&gt;"",ISNUMBER(SEARCH('Nr rejestracyjny'!$F$5,$G381))),COUNT($I$1:I380)+1,"")</f>
        <v>0</v>
      </c>
    </row>
    <row r="382" spans="6:9">
      <c r="F382" s="7">
        <f>IF('W rejestracji'!$C$389="","",'W rejestracji'!$C$389)</f>
        <v>0</v>
      </c>
      <c r="G382" s="7">
        <f>IF(Zarejestrowane!$C$389="","",Zarejestrowane!$C$389)</f>
        <v>0</v>
      </c>
      <c r="H382" s="9">
        <f>IF(AND($F382&lt;&gt;"",ISNUMBER(SEARCH('Nr rejestracyjny'!$F$5,$F382))),COUNT($H$1:H381)+1,"")</f>
        <v>0</v>
      </c>
      <c r="I382" s="9">
        <f>IF(AND($G382&lt;&gt;"",ISNUMBER(SEARCH('Nr rejestracyjny'!$F$5,$G382))),COUNT($I$1:I381)+1,"")</f>
        <v>0</v>
      </c>
    </row>
    <row r="383" spans="6:9">
      <c r="F383" s="7">
        <f>IF('W rejestracji'!$C$390="","",'W rejestracji'!$C$390)</f>
        <v>0</v>
      </c>
      <c r="G383" s="7">
        <f>IF(Zarejestrowane!$C$390="","",Zarejestrowane!$C$390)</f>
        <v>0</v>
      </c>
      <c r="H383" s="9">
        <f>IF(AND($F383&lt;&gt;"",ISNUMBER(SEARCH('Nr rejestracyjny'!$F$5,$F383))),COUNT($H$1:H382)+1,"")</f>
        <v>0</v>
      </c>
      <c r="I383" s="9">
        <f>IF(AND($G383&lt;&gt;"",ISNUMBER(SEARCH('Nr rejestracyjny'!$F$5,$G383))),COUNT($I$1:I382)+1,"")</f>
        <v>0</v>
      </c>
    </row>
    <row r="384" spans="6:9">
      <c r="F384" s="7">
        <f>IF('W rejestracji'!$C$391="","",'W rejestracji'!$C$391)</f>
        <v>0</v>
      </c>
      <c r="G384" s="7">
        <f>IF(Zarejestrowane!$C$391="","",Zarejestrowane!$C$391)</f>
        <v>0</v>
      </c>
      <c r="H384" s="9">
        <f>IF(AND($F384&lt;&gt;"",ISNUMBER(SEARCH('Nr rejestracyjny'!$F$5,$F384))),COUNT($H$1:H383)+1,"")</f>
        <v>0</v>
      </c>
      <c r="I384" s="9">
        <f>IF(AND($G384&lt;&gt;"",ISNUMBER(SEARCH('Nr rejestracyjny'!$F$5,$G384))),COUNT($I$1:I383)+1,"")</f>
        <v>0</v>
      </c>
    </row>
    <row r="385" spans="6:9">
      <c r="F385" s="7">
        <f>IF('W rejestracji'!$C$392="","",'W rejestracji'!$C$392)</f>
        <v>0</v>
      </c>
      <c r="G385" s="7">
        <f>IF(Zarejestrowane!$C$392="","",Zarejestrowane!$C$392)</f>
        <v>0</v>
      </c>
      <c r="H385" s="9">
        <f>IF(AND($F385&lt;&gt;"",ISNUMBER(SEARCH('Nr rejestracyjny'!$F$5,$F385))),COUNT($H$1:H384)+1,"")</f>
        <v>0</v>
      </c>
      <c r="I385" s="9">
        <f>IF(AND($G385&lt;&gt;"",ISNUMBER(SEARCH('Nr rejestracyjny'!$F$5,$G385))),COUNT($I$1:I384)+1,"")</f>
        <v>0</v>
      </c>
    </row>
    <row r="386" spans="6:9">
      <c r="F386" s="7">
        <f>IF('W rejestracji'!$C$393="","",'W rejestracji'!$C$393)</f>
        <v>0</v>
      </c>
      <c r="G386" s="7">
        <f>IF(Zarejestrowane!$C$393="","",Zarejestrowane!$C$393)</f>
        <v>0</v>
      </c>
      <c r="H386" s="9">
        <f>IF(AND($F386&lt;&gt;"",ISNUMBER(SEARCH('Nr rejestracyjny'!$F$5,$F386))),COUNT($H$1:H385)+1,"")</f>
        <v>0</v>
      </c>
      <c r="I386" s="9">
        <f>IF(AND($G386&lt;&gt;"",ISNUMBER(SEARCH('Nr rejestracyjny'!$F$5,$G386))),COUNT($I$1:I385)+1,"")</f>
        <v>0</v>
      </c>
    </row>
    <row r="387" spans="6:9">
      <c r="F387" s="7">
        <f>IF('W rejestracji'!$C$394="","",'W rejestracji'!$C$394)</f>
        <v>0</v>
      </c>
      <c r="G387" s="7">
        <f>IF(Zarejestrowane!$C$394="","",Zarejestrowane!$C$394)</f>
        <v>0</v>
      </c>
      <c r="H387" s="9">
        <f>IF(AND($F387&lt;&gt;"",ISNUMBER(SEARCH('Nr rejestracyjny'!$F$5,$F387))),COUNT($H$1:H386)+1,"")</f>
        <v>0</v>
      </c>
      <c r="I387" s="9">
        <f>IF(AND($G387&lt;&gt;"",ISNUMBER(SEARCH('Nr rejestracyjny'!$F$5,$G387))),COUNT($I$1:I386)+1,"")</f>
        <v>0</v>
      </c>
    </row>
    <row r="388" spans="6:9">
      <c r="F388" s="7">
        <f>IF('W rejestracji'!$C$395="","",'W rejestracji'!$C$395)</f>
        <v>0</v>
      </c>
      <c r="G388" s="7">
        <f>IF(Zarejestrowane!$C$395="","",Zarejestrowane!$C$395)</f>
        <v>0</v>
      </c>
      <c r="H388" s="9">
        <f>IF(AND($F388&lt;&gt;"",ISNUMBER(SEARCH('Nr rejestracyjny'!$F$5,$F388))),COUNT($H$1:H387)+1,"")</f>
        <v>0</v>
      </c>
      <c r="I388" s="9">
        <f>IF(AND($G388&lt;&gt;"",ISNUMBER(SEARCH('Nr rejestracyjny'!$F$5,$G388))),COUNT($I$1:I387)+1,"")</f>
        <v>0</v>
      </c>
    </row>
    <row r="389" spans="6:9">
      <c r="F389" s="7">
        <f>IF('W rejestracji'!$C$396="","",'W rejestracji'!$C$396)</f>
        <v>0</v>
      </c>
      <c r="G389" s="7">
        <f>IF(Zarejestrowane!$C$396="","",Zarejestrowane!$C$396)</f>
        <v>0</v>
      </c>
      <c r="H389" s="9">
        <f>IF(AND($F389&lt;&gt;"",ISNUMBER(SEARCH('Nr rejestracyjny'!$F$5,$F389))),COUNT($H$1:H388)+1,"")</f>
        <v>0</v>
      </c>
      <c r="I389" s="9">
        <f>IF(AND($G389&lt;&gt;"",ISNUMBER(SEARCH('Nr rejestracyjny'!$F$5,$G389))),COUNT($I$1:I388)+1,"")</f>
        <v>0</v>
      </c>
    </row>
    <row r="390" spans="6:9">
      <c r="F390" s="7">
        <f>IF('W rejestracji'!$C$397="","",'W rejestracji'!$C$397)</f>
        <v>0</v>
      </c>
      <c r="G390" s="7">
        <f>IF(Zarejestrowane!$C$397="","",Zarejestrowane!$C$397)</f>
        <v>0</v>
      </c>
      <c r="H390" s="9">
        <f>IF(AND($F390&lt;&gt;"",ISNUMBER(SEARCH('Nr rejestracyjny'!$F$5,$F390))),COUNT($H$1:H389)+1,"")</f>
        <v>0</v>
      </c>
      <c r="I390" s="9">
        <f>IF(AND($G390&lt;&gt;"",ISNUMBER(SEARCH('Nr rejestracyjny'!$F$5,$G390))),COUNT($I$1:I389)+1,"")</f>
        <v>0</v>
      </c>
    </row>
    <row r="391" spans="6:9">
      <c r="F391" s="7">
        <f>IF('W rejestracji'!$C$398="","",'W rejestracji'!$C$398)</f>
        <v>0</v>
      </c>
      <c r="G391" s="7">
        <f>IF(Zarejestrowane!$C$398="","",Zarejestrowane!$C$398)</f>
        <v>0</v>
      </c>
      <c r="H391" s="9">
        <f>IF(AND($F391&lt;&gt;"",ISNUMBER(SEARCH('Nr rejestracyjny'!$F$5,$F391))),COUNT($H$1:H390)+1,"")</f>
        <v>0</v>
      </c>
      <c r="I391" s="9">
        <f>IF(AND($G391&lt;&gt;"",ISNUMBER(SEARCH('Nr rejestracyjny'!$F$5,$G391))),COUNT($I$1:I390)+1,"")</f>
        <v>0</v>
      </c>
    </row>
    <row r="392" spans="6:9">
      <c r="F392" s="7">
        <f>IF('W rejestracji'!$C$399="","",'W rejestracji'!$C$399)</f>
        <v>0</v>
      </c>
      <c r="G392" s="7">
        <f>IF(Zarejestrowane!$C$399="","",Zarejestrowane!$C$399)</f>
        <v>0</v>
      </c>
      <c r="H392" s="9">
        <f>IF(AND($F392&lt;&gt;"",ISNUMBER(SEARCH('Nr rejestracyjny'!$F$5,$F392))),COUNT($H$1:H391)+1,"")</f>
        <v>0</v>
      </c>
      <c r="I392" s="9">
        <f>IF(AND($G392&lt;&gt;"",ISNUMBER(SEARCH('Nr rejestracyjny'!$F$5,$G392))),COUNT($I$1:I391)+1,"")</f>
        <v>0</v>
      </c>
    </row>
    <row r="393" spans="6:9">
      <c r="F393" s="7">
        <f>IF('W rejestracji'!$C$400="","",'W rejestracji'!$C$400)</f>
        <v>0</v>
      </c>
      <c r="G393" s="7">
        <f>IF(Zarejestrowane!$C$400="","",Zarejestrowane!$C$400)</f>
        <v>0</v>
      </c>
      <c r="H393" s="9">
        <f>IF(AND($F393&lt;&gt;"",ISNUMBER(SEARCH('Nr rejestracyjny'!$F$5,$F393))),COUNT($H$1:H392)+1,"")</f>
        <v>0</v>
      </c>
      <c r="I393" s="9">
        <f>IF(AND($G393&lt;&gt;"",ISNUMBER(SEARCH('Nr rejestracyjny'!$F$5,$G393))),COUNT($I$1:I392)+1,"")</f>
        <v>0</v>
      </c>
    </row>
    <row r="394" spans="6:9">
      <c r="F394" s="7">
        <f>IF('W rejestracji'!$C$401="","",'W rejestracji'!$C$401)</f>
        <v>0</v>
      </c>
      <c r="G394" s="7">
        <f>IF(Zarejestrowane!$C$401="","",Zarejestrowane!$C$401)</f>
        <v>0</v>
      </c>
      <c r="H394" s="9">
        <f>IF(AND($F394&lt;&gt;"",ISNUMBER(SEARCH('Nr rejestracyjny'!$F$5,$F394))),COUNT($H$1:H393)+1,"")</f>
        <v>0</v>
      </c>
      <c r="I394" s="9">
        <f>IF(AND($G394&lt;&gt;"",ISNUMBER(SEARCH('Nr rejestracyjny'!$F$5,$G394))),COUNT($I$1:I393)+1,"")</f>
        <v>0</v>
      </c>
    </row>
    <row r="395" spans="6:9">
      <c r="F395" s="7">
        <f>IF('W rejestracji'!$C$402="","",'W rejestracji'!$C$402)</f>
        <v>0</v>
      </c>
      <c r="G395" s="7">
        <f>IF(Zarejestrowane!$C$402="","",Zarejestrowane!$C$402)</f>
        <v>0</v>
      </c>
      <c r="H395" s="9">
        <f>IF(AND($F395&lt;&gt;"",ISNUMBER(SEARCH('Nr rejestracyjny'!$F$5,$F395))),COUNT($H$1:H394)+1,"")</f>
        <v>0</v>
      </c>
      <c r="I395" s="9">
        <f>IF(AND($G395&lt;&gt;"",ISNUMBER(SEARCH('Nr rejestracyjny'!$F$5,$G395))),COUNT($I$1:I394)+1,"")</f>
        <v>0</v>
      </c>
    </row>
    <row r="396" spans="6:9">
      <c r="F396" s="7">
        <f>IF('W rejestracji'!$C$403="","",'W rejestracji'!$C$403)</f>
        <v>0</v>
      </c>
      <c r="G396" s="7">
        <f>IF(Zarejestrowane!$C$403="","",Zarejestrowane!$C$403)</f>
        <v>0</v>
      </c>
      <c r="H396" s="9">
        <f>IF(AND($F396&lt;&gt;"",ISNUMBER(SEARCH('Nr rejestracyjny'!$F$5,$F396))),COUNT($H$1:H395)+1,"")</f>
        <v>0</v>
      </c>
      <c r="I396" s="9">
        <f>IF(AND($G396&lt;&gt;"",ISNUMBER(SEARCH('Nr rejestracyjny'!$F$5,$G396))),COUNT($I$1:I395)+1,"")</f>
        <v>0</v>
      </c>
    </row>
    <row r="397" spans="6:9">
      <c r="F397" s="7">
        <f>IF('W rejestracji'!$C$404="","",'W rejestracji'!$C$404)</f>
        <v>0</v>
      </c>
      <c r="G397" s="7">
        <f>IF(Zarejestrowane!$C$404="","",Zarejestrowane!$C$404)</f>
        <v>0</v>
      </c>
      <c r="H397" s="9">
        <f>IF(AND($F397&lt;&gt;"",ISNUMBER(SEARCH('Nr rejestracyjny'!$F$5,$F397))),COUNT($H$1:H396)+1,"")</f>
        <v>0</v>
      </c>
      <c r="I397" s="9">
        <f>IF(AND($G397&lt;&gt;"",ISNUMBER(SEARCH('Nr rejestracyjny'!$F$5,$G397))),COUNT($I$1:I396)+1,"")</f>
        <v>0</v>
      </c>
    </row>
    <row r="398" spans="6:9">
      <c r="F398" s="7">
        <f>IF('W rejestracji'!$C$405="","",'W rejestracji'!$C$405)</f>
        <v>0</v>
      </c>
      <c r="G398" s="7">
        <f>IF(Zarejestrowane!$C$405="","",Zarejestrowane!$C$405)</f>
        <v>0</v>
      </c>
      <c r="H398" s="9">
        <f>IF(AND($F398&lt;&gt;"",ISNUMBER(SEARCH('Nr rejestracyjny'!$F$5,$F398))),COUNT($H$1:H397)+1,"")</f>
        <v>0</v>
      </c>
      <c r="I398" s="9">
        <f>IF(AND($G398&lt;&gt;"",ISNUMBER(SEARCH('Nr rejestracyjny'!$F$5,$G398))),COUNT($I$1:I397)+1,"")</f>
        <v>0</v>
      </c>
    </row>
    <row r="399" spans="6:9">
      <c r="F399" s="7">
        <f>IF('W rejestracji'!$C$406="","",'W rejestracji'!$C$406)</f>
        <v>0</v>
      </c>
      <c r="G399" s="7">
        <f>IF(Zarejestrowane!$C$406="","",Zarejestrowane!$C$406)</f>
        <v>0</v>
      </c>
      <c r="H399" s="9">
        <f>IF(AND($F399&lt;&gt;"",ISNUMBER(SEARCH('Nr rejestracyjny'!$F$5,$F399))),COUNT($H$1:H398)+1,"")</f>
        <v>0</v>
      </c>
      <c r="I399" s="9">
        <f>IF(AND($G399&lt;&gt;"",ISNUMBER(SEARCH('Nr rejestracyjny'!$F$5,$G399))),COUNT($I$1:I398)+1,"")</f>
        <v>0</v>
      </c>
    </row>
    <row r="400" spans="6:9">
      <c r="F400" s="7">
        <f>IF('W rejestracji'!$C$407="","",'W rejestracji'!$C$407)</f>
        <v>0</v>
      </c>
      <c r="G400" s="7">
        <f>IF(Zarejestrowane!$C$407="","",Zarejestrowane!$C$407)</f>
        <v>0</v>
      </c>
      <c r="H400" s="9">
        <f>IF(AND($F400&lt;&gt;"",ISNUMBER(SEARCH('Nr rejestracyjny'!$F$5,$F400))),COUNT($H$1:H399)+1,"")</f>
        <v>0</v>
      </c>
      <c r="I400" s="9">
        <f>IF(AND($G400&lt;&gt;"",ISNUMBER(SEARCH('Nr rejestracyjny'!$F$5,$G400))),COUNT($I$1:I399)+1,"")</f>
        <v>0</v>
      </c>
    </row>
    <row r="401" spans="6:9">
      <c r="F401" s="7">
        <f>IF('W rejestracji'!$C$408="","",'W rejestracji'!$C$408)</f>
        <v>0</v>
      </c>
      <c r="G401" s="7">
        <f>IF(Zarejestrowane!$C$408="","",Zarejestrowane!$C$408)</f>
        <v>0</v>
      </c>
      <c r="H401" s="9">
        <f>IF(AND($F401&lt;&gt;"",ISNUMBER(SEARCH('Nr rejestracyjny'!$F$5,$F401))),COUNT($H$1:H400)+1,"")</f>
        <v>0</v>
      </c>
      <c r="I401" s="9">
        <f>IF(AND($G401&lt;&gt;"",ISNUMBER(SEARCH('Nr rejestracyjny'!$F$5,$G401))),COUNT($I$1:I400)+1,"")</f>
        <v>0</v>
      </c>
    </row>
    <row r="402" spans="6:9">
      <c r="F402" s="7">
        <f>IF('W rejestracji'!$C$409="","",'W rejestracji'!$C$409)</f>
        <v>0</v>
      </c>
      <c r="G402" s="7">
        <f>IF(Zarejestrowane!$C$409="","",Zarejestrowane!$C$409)</f>
        <v>0</v>
      </c>
      <c r="H402" s="9">
        <f>IF(AND($F402&lt;&gt;"",ISNUMBER(SEARCH('Nr rejestracyjny'!$F$5,$F402))),COUNT($H$1:H401)+1,"")</f>
        <v>0</v>
      </c>
      <c r="I402" s="9">
        <f>IF(AND($G402&lt;&gt;"",ISNUMBER(SEARCH('Nr rejestracyjny'!$F$5,$G402))),COUNT($I$1:I401)+1,"")</f>
        <v>0</v>
      </c>
    </row>
    <row r="403" spans="6:9">
      <c r="F403" s="7">
        <f>IF('W rejestracji'!$C$410="","",'W rejestracji'!$C$410)</f>
        <v>0</v>
      </c>
      <c r="G403" s="7">
        <f>IF(Zarejestrowane!$C$410="","",Zarejestrowane!$C$410)</f>
        <v>0</v>
      </c>
      <c r="H403" s="9">
        <f>IF(AND($F403&lt;&gt;"",ISNUMBER(SEARCH('Nr rejestracyjny'!$F$5,$F403))),COUNT($H$1:H402)+1,"")</f>
        <v>0</v>
      </c>
      <c r="I403" s="9">
        <f>IF(AND($G403&lt;&gt;"",ISNUMBER(SEARCH('Nr rejestracyjny'!$F$5,$G403))),COUNT($I$1:I402)+1,"")</f>
        <v>0</v>
      </c>
    </row>
    <row r="404" spans="6:9">
      <c r="F404" s="7">
        <f>IF('W rejestracji'!$C$411="","",'W rejestracji'!$C$411)</f>
        <v>0</v>
      </c>
      <c r="G404" s="7">
        <f>IF(Zarejestrowane!$C$411="","",Zarejestrowane!$C$411)</f>
        <v>0</v>
      </c>
      <c r="H404" s="9">
        <f>IF(AND($F404&lt;&gt;"",ISNUMBER(SEARCH('Nr rejestracyjny'!$F$5,$F404))),COUNT($H$1:H403)+1,"")</f>
        <v>0</v>
      </c>
      <c r="I404" s="9">
        <f>IF(AND($G404&lt;&gt;"",ISNUMBER(SEARCH('Nr rejestracyjny'!$F$5,$G404))),COUNT($I$1:I403)+1,"")</f>
        <v>0</v>
      </c>
    </row>
    <row r="405" spans="6:9">
      <c r="F405" s="7">
        <f>IF('W rejestracji'!$C$412="","",'W rejestracji'!$C$412)</f>
        <v>0</v>
      </c>
      <c r="G405" s="7">
        <f>IF(Zarejestrowane!$C$412="","",Zarejestrowane!$C$412)</f>
        <v>0</v>
      </c>
      <c r="H405" s="9">
        <f>IF(AND($F405&lt;&gt;"",ISNUMBER(SEARCH('Nr rejestracyjny'!$F$5,$F405))),COUNT($H$1:H404)+1,"")</f>
        <v>0</v>
      </c>
      <c r="I405" s="9">
        <f>IF(AND($G405&lt;&gt;"",ISNUMBER(SEARCH('Nr rejestracyjny'!$F$5,$G405))),COUNT($I$1:I404)+1,"")</f>
        <v>0</v>
      </c>
    </row>
    <row r="406" spans="6:9">
      <c r="F406" s="7">
        <f>IF('W rejestracji'!$C$413="","",'W rejestracji'!$C$413)</f>
        <v>0</v>
      </c>
      <c r="G406" s="7">
        <f>IF(Zarejestrowane!$C$413="","",Zarejestrowane!$C$413)</f>
        <v>0</v>
      </c>
      <c r="H406" s="9">
        <f>IF(AND($F406&lt;&gt;"",ISNUMBER(SEARCH('Nr rejestracyjny'!$F$5,$F406))),COUNT($H$1:H405)+1,"")</f>
        <v>0</v>
      </c>
      <c r="I406" s="9">
        <f>IF(AND($G406&lt;&gt;"",ISNUMBER(SEARCH('Nr rejestracyjny'!$F$5,$G406))),COUNT($I$1:I405)+1,"")</f>
        <v>0</v>
      </c>
    </row>
    <row r="407" spans="6:9">
      <c r="F407" s="7">
        <f>IF('W rejestracji'!$C$414="","",'W rejestracji'!$C$414)</f>
        <v>0</v>
      </c>
      <c r="G407" s="7">
        <f>IF(Zarejestrowane!$C$414="","",Zarejestrowane!$C$414)</f>
        <v>0</v>
      </c>
      <c r="H407" s="9">
        <f>IF(AND($F407&lt;&gt;"",ISNUMBER(SEARCH('Nr rejestracyjny'!$F$5,$F407))),COUNT($H$1:H406)+1,"")</f>
        <v>0</v>
      </c>
      <c r="I407" s="9">
        <f>IF(AND($G407&lt;&gt;"",ISNUMBER(SEARCH('Nr rejestracyjny'!$F$5,$G407))),COUNT($I$1:I406)+1,"")</f>
        <v>0</v>
      </c>
    </row>
    <row r="408" spans="6:9">
      <c r="F408" s="7">
        <f>IF('W rejestracji'!$C$415="","",'W rejestracji'!$C$415)</f>
        <v>0</v>
      </c>
      <c r="G408" s="7">
        <f>IF(Zarejestrowane!$C$415="","",Zarejestrowane!$C$415)</f>
        <v>0</v>
      </c>
      <c r="H408" s="9">
        <f>IF(AND($F408&lt;&gt;"",ISNUMBER(SEARCH('Nr rejestracyjny'!$F$5,$F408))),COUNT($H$1:H407)+1,"")</f>
        <v>0</v>
      </c>
      <c r="I408" s="9">
        <f>IF(AND($G408&lt;&gt;"",ISNUMBER(SEARCH('Nr rejestracyjny'!$F$5,$G408))),COUNT($I$1:I407)+1,"")</f>
        <v>0</v>
      </c>
    </row>
    <row r="409" spans="6:9">
      <c r="F409" s="7">
        <f>IF('W rejestracji'!$C$416="","",'W rejestracji'!$C$416)</f>
        <v>0</v>
      </c>
      <c r="G409" s="7">
        <f>IF(Zarejestrowane!$C$416="","",Zarejestrowane!$C$416)</f>
        <v>0</v>
      </c>
      <c r="H409" s="9">
        <f>IF(AND($F409&lt;&gt;"",ISNUMBER(SEARCH('Nr rejestracyjny'!$F$5,$F409))),COUNT($H$1:H408)+1,"")</f>
        <v>0</v>
      </c>
      <c r="I409" s="9">
        <f>IF(AND($G409&lt;&gt;"",ISNUMBER(SEARCH('Nr rejestracyjny'!$F$5,$G409))),COUNT($I$1:I408)+1,"")</f>
        <v>0</v>
      </c>
    </row>
    <row r="410" spans="6:9">
      <c r="F410" s="7">
        <f>IF('W rejestracji'!$C$417="","",'W rejestracji'!$C$417)</f>
        <v>0</v>
      </c>
      <c r="G410" s="7">
        <f>IF(Zarejestrowane!$C$417="","",Zarejestrowane!$C$417)</f>
        <v>0</v>
      </c>
      <c r="H410" s="9">
        <f>IF(AND($F410&lt;&gt;"",ISNUMBER(SEARCH('Nr rejestracyjny'!$F$5,$F410))),COUNT($H$1:H409)+1,"")</f>
        <v>0</v>
      </c>
      <c r="I410" s="9">
        <f>IF(AND($G410&lt;&gt;"",ISNUMBER(SEARCH('Nr rejestracyjny'!$F$5,$G410))),COUNT($I$1:I409)+1,"")</f>
        <v>0</v>
      </c>
    </row>
    <row r="411" spans="6:9">
      <c r="F411" s="7">
        <f>IF('W rejestracji'!$C$418="","",'W rejestracji'!$C$418)</f>
        <v>0</v>
      </c>
      <c r="G411" s="7">
        <f>IF(Zarejestrowane!$C$418="","",Zarejestrowane!$C$418)</f>
        <v>0</v>
      </c>
      <c r="H411" s="9">
        <f>IF(AND($F411&lt;&gt;"",ISNUMBER(SEARCH('Nr rejestracyjny'!$F$5,$F411))),COUNT($H$1:H410)+1,"")</f>
        <v>0</v>
      </c>
      <c r="I411" s="9">
        <f>IF(AND($G411&lt;&gt;"",ISNUMBER(SEARCH('Nr rejestracyjny'!$F$5,$G411))),COUNT($I$1:I410)+1,"")</f>
        <v>0</v>
      </c>
    </row>
    <row r="412" spans="6:9">
      <c r="F412" s="7">
        <f>IF('W rejestracji'!$C$419="","",'W rejestracji'!$C$419)</f>
        <v>0</v>
      </c>
      <c r="G412" s="7">
        <f>IF(Zarejestrowane!$C$419="","",Zarejestrowane!$C$419)</f>
        <v>0</v>
      </c>
      <c r="H412" s="9">
        <f>IF(AND($F412&lt;&gt;"",ISNUMBER(SEARCH('Nr rejestracyjny'!$F$5,$F412))),COUNT($H$1:H411)+1,"")</f>
        <v>0</v>
      </c>
      <c r="I412" s="9">
        <f>IF(AND($G412&lt;&gt;"",ISNUMBER(SEARCH('Nr rejestracyjny'!$F$5,$G412))),COUNT($I$1:I411)+1,"")</f>
        <v>0</v>
      </c>
    </row>
    <row r="413" spans="6:9">
      <c r="F413" s="7">
        <f>IF('W rejestracji'!$C$420="","",'W rejestracji'!$C$420)</f>
        <v>0</v>
      </c>
      <c r="G413" s="7">
        <f>IF(Zarejestrowane!$C$420="","",Zarejestrowane!$C$420)</f>
        <v>0</v>
      </c>
      <c r="H413" s="9">
        <f>IF(AND($F413&lt;&gt;"",ISNUMBER(SEARCH('Nr rejestracyjny'!$F$5,$F413))),COUNT($H$1:H412)+1,"")</f>
        <v>0</v>
      </c>
      <c r="I413" s="9">
        <f>IF(AND($G413&lt;&gt;"",ISNUMBER(SEARCH('Nr rejestracyjny'!$F$5,$G413))),COUNT($I$1:I412)+1,"")</f>
        <v>0</v>
      </c>
    </row>
    <row r="414" spans="6:9">
      <c r="F414" s="7">
        <f>IF('W rejestracji'!$C$421="","",'W rejestracji'!$C$421)</f>
        <v>0</v>
      </c>
      <c r="G414" s="7">
        <f>IF(Zarejestrowane!$C$421="","",Zarejestrowane!$C$421)</f>
        <v>0</v>
      </c>
      <c r="H414" s="9">
        <f>IF(AND($F414&lt;&gt;"",ISNUMBER(SEARCH('Nr rejestracyjny'!$F$5,$F414))),COUNT($H$1:H413)+1,"")</f>
        <v>0</v>
      </c>
      <c r="I414" s="9">
        <f>IF(AND($G414&lt;&gt;"",ISNUMBER(SEARCH('Nr rejestracyjny'!$F$5,$G414))),COUNT($I$1:I413)+1,"")</f>
        <v>0</v>
      </c>
    </row>
    <row r="415" spans="6:9">
      <c r="F415" s="7">
        <f>IF('W rejestracji'!$C$422="","",'W rejestracji'!$C$422)</f>
        <v>0</v>
      </c>
      <c r="G415" s="7">
        <f>IF(Zarejestrowane!$C$422="","",Zarejestrowane!$C$422)</f>
        <v>0</v>
      </c>
      <c r="H415" s="9">
        <f>IF(AND($F415&lt;&gt;"",ISNUMBER(SEARCH('Nr rejestracyjny'!$F$5,$F415))),COUNT($H$1:H414)+1,"")</f>
        <v>0</v>
      </c>
      <c r="I415" s="9">
        <f>IF(AND($G415&lt;&gt;"",ISNUMBER(SEARCH('Nr rejestracyjny'!$F$5,$G415))),COUNT($I$1:I414)+1,"")</f>
        <v>0</v>
      </c>
    </row>
    <row r="416" spans="6:9">
      <c r="F416" s="7">
        <f>IF('W rejestracji'!$C$423="","",'W rejestracji'!$C$423)</f>
        <v>0</v>
      </c>
      <c r="G416" s="7">
        <f>IF(Zarejestrowane!$C$423="","",Zarejestrowane!$C$423)</f>
        <v>0</v>
      </c>
      <c r="H416" s="9">
        <f>IF(AND($F416&lt;&gt;"",ISNUMBER(SEARCH('Nr rejestracyjny'!$F$5,$F416))),COUNT($H$1:H415)+1,"")</f>
        <v>0</v>
      </c>
      <c r="I416" s="9">
        <f>IF(AND($G416&lt;&gt;"",ISNUMBER(SEARCH('Nr rejestracyjny'!$F$5,$G416))),COUNT($I$1:I415)+1,"")</f>
        <v>0</v>
      </c>
    </row>
    <row r="417" spans="6:9">
      <c r="F417" s="7">
        <f>IF('W rejestracji'!$C$424="","",'W rejestracji'!$C$424)</f>
        <v>0</v>
      </c>
      <c r="G417" s="7">
        <f>IF(Zarejestrowane!$C$424="","",Zarejestrowane!$C$424)</f>
        <v>0</v>
      </c>
      <c r="H417" s="9">
        <f>IF(AND($F417&lt;&gt;"",ISNUMBER(SEARCH('Nr rejestracyjny'!$F$5,$F417))),COUNT($H$1:H416)+1,"")</f>
        <v>0</v>
      </c>
      <c r="I417" s="9">
        <f>IF(AND($G417&lt;&gt;"",ISNUMBER(SEARCH('Nr rejestracyjny'!$F$5,$G417))),COUNT($I$1:I416)+1,"")</f>
        <v>0</v>
      </c>
    </row>
    <row r="418" spans="6:9">
      <c r="F418" s="7">
        <f>IF('W rejestracji'!$C$425="","",'W rejestracji'!$C$425)</f>
        <v>0</v>
      </c>
      <c r="G418" s="7">
        <f>IF(Zarejestrowane!$C$425="","",Zarejestrowane!$C$425)</f>
        <v>0</v>
      </c>
      <c r="H418" s="9">
        <f>IF(AND($F418&lt;&gt;"",ISNUMBER(SEARCH('Nr rejestracyjny'!$F$5,$F418))),COUNT($H$1:H417)+1,"")</f>
        <v>0</v>
      </c>
      <c r="I418" s="9">
        <f>IF(AND($G418&lt;&gt;"",ISNUMBER(SEARCH('Nr rejestracyjny'!$F$5,$G418))),COUNT($I$1:I417)+1,"")</f>
        <v>0</v>
      </c>
    </row>
    <row r="419" spans="6:9">
      <c r="F419" s="7">
        <f>IF('W rejestracji'!$C$426="","",'W rejestracji'!$C$426)</f>
        <v>0</v>
      </c>
      <c r="G419" s="7">
        <f>IF(Zarejestrowane!$C$426="","",Zarejestrowane!$C$426)</f>
        <v>0</v>
      </c>
      <c r="H419" s="9">
        <f>IF(AND($F419&lt;&gt;"",ISNUMBER(SEARCH('Nr rejestracyjny'!$F$5,$F419))),COUNT($H$1:H418)+1,"")</f>
        <v>0</v>
      </c>
      <c r="I419" s="9">
        <f>IF(AND($G419&lt;&gt;"",ISNUMBER(SEARCH('Nr rejestracyjny'!$F$5,$G419))),COUNT($I$1:I418)+1,"")</f>
        <v>0</v>
      </c>
    </row>
    <row r="420" spans="6:9">
      <c r="F420" s="7">
        <f>IF('W rejestracji'!$C$427="","",'W rejestracji'!$C$427)</f>
        <v>0</v>
      </c>
      <c r="G420" s="7">
        <f>IF(Zarejestrowane!$C$427="","",Zarejestrowane!$C$427)</f>
        <v>0</v>
      </c>
      <c r="H420" s="9">
        <f>IF(AND($F420&lt;&gt;"",ISNUMBER(SEARCH('Nr rejestracyjny'!$F$5,$F420))),COUNT($H$1:H419)+1,"")</f>
        <v>0</v>
      </c>
      <c r="I420" s="9">
        <f>IF(AND($G420&lt;&gt;"",ISNUMBER(SEARCH('Nr rejestracyjny'!$F$5,$G420))),COUNT($I$1:I419)+1,"")</f>
        <v>0</v>
      </c>
    </row>
    <row r="421" spans="6:9">
      <c r="F421" s="7">
        <f>IF('W rejestracji'!$C$428="","",'W rejestracji'!$C$428)</f>
        <v>0</v>
      </c>
      <c r="G421" s="7">
        <f>IF(Zarejestrowane!$C$428="","",Zarejestrowane!$C$428)</f>
        <v>0</v>
      </c>
      <c r="H421" s="9">
        <f>IF(AND($F421&lt;&gt;"",ISNUMBER(SEARCH('Nr rejestracyjny'!$F$5,$F421))),COUNT($H$1:H420)+1,"")</f>
        <v>0</v>
      </c>
      <c r="I421" s="9">
        <f>IF(AND($G421&lt;&gt;"",ISNUMBER(SEARCH('Nr rejestracyjny'!$F$5,$G421))),COUNT($I$1:I420)+1,"")</f>
        <v>0</v>
      </c>
    </row>
    <row r="422" spans="6:9">
      <c r="F422" s="7">
        <f>IF('W rejestracji'!$C$429="","",'W rejestracji'!$C$429)</f>
        <v>0</v>
      </c>
      <c r="G422" s="7">
        <f>IF(Zarejestrowane!$C$429="","",Zarejestrowane!$C$429)</f>
        <v>0</v>
      </c>
      <c r="H422" s="9">
        <f>IF(AND($F422&lt;&gt;"",ISNUMBER(SEARCH('Nr rejestracyjny'!$F$5,$F422))),COUNT($H$1:H421)+1,"")</f>
        <v>0</v>
      </c>
      <c r="I422" s="9">
        <f>IF(AND($G422&lt;&gt;"",ISNUMBER(SEARCH('Nr rejestracyjny'!$F$5,$G422))),COUNT($I$1:I421)+1,"")</f>
        <v>0</v>
      </c>
    </row>
    <row r="423" spans="6:9">
      <c r="F423" s="7">
        <f>IF('W rejestracji'!$C$430="","",'W rejestracji'!$C$430)</f>
        <v>0</v>
      </c>
      <c r="G423" s="7">
        <f>IF(Zarejestrowane!$C$430="","",Zarejestrowane!$C$430)</f>
        <v>0</v>
      </c>
      <c r="H423" s="9">
        <f>IF(AND($F423&lt;&gt;"",ISNUMBER(SEARCH('Nr rejestracyjny'!$F$5,$F423))),COUNT($H$1:H422)+1,"")</f>
        <v>0</v>
      </c>
      <c r="I423" s="9">
        <f>IF(AND($G423&lt;&gt;"",ISNUMBER(SEARCH('Nr rejestracyjny'!$F$5,$G423))),COUNT($I$1:I422)+1,"")</f>
        <v>0</v>
      </c>
    </row>
    <row r="424" spans="6:9">
      <c r="F424" s="7">
        <f>IF('W rejestracji'!$C$431="","",'W rejestracji'!$C$431)</f>
        <v>0</v>
      </c>
      <c r="G424" s="7">
        <f>IF(Zarejestrowane!$C$431="","",Zarejestrowane!$C$431)</f>
        <v>0</v>
      </c>
      <c r="H424" s="9">
        <f>IF(AND($F424&lt;&gt;"",ISNUMBER(SEARCH('Nr rejestracyjny'!$F$5,$F424))),COUNT($H$1:H423)+1,"")</f>
        <v>0</v>
      </c>
      <c r="I424" s="9">
        <f>IF(AND($G424&lt;&gt;"",ISNUMBER(SEARCH('Nr rejestracyjny'!$F$5,$G424))),COUNT($I$1:I423)+1,"")</f>
        <v>0</v>
      </c>
    </row>
    <row r="425" spans="6:9">
      <c r="F425" s="7">
        <f>IF('W rejestracji'!$C$432="","",'W rejestracji'!$C$432)</f>
        <v>0</v>
      </c>
      <c r="G425" s="7">
        <f>IF(Zarejestrowane!$C$432="","",Zarejestrowane!$C$432)</f>
        <v>0</v>
      </c>
      <c r="H425" s="9">
        <f>IF(AND($F425&lt;&gt;"",ISNUMBER(SEARCH('Nr rejestracyjny'!$F$5,$F425))),COUNT($H$1:H424)+1,"")</f>
        <v>0</v>
      </c>
      <c r="I425" s="9">
        <f>IF(AND($G425&lt;&gt;"",ISNUMBER(SEARCH('Nr rejestracyjny'!$F$5,$G425))),COUNT($I$1:I424)+1,"")</f>
        <v>0</v>
      </c>
    </row>
    <row r="426" spans="6:9">
      <c r="F426" s="7">
        <f>IF('W rejestracji'!$C$433="","",'W rejestracji'!$C$433)</f>
        <v>0</v>
      </c>
      <c r="G426" s="7">
        <f>IF(Zarejestrowane!$C$433="","",Zarejestrowane!$C$433)</f>
        <v>0</v>
      </c>
      <c r="H426" s="9">
        <f>IF(AND($F426&lt;&gt;"",ISNUMBER(SEARCH('Nr rejestracyjny'!$F$5,$F426))),COUNT($H$1:H425)+1,"")</f>
        <v>0</v>
      </c>
      <c r="I426" s="9">
        <f>IF(AND($G426&lt;&gt;"",ISNUMBER(SEARCH('Nr rejestracyjny'!$F$5,$G426))),COUNT($I$1:I425)+1,"")</f>
        <v>0</v>
      </c>
    </row>
    <row r="427" spans="6:9">
      <c r="F427" s="7">
        <f>IF('W rejestracji'!$C$434="","",'W rejestracji'!$C$434)</f>
        <v>0</v>
      </c>
      <c r="G427" s="7">
        <f>IF(Zarejestrowane!$C$434="","",Zarejestrowane!$C$434)</f>
        <v>0</v>
      </c>
      <c r="H427" s="9">
        <f>IF(AND($F427&lt;&gt;"",ISNUMBER(SEARCH('Nr rejestracyjny'!$F$5,$F427))),COUNT($H$1:H426)+1,"")</f>
        <v>0</v>
      </c>
      <c r="I427" s="9">
        <f>IF(AND($G427&lt;&gt;"",ISNUMBER(SEARCH('Nr rejestracyjny'!$F$5,$G427))),COUNT($I$1:I426)+1,"")</f>
        <v>0</v>
      </c>
    </row>
    <row r="428" spans="6:9">
      <c r="F428" s="7">
        <f>IF('W rejestracji'!$C$435="","",'W rejestracji'!$C$435)</f>
        <v>0</v>
      </c>
      <c r="G428" s="7">
        <f>IF(Zarejestrowane!$C$435="","",Zarejestrowane!$C$435)</f>
        <v>0</v>
      </c>
      <c r="H428" s="9">
        <f>IF(AND($F428&lt;&gt;"",ISNUMBER(SEARCH('Nr rejestracyjny'!$F$5,$F428))),COUNT($H$1:H427)+1,"")</f>
        <v>0</v>
      </c>
      <c r="I428" s="9">
        <f>IF(AND($G428&lt;&gt;"",ISNUMBER(SEARCH('Nr rejestracyjny'!$F$5,$G428))),COUNT($I$1:I427)+1,"")</f>
        <v>0</v>
      </c>
    </row>
    <row r="429" spans="6:9">
      <c r="F429" s="7">
        <f>IF('W rejestracji'!$C$436="","",'W rejestracji'!$C$436)</f>
        <v>0</v>
      </c>
      <c r="G429" s="7">
        <f>IF(Zarejestrowane!$C$436="","",Zarejestrowane!$C$436)</f>
        <v>0</v>
      </c>
      <c r="H429" s="9">
        <f>IF(AND($F429&lt;&gt;"",ISNUMBER(SEARCH('Nr rejestracyjny'!$F$5,$F429))),COUNT($H$1:H428)+1,"")</f>
        <v>0</v>
      </c>
      <c r="I429" s="9">
        <f>IF(AND($G429&lt;&gt;"",ISNUMBER(SEARCH('Nr rejestracyjny'!$F$5,$G429))),COUNT($I$1:I428)+1,"")</f>
        <v>0</v>
      </c>
    </row>
    <row r="430" spans="6:9">
      <c r="F430" s="7">
        <f>IF('W rejestracji'!$C$437="","",'W rejestracji'!$C$437)</f>
        <v>0</v>
      </c>
      <c r="G430" s="7">
        <f>IF(Zarejestrowane!$C$437="","",Zarejestrowane!$C$437)</f>
        <v>0</v>
      </c>
      <c r="H430" s="9">
        <f>IF(AND($F430&lt;&gt;"",ISNUMBER(SEARCH('Nr rejestracyjny'!$F$5,$F430))),COUNT($H$1:H429)+1,"")</f>
        <v>0</v>
      </c>
      <c r="I430" s="9">
        <f>IF(AND($G430&lt;&gt;"",ISNUMBER(SEARCH('Nr rejestracyjny'!$F$5,$G430))),COUNT($I$1:I429)+1,"")</f>
        <v>0</v>
      </c>
    </row>
    <row r="431" spans="6:9">
      <c r="F431" s="7">
        <f>IF('W rejestracji'!$C$438="","",'W rejestracji'!$C$438)</f>
        <v>0</v>
      </c>
      <c r="G431" s="7">
        <f>IF(Zarejestrowane!$C$438="","",Zarejestrowane!$C$438)</f>
        <v>0</v>
      </c>
      <c r="H431" s="9">
        <f>IF(AND($F431&lt;&gt;"",ISNUMBER(SEARCH('Nr rejestracyjny'!$F$5,$F431))),COUNT($H$1:H430)+1,"")</f>
        <v>0</v>
      </c>
      <c r="I431" s="9">
        <f>IF(AND($G431&lt;&gt;"",ISNUMBER(SEARCH('Nr rejestracyjny'!$F$5,$G431))),COUNT($I$1:I430)+1,"")</f>
        <v>0</v>
      </c>
    </row>
    <row r="432" spans="6:9">
      <c r="F432" s="7">
        <f>IF('W rejestracji'!$C$439="","",'W rejestracji'!$C$439)</f>
        <v>0</v>
      </c>
      <c r="G432" s="7">
        <f>IF(Zarejestrowane!$C$439="","",Zarejestrowane!$C$439)</f>
        <v>0</v>
      </c>
      <c r="H432" s="9">
        <f>IF(AND($F432&lt;&gt;"",ISNUMBER(SEARCH('Nr rejestracyjny'!$F$5,$F432))),COUNT($H$1:H431)+1,"")</f>
        <v>0</v>
      </c>
      <c r="I432" s="9">
        <f>IF(AND($G432&lt;&gt;"",ISNUMBER(SEARCH('Nr rejestracyjny'!$F$5,$G432))),COUNT($I$1:I431)+1,"")</f>
        <v>0</v>
      </c>
    </row>
    <row r="433" spans="6:9">
      <c r="F433" s="7">
        <f>IF('W rejestracji'!$C$440="","",'W rejestracji'!$C$440)</f>
        <v>0</v>
      </c>
      <c r="G433" s="7">
        <f>IF(Zarejestrowane!$C$440="","",Zarejestrowane!$C$440)</f>
        <v>0</v>
      </c>
      <c r="H433" s="9">
        <f>IF(AND($F433&lt;&gt;"",ISNUMBER(SEARCH('Nr rejestracyjny'!$F$5,$F433))),COUNT($H$1:H432)+1,"")</f>
        <v>0</v>
      </c>
      <c r="I433" s="9">
        <f>IF(AND($G433&lt;&gt;"",ISNUMBER(SEARCH('Nr rejestracyjny'!$F$5,$G433))),COUNT($I$1:I432)+1,"")</f>
        <v>0</v>
      </c>
    </row>
    <row r="434" spans="6:9">
      <c r="F434" s="7">
        <f>IF('W rejestracji'!$C$441="","",'W rejestracji'!$C$441)</f>
        <v>0</v>
      </c>
      <c r="G434" s="7">
        <f>IF(Zarejestrowane!$C$441="","",Zarejestrowane!$C$441)</f>
        <v>0</v>
      </c>
      <c r="H434" s="9">
        <f>IF(AND($F434&lt;&gt;"",ISNUMBER(SEARCH('Nr rejestracyjny'!$F$5,$F434))),COUNT($H$1:H433)+1,"")</f>
        <v>0</v>
      </c>
      <c r="I434" s="9">
        <f>IF(AND($G434&lt;&gt;"",ISNUMBER(SEARCH('Nr rejestracyjny'!$F$5,$G434))),COUNT($I$1:I433)+1,"")</f>
        <v>0</v>
      </c>
    </row>
    <row r="435" spans="6:9">
      <c r="F435" s="7">
        <f>IF('W rejestracji'!$C$442="","",'W rejestracji'!$C$442)</f>
        <v>0</v>
      </c>
      <c r="G435" s="7">
        <f>IF(Zarejestrowane!$C$442="","",Zarejestrowane!$C$442)</f>
        <v>0</v>
      </c>
      <c r="H435" s="9">
        <f>IF(AND($F435&lt;&gt;"",ISNUMBER(SEARCH('Nr rejestracyjny'!$F$5,$F435))),COUNT($H$1:H434)+1,"")</f>
        <v>0</v>
      </c>
      <c r="I435" s="9">
        <f>IF(AND($G435&lt;&gt;"",ISNUMBER(SEARCH('Nr rejestracyjny'!$F$5,$G435))),COUNT($I$1:I434)+1,"")</f>
        <v>0</v>
      </c>
    </row>
    <row r="436" spans="6:9">
      <c r="F436" s="7">
        <f>IF('W rejestracji'!$C$443="","",'W rejestracji'!$C$443)</f>
        <v>0</v>
      </c>
      <c r="G436" s="7">
        <f>IF(Zarejestrowane!$C$443="","",Zarejestrowane!$C$443)</f>
        <v>0</v>
      </c>
      <c r="H436" s="9">
        <f>IF(AND($F436&lt;&gt;"",ISNUMBER(SEARCH('Nr rejestracyjny'!$F$5,$F436))),COUNT($H$1:H435)+1,"")</f>
        <v>0</v>
      </c>
      <c r="I436" s="9">
        <f>IF(AND($G436&lt;&gt;"",ISNUMBER(SEARCH('Nr rejestracyjny'!$F$5,$G436))),COUNT($I$1:I435)+1,"")</f>
        <v>0</v>
      </c>
    </row>
    <row r="437" spans="6:9">
      <c r="F437" s="7">
        <f>IF('W rejestracji'!$C$444="","",'W rejestracji'!$C$444)</f>
        <v>0</v>
      </c>
      <c r="G437" s="7">
        <f>IF(Zarejestrowane!$C$444="","",Zarejestrowane!$C$444)</f>
        <v>0</v>
      </c>
      <c r="H437" s="9">
        <f>IF(AND($F437&lt;&gt;"",ISNUMBER(SEARCH('Nr rejestracyjny'!$F$5,$F437))),COUNT($H$1:H436)+1,"")</f>
        <v>0</v>
      </c>
      <c r="I437" s="9">
        <f>IF(AND($G437&lt;&gt;"",ISNUMBER(SEARCH('Nr rejestracyjny'!$F$5,$G437))),COUNT($I$1:I436)+1,"")</f>
        <v>0</v>
      </c>
    </row>
    <row r="438" spans="6:9">
      <c r="F438" s="7">
        <f>IF('W rejestracji'!$C$445="","",'W rejestracji'!$C$445)</f>
        <v>0</v>
      </c>
      <c r="G438" s="7">
        <f>IF(Zarejestrowane!$C$445="","",Zarejestrowane!$C$445)</f>
        <v>0</v>
      </c>
      <c r="H438" s="9">
        <f>IF(AND($F438&lt;&gt;"",ISNUMBER(SEARCH('Nr rejestracyjny'!$F$5,$F438))),COUNT($H$1:H437)+1,"")</f>
        <v>0</v>
      </c>
      <c r="I438" s="9">
        <f>IF(AND($G438&lt;&gt;"",ISNUMBER(SEARCH('Nr rejestracyjny'!$F$5,$G438))),COUNT($I$1:I437)+1,"")</f>
        <v>0</v>
      </c>
    </row>
    <row r="439" spans="6:9">
      <c r="F439" s="7">
        <f>IF('W rejestracji'!$C$446="","",'W rejestracji'!$C$446)</f>
        <v>0</v>
      </c>
      <c r="G439" s="7">
        <f>IF(Zarejestrowane!$C$446="","",Zarejestrowane!$C$446)</f>
        <v>0</v>
      </c>
      <c r="H439" s="9">
        <f>IF(AND($F439&lt;&gt;"",ISNUMBER(SEARCH('Nr rejestracyjny'!$F$5,$F439))),COUNT($H$1:H438)+1,"")</f>
        <v>0</v>
      </c>
      <c r="I439" s="9">
        <f>IF(AND($G439&lt;&gt;"",ISNUMBER(SEARCH('Nr rejestracyjny'!$F$5,$G439))),COUNT($I$1:I438)+1,"")</f>
        <v>0</v>
      </c>
    </row>
    <row r="440" spans="6:9">
      <c r="F440" s="7">
        <f>IF('W rejestracji'!$C$447="","",'W rejestracji'!$C$447)</f>
        <v>0</v>
      </c>
      <c r="G440" s="7">
        <f>IF(Zarejestrowane!$C$447="","",Zarejestrowane!$C$447)</f>
        <v>0</v>
      </c>
      <c r="H440" s="9">
        <f>IF(AND($F440&lt;&gt;"",ISNUMBER(SEARCH('Nr rejestracyjny'!$F$5,$F440))),COUNT($H$1:H439)+1,"")</f>
        <v>0</v>
      </c>
      <c r="I440" s="9">
        <f>IF(AND($G440&lt;&gt;"",ISNUMBER(SEARCH('Nr rejestracyjny'!$F$5,$G440))),COUNT($I$1:I439)+1,"")</f>
        <v>0</v>
      </c>
    </row>
    <row r="441" spans="6:9">
      <c r="F441" s="7">
        <f>IF('W rejestracji'!$C$448="","",'W rejestracji'!$C$448)</f>
        <v>0</v>
      </c>
      <c r="G441" s="7">
        <f>IF(Zarejestrowane!$C$448="","",Zarejestrowane!$C$448)</f>
        <v>0</v>
      </c>
      <c r="H441" s="9">
        <f>IF(AND($F441&lt;&gt;"",ISNUMBER(SEARCH('Nr rejestracyjny'!$F$5,$F441))),COUNT($H$1:H440)+1,"")</f>
        <v>0</v>
      </c>
      <c r="I441" s="9">
        <f>IF(AND($G441&lt;&gt;"",ISNUMBER(SEARCH('Nr rejestracyjny'!$F$5,$G441))),COUNT($I$1:I440)+1,"")</f>
        <v>0</v>
      </c>
    </row>
    <row r="442" spans="6:9">
      <c r="F442" s="7">
        <f>IF('W rejestracji'!$C$449="","",'W rejestracji'!$C$449)</f>
        <v>0</v>
      </c>
      <c r="G442" s="7">
        <f>IF(Zarejestrowane!$C$449="","",Zarejestrowane!$C$449)</f>
        <v>0</v>
      </c>
      <c r="H442" s="9">
        <f>IF(AND($F442&lt;&gt;"",ISNUMBER(SEARCH('Nr rejestracyjny'!$F$5,$F442))),COUNT($H$1:H441)+1,"")</f>
        <v>0</v>
      </c>
      <c r="I442" s="9">
        <f>IF(AND($G442&lt;&gt;"",ISNUMBER(SEARCH('Nr rejestracyjny'!$F$5,$G442))),COUNT($I$1:I441)+1,"")</f>
        <v>0</v>
      </c>
    </row>
    <row r="443" spans="6:9">
      <c r="F443" s="7">
        <f>IF('W rejestracji'!$C$450="","",'W rejestracji'!$C$450)</f>
        <v>0</v>
      </c>
      <c r="G443" s="7">
        <f>IF(Zarejestrowane!$C$450="","",Zarejestrowane!$C$450)</f>
        <v>0</v>
      </c>
      <c r="H443" s="9">
        <f>IF(AND($F443&lt;&gt;"",ISNUMBER(SEARCH('Nr rejestracyjny'!$F$5,$F443))),COUNT($H$1:H442)+1,"")</f>
        <v>0</v>
      </c>
      <c r="I443" s="9">
        <f>IF(AND($G443&lt;&gt;"",ISNUMBER(SEARCH('Nr rejestracyjny'!$F$5,$G443))),COUNT($I$1:I442)+1,"")</f>
        <v>0</v>
      </c>
    </row>
    <row r="444" spans="6:9">
      <c r="F444" s="7">
        <f>IF('W rejestracji'!$C$451="","",'W rejestracji'!$C$451)</f>
        <v>0</v>
      </c>
      <c r="G444" s="7">
        <f>IF(Zarejestrowane!$C$451="","",Zarejestrowane!$C$451)</f>
        <v>0</v>
      </c>
      <c r="H444" s="9">
        <f>IF(AND($F444&lt;&gt;"",ISNUMBER(SEARCH('Nr rejestracyjny'!$F$5,$F444))),COUNT($H$1:H443)+1,"")</f>
        <v>0</v>
      </c>
      <c r="I444" s="9">
        <f>IF(AND($G444&lt;&gt;"",ISNUMBER(SEARCH('Nr rejestracyjny'!$F$5,$G444))),COUNT($I$1:I443)+1,"")</f>
        <v>0</v>
      </c>
    </row>
    <row r="445" spans="6:9">
      <c r="F445" s="7">
        <f>IF('W rejestracji'!$C$452="","",'W rejestracji'!$C$452)</f>
        <v>0</v>
      </c>
      <c r="G445" s="7">
        <f>IF(Zarejestrowane!$C$452="","",Zarejestrowane!$C$452)</f>
        <v>0</v>
      </c>
      <c r="H445" s="9">
        <f>IF(AND($F445&lt;&gt;"",ISNUMBER(SEARCH('Nr rejestracyjny'!$F$5,$F445))),COUNT($H$1:H444)+1,"")</f>
        <v>0</v>
      </c>
      <c r="I445" s="9">
        <f>IF(AND($G445&lt;&gt;"",ISNUMBER(SEARCH('Nr rejestracyjny'!$F$5,$G445))),COUNT($I$1:I444)+1,"")</f>
        <v>0</v>
      </c>
    </row>
    <row r="446" spans="6:9">
      <c r="F446" s="7">
        <f>IF('W rejestracji'!$C$453="","",'W rejestracji'!$C$453)</f>
        <v>0</v>
      </c>
      <c r="G446" s="7">
        <f>IF(Zarejestrowane!$C$453="","",Zarejestrowane!$C$453)</f>
        <v>0</v>
      </c>
      <c r="H446" s="9">
        <f>IF(AND($F446&lt;&gt;"",ISNUMBER(SEARCH('Nr rejestracyjny'!$F$5,$F446))),COUNT($H$1:H445)+1,"")</f>
        <v>0</v>
      </c>
      <c r="I446" s="9">
        <f>IF(AND($G446&lt;&gt;"",ISNUMBER(SEARCH('Nr rejestracyjny'!$F$5,$G446))),COUNT($I$1:I445)+1,"")</f>
        <v>0</v>
      </c>
    </row>
    <row r="447" spans="6:9">
      <c r="F447" s="7">
        <f>IF('W rejestracji'!$C$454="","",'W rejestracji'!$C$454)</f>
        <v>0</v>
      </c>
      <c r="G447" s="7">
        <f>IF(Zarejestrowane!$C$454="","",Zarejestrowane!$C$454)</f>
        <v>0</v>
      </c>
      <c r="H447" s="9">
        <f>IF(AND($F447&lt;&gt;"",ISNUMBER(SEARCH('Nr rejestracyjny'!$F$5,$F447))),COUNT($H$1:H446)+1,"")</f>
        <v>0</v>
      </c>
      <c r="I447" s="9">
        <f>IF(AND($G447&lt;&gt;"",ISNUMBER(SEARCH('Nr rejestracyjny'!$F$5,$G447))),COUNT($I$1:I446)+1,"")</f>
        <v>0</v>
      </c>
    </row>
    <row r="448" spans="6:9">
      <c r="F448" s="7">
        <f>IF('W rejestracji'!$C$455="","",'W rejestracji'!$C$455)</f>
        <v>0</v>
      </c>
      <c r="G448" s="7">
        <f>IF(Zarejestrowane!$C$455="","",Zarejestrowane!$C$455)</f>
        <v>0</v>
      </c>
      <c r="H448" s="9">
        <f>IF(AND($F448&lt;&gt;"",ISNUMBER(SEARCH('Nr rejestracyjny'!$F$5,$F448))),COUNT($H$1:H447)+1,"")</f>
        <v>0</v>
      </c>
      <c r="I448" s="9">
        <f>IF(AND($G448&lt;&gt;"",ISNUMBER(SEARCH('Nr rejestracyjny'!$F$5,$G448))),COUNT($I$1:I447)+1,"")</f>
        <v>0</v>
      </c>
    </row>
    <row r="449" spans="6:9">
      <c r="F449" s="7">
        <f>IF('W rejestracji'!$C$456="","",'W rejestracji'!$C$456)</f>
        <v>0</v>
      </c>
      <c r="G449" s="7">
        <f>IF(Zarejestrowane!$C$456="","",Zarejestrowane!$C$456)</f>
        <v>0</v>
      </c>
      <c r="H449" s="9">
        <f>IF(AND($F449&lt;&gt;"",ISNUMBER(SEARCH('Nr rejestracyjny'!$F$5,$F449))),COUNT($H$1:H448)+1,"")</f>
        <v>0</v>
      </c>
      <c r="I449" s="9">
        <f>IF(AND($G449&lt;&gt;"",ISNUMBER(SEARCH('Nr rejestracyjny'!$F$5,$G449))),COUNT($I$1:I448)+1,"")</f>
        <v>0</v>
      </c>
    </row>
    <row r="450" spans="6:9">
      <c r="F450" s="7">
        <f>IF('W rejestracji'!$C$457="","",'W rejestracji'!$C$457)</f>
        <v>0</v>
      </c>
      <c r="G450" s="7">
        <f>IF(Zarejestrowane!$C$457="","",Zarejestrowane!$C$457)</f>
        <v>0</v>
      </c>
      <c r="H450" s="9">
        <f>IF(AND($F450&lt;&gt;"",ISNUMBER(SEARCH('Nr rejestracyjny'!$F$5,$F450))),COUNT($H$1:H449)+1,"")</f>
        <v>0</v>
      </c>
      <c r="I450" s="9">
        <f>IF(AND($G450&lt;&gt;"",ISNUMBER(SEARCH('Nr rejestracyjny'!$F$5,$G450))),COUNT($I$1:I449)+1,"")</f>
        <v>0</v>
      </c>
    </row>
    <row r="451" spans="6:9">
      <c r="F451" s="7">
        <f>IF('W rejestracji'!$C$458="","",'W rejestracji'!$C$458)</f>
        <v>0</v>
      </c>
      <c r="G451" s="7">
        <f>IF(Zarejestrowane!$C$458="","",Zarejestrowane!$C$458)</f>
        <v>0</v>
      </c>
      <c r="H451" s="9">
        <f>IF(AND($F451&lt;&gt;"",ISNUMBER(SEARCH('Nr rejestracyjny'!$F$5,$F451))),COUNT($H$1:H450)+1,"")</f>
        <v>0</v>
      </c>
      <c r="I451" s="9">
        <f>IF(AND($G451&lt;&gt;"",ISNUMBER(SEARCH('Nr rejestracyjny'!$F$5,$G451))),COUNT($I$1:I450)+1,"")</f>
        <v>0</v>
      </c>
    </row>
    <row r="452" spans="6:9">
      <c r="F452" s="7">
        <f>IF('W rejestracji'!$C$459="","",'W rejestracji'!$C$459)</f>
        <v>0</v>
      </c>
      <c r="G452" s="7">
        <f>IF(Zarejestrowane!$C$459="","",Zarejestrowane!$C$459)</f>
        <v>0</v>
      </c>
      <c r="H452" s="9">
        <f>IF(AND($F452&lt;&gt;"",ISNUMBER(SEARCH('Nr rejestracyjny'!$F$5,$F452))),COUNT($H$1:H451)+1,"")</f>
        <v>0</v>
      </c>
      <c r="I452" s="9">
        <f>IF(AND($G452&lt;&gt;"",ISNUMBER(SEARCH('Nr rejestracyjny'!$F$5,$G452))),COUNT($I$1:I451)+1,"")</f>
        <v>0</v>
      </c>
    </row>
    <row r="453" spans="6:9">
      <c r="F453" s="7">
        <f>IF('W rejestracji'!$C$460="","",'W rejestracji'!$C$460)</f>
        <v>0</v>
      </c>
      <c r="G453" s="7">
        <f>IF(Zarejestrowane!$C$460="","",Zarejestrowane!$C$460)</f>
        <v>0</v>
      </c>
      <c r="H453" s="9">
        <f>IF(AND($F453&lt;&gt;"",ISNUMBER(SEARCH('Nr rejestracyjny'!$F$5,$F453))),COUNT($H$1:H452)+1,"")</f>
        <v>0</v>
      </c>
      <c r="I453" s="9">
        <f>IF(AND($G453&lt;&gt;"",ISNUMBER(SEARCH('Nr rejestracyjny'!$F$5,$G453))),COUNT($I$1:I452)+1,"")</f>
        <v>0</v>
      </c>
    </row>
    <row r="454" spans="6:9">
      <c r="F454" s="7">
        <f>IF('W rejestracji'!$C$461="","",'W rejestracji'!$C$461)</f>
        <v>0</v>
      </c>
      <c r="G454" s="7">
        <f>IF(Zarejestrowane!$C$461="","",Zarejestrowane!$C$461)</f>
        <v>0</v>
      </c>
      <c r="H454" s="9">
        <f>IF(AND($F454&lt;&gt;"",ISNUMBER(SEARCH('Nr rejestracyjny'!$F$5,$F454))),COUNT($H$1:H453)+1,"")</f>
        <v>0</v>
      </c>
      <c r="I454" s="9">
        <f>IF(AND($G454&lt;&gt;"",ISNUMBER(SEARCH('Nr rejestracyjny'!$F$5,$G454))),COUNT($I$1:I453)+1,"")</f>
        <v>0</v>
      </c>
    </row>
    <row r="455" spans="6:9">
      <c r="F455" s="7">
        <f>IF('W rejestracji'!$C$462="","",'W rejestracji'!$C$462)</f>
        <v>0</v>
      </c>
      <c r="G455" s="7">
        <f>IF(Zarejestrowane!$C$462="","",Zarejestrowane!$C$462)</f>
        <v>0</v>
      </c>
      <c r="H455" s="9">
        <f>IF(AND($F455&lt;&gt;"",ISNUMBER(SEARCH('Nr rejestracyjny'!$F$5,$F455))),COUNT($H$1:H454)+1,"")</f>
        <v>0</v>
      </c>
      <c r="I455" s="9">
        <f>IF(AND($G455&lt;&gt;"",ISNUMBER(SEARCH('Nr rejestracyjny'!$F$5,$G455))),COUNT($I$1:I454)+1,"")</f>
        <v>0</v>
      </c>
    </row>
    <row r="456" spans="6:9">
      <c r="F456" s="7">
        <f>IF('W rejestracji'!$C$463="","",'W rejestracji'!$C$463)</f>
        <v>0</v>
      </c>
      <c r="G456" s="7">
        <f>IF(Zarejestrowane!$C$463="","",Zarejestrowane!$C$463)</f>
        <v>0</v>
      </c>
      <c r="H456" s="9">
        <f>IF(AND($F456&lt;&gt;"",ISNUMBER(SEARCH('Nr rejestracyjny'!$F$5,$F456))),COUNT($H$1:H455)+1,"")</f>
        <v>0</v>
      </c>
      <c r="I456" s="9">
        <f>IF(AND($G456&lt;&gt;"",ISNUMBER(SEARCH('Nr rejestracyjny'!$F$5,$G456))),COUNT($I$1:I455)+1,"")</f>
        <v>0</v>
      </c>
    </row>
    <row r="457" spans="6:9">
      <c r="F457" s="7">
        <f>IF('W rejestracji'!$C$464="","",'W rejestracji'!$C$464)</f>
        <v>0</v>
      </c>
      <c r="G457" s="7">
        <f>IF(Zarejestrowane!$C$464="","",Zarejestrowane!$C$464)</f>
        <v>0</v>
      </c>
      <c r="H457" s="9">
        <f>IF(AND($F457&lt;&gt;"",ISNUMBER(SEARCH('Nr rejestracyjny'!$F$5,$F457))),COUNT($H$1:H456)+1,"")</f>
        <v>0</v>
      </c>
      <c r="I457" s="9">
        <f>IF(AND($G457&lt;&gt;"",ISNUMBER(SEARCH('Nr rejestracyjny'!$F$5,$G457))),COUNT($I$1:I456)+1,"")</f>
        <v>0</v>
      </c>
    </row>
    <row r="458" spans="6:9">
      <c r="F458" s="7">
        <f>IF('W rejestracji'!$C$465="","",'W rejestracji'!$C$465)</f>
        <v>0</v>
      </c>
      <c r="G458" s="7">
        <f>IF(Zarejestrowane!$C$465="","",Zarejestrowane!$C$465)</f>
        <v>0</v>
      </c>
      <c r="H458" s="9">
        <f>IF(AND($F458&lt;&gt;"",ISNUMBER(SEARCH('Nr rejestracyjny'!$F$5,$F458))),COUNT($H$1:H457)+1,"")</f>
        <v>0</v>
      </c>
      <c r="I458" s="9">
        <f>IF(AND($G458&lt;&gt;"",ISNUMBER(SEARCH('Nr rejestracyjny'!$F$5,$G458))),COUNT($I$1:I457)+1,"")</f>
        <v>0</v>
      </c>
    </row>
    <row r="459" spans="6:9">
      <c r="F459" s="7">
        <f>IF('W rejestracji'!$C$466="","",'W rejestracji'!$C$466)</f>
        <v>0</v>
      </c>
      <c r="G459" s="7">
        <f>IF(Zarejestrowane!$C$466="","",Zarejestrowane!$C$466)</f>
        <v>0</v>
      </c>
      <c r="H459" s="9">
        <f>IF(AND($F459&lt;&gt;"",ISNUMBER(SEARCH('Nr rejestracyjny'!$F$5,$F459))),COUNT($H$1:H458)+1,"")</f>
        <v>0</v>
      </c>
      <c r="I459" s="9">
        <f>IF(AND($G459&lt;&gt;"",ISNUMBER(SEARCH('Nr rejestracyjny'!$F$5,$G459))),COUNT($I$1:I458)+1,"")</f>
        <v>0</v>
      </c>
    </row>
    <row r="460" spans="6:9">
      <c r="F460" s="7">
        <f>IF('W rejestracji'!$C$467="","",'W rejestracji'!$C$467)</f>
        <v>0</v>
      </c>
      <c r="G460" s="7">
        <f>IF(Zarejestrowane!$C$467="","",Zarejestrowane!$C$467)</f>
        <v>0</v>
      </c>
      <c r="H460" s="9">
        <f>IF(AND($F460&lt;&gt;"",ISNUMBER(SEARCH('Nr rejestracyjny'!$F$5,$F460))),COUNT($H$1:H459)+1,"")</f>
        <v>0</v>
      </c>
      <c r="I460" s="9">
        <f>IF(AND($G460&lt;&gt;"",ISNUMBER(SEARCH('Nr rejestracyjny'!$F$5,$G460))),COUNT($I$1:I459)+1,"")</f>
        <v>0</v>
      </c>
    </row>
    <row r="461" spans="6:9">
      <c r="F461" s="7">
        <f>IF('W rejestracji'!$C$468="","",'W rejestracji'!$C$468)</f>
        <v>0</v>
      </c>
      <c r="G461" s="7">
        <f>IF(Zarejestrowane!$C$468="","",Zarejestrowane!$C$468)</f>
        <v>0</v>
      </c>
      <c r="H461" s="9">
        <f>IF(AND($F461&lt;&gt;"",ISNUMBER(SEARCH('Nr rejestracyjny'!$F$5,$F461))),COUNT($H$1:H460)+1,"")</f>
        <v>0</v>
      </c>
      <c r="I461" s="9">
        <f>IF(AND($G461&lt;&gt;"",ISNUMBER(SEARCH('Nr rejestracyjny'!$F$5,$G461))),COUNT($I$1:I460)+1,"")</f>
        <v>0</v>
      </c>
    </row>
    <row r="462" spans="6:9">
      <c r="F462" s="7">
        <f>IF('W rejestracji'!$C$469="","",'W rejestracji'!$C$469)</f>
        <v>0</v>
      </c>
      <c r="G462" s="7">
        <f>IF(Zarejestrowane!$C$469="","",Zarejestrowane!$C$469)</f>
        <v>0</v>
      </c>
      <c r="H462" s="9">
        <f>IF(AND($F462&lt;&gt;"",ISNUMBER(SEARCH('Nr rejestracyjny'!$F$5,$F462))),COUNT($H$1:H461)+1,"")</f>
        <v>0</v>
      </c>
      <c r="I462" s="9">
        <f>IF(AND($G462&lt;&gt;"",ISNUMBER(SEARCH('Nr rejestracyjny'!$F$5,$G462))),COUNT($I$1:I461)+1,"")</f>
        <v>0</v>
      </c>
    </row>
    <row r="463" spans="6:9">
      <c r="F463" s="7">
        <f>IF('W rejestracji'!$C$470="","",'W rejestracji'!$C$470)</f>
        <v>0</v>
      </c>
      <c r="G463" s="7">
        <f>IF(Zarejestrowane!$C$470="","",Zarejestrowane!$C$470)</f>
        <v>0</v>
      </c>
      <c r="H463" s="9">
        <f>IF(AND($F463&lt;&gt;"",ISNUMBER(SEARCH('Nr rejestracyjny'!$F$5,$F463))),COUNT($H$1:H462)+1,"")</f>
        <v>0</v>
      </c>
      <c r="I463" s="9">
        <f>IF(AND($G463&lt;&gt;"",ISNUMBER(SEARCH('Nr rejestracyjny'!$F$5,$G463))),COUNT($I$1:I462)+1,"")</f>
        <v>0</v>
      </c>
    </row>
    <row r="464" spans="6:9">
      <c r="F464" s="7">
        <f>IF('W rejestracji'!$C$471="","",'W rejestracji'!$C$471)</f>
        <v>0</v>
      </c>
      <c r="G464" s="7">
        <f>IF(Zarejestrowane!$C$471="","",Zarejestrowane!$C$471)</f>
        <v>0</v>
      </c>
      <c r="H464" s="9">
        <f>IF(AND($F464&lt;&gt;"",ISNUMBER(SEARCH('Nr rejestracyjny'!$F$5,$F464))),COUNT($H$1:H463)+1,"")</f>
        <v>0</v>
      </c>
      <c r="I464" s="9">
        <f>IF(AND($G464&lt;&gt;"",ISNUMBER(SEARCH('Nr rejestracyjny'!$F$5,$G464))),COUNT($I$1:I463)+1,"")</f>
        <v>0</v>
      </c>
    </row>
    <row r="465" spans="6:9">
      <c r="F465" s="7">
        <f>IF('W rejestracji'!$C$472="","",'W rejestracji'!$C$472)</f>
        <v>0</v>
      </c>
      <c r="G465" s="7">
        <f>IF(Zarejestrowane!$C$472="","",Zarejestrowane!$C$472)</f>
        <v>0</v>
      </c>
      <c r="H465" s="9">
        <f>IF(AND($F465&lt;&gt;"",ISNUMBER(SEARCH('Nr rejestracyjny'!$F$5,$F465))),COUNT($H$1:H464)+1,"")</f>
        <v>0</v>
      </c>
      <c r="I465" s="9">
        <f>IF(AND($G465&lt;&gt;"",ISNUMBER(SEARCH('Nr rejestracyjny'!$F$5,$G465))),COUNT($I$1:I464)+1,"")</f>
        <v>0</v>
      </c>
    </row>
    <row r="466" spans="6:9">
      <c r="F466" s="7">
        <f>IF('W rejestracji'!$C$473="","",'W rejestracji'!$C$473)</f>
        <v>0</v>
      </c>
      <c r="G466" s="7">
        <f>IF(Zarejestrowane!$C$473="","",Zarejestrowane!$C$473)</f>
        <v>0</v>
      </c>
      <c r="H466" s="9">
        <f>IF(AND($F466&lt;&gt;"",ISNUMBER(SEARCH('Nr rejestracyjny'!$F$5,$F466))),COUNT($H$1:H465)+1,"")</f>
        <v>0</v>
      </c>
      <c r="I466" s="9">
        <f>IF(AND($G466&lt;&gt;"",ISNUMBER(SEARCH('Nr rejestracyjny'!$F$5,$G466))),COUNT($I$1:I465)+1,"")</f>
        <v>0</v>
      </c>
    </row>
    <row r="467" spans="6:9">
      <c r="F467" s="7">
        <f>IF('W rejestracji'!$C$474="","",'W rejestracji'!$C$474)</f>
        <v>0</v>
      </c>
      <c r="G467" s="7">
        <f>IF(Zarejestrowane!$C$474="","",Zarejestrowane!$C$474)</f>
        <v>0</v>
      </c>
      <c r="H467" s="9">
        <f>IF(AND($F467&lt;&gt;"",ISNUMBER(SEARCH('Nr rejestracyjny'!$F$5,$F467))),COUNT($H$1:H466)+1,"")</f>
        <v>0</v>
      </c>
      <c r="I467" s="9">
        <f>IF(AND($G467&lt;&gt;"",ISNUMBER(SEARCH('Nr rejestracyjny'!$F$5,$G467))),COUNT($I$1:I466)+1,"")</f>
        <v>0</v>
      </c>
    </row>
    <row r="468" spans="6:9">
      <c r="F468" s="7">
        <f>IF('W rejestracji'!$C$475="","",'W rejestracji'!$C$475)</f>
        <v>0</v>
      </c>
      <c r="G468" s="7">
        <f>IF(Zarejestrowane!$C$475="","",Zarejestrowane!$C$475)</f>
        <v>0</v>
      </c>
      <c r="H468" s="9">
        <f>IF(AND($F468&lt;&gt;"",ISNUMBER(SEARCH('Nr rejestracyjny'!$F$5,$F468))),COUNT($H$1:H467)+1,"")</f>
        <v>0</v>
      </c>
      <c r="I468" s="9">
        <f>IF(AND($G468&lt;&gt;"",ISNUMBER(SEARCH('Nr rejestracyjny'!$F$5,$G468))),COUNT($I$1:I467)+1,"")</f>
        <v>0</v>
      </c>
    </row>
    <row r="469" spans="6:9">
      <c r="F469" s="7">
        <f>IF('W rejestracji'!$C$476="","",'W rejestracji'!$C$476)</f>
        <v>0</v>
      </c>
      <c r="G469" s="7">
        <f>IF(Zarejestrowane!$C$476="","",Zarejestrowane!$C$476)</f>
        <v>0</v>
      </c>
      <c r="H469" s="9">
        <f>IF(AND($F469&lt;&gt;"",ISNUMBER(SEARCH('Nr rejestracyjny'!$F$5,$F469))),COUNT($H$1:H468)+1,"")</f>
        <v>0</v>
      </c>
      <c r="I469" s="9">
        <f>IF(AND($G469&lt;&gt;"",ISNUMBER(SEARCH('Nr rejestracyjny'!$F$5,$G469))),COUNT($I$1:I468)+1,"")</f>
        <v>0</v>
      </c>
    </row>
    <row r="470" spans="6:9">
      <c r="F470" s="7">
        <f>IF('W rejestracji'!$C$477="","",'W rejestracji'!$C$477)</f>
        <v>0</v>
      </c>
      <c r="G470" s="7">
        <f>IF(Zarejestrowane!$C$477="","",Zarejestrowane!$C$477)</f>
        <v>0</v>
      </c>
      <c r="H470" s="9">
        <f>IF(AND($F470&lt;&gt;"",ISNUMBER(SEARCH('Nr rejestracyjny'!$F$5,$F470))),COUNT($H$1:H469)+1,"")</f>
        <v>0</v>
      </c>
      <c r="I470" s="9">
        <f>IF(AND($G470&lt;&gt;"",ISNUMBER(SEARCH('Nr rejestracyjny'!$F$5,$G470))),COUNT($I$1:I469)+1,"")</f>
        <v>0</v>
      </c>
    </row>
    <row r="471" spans="6:9">
      <c r="F471" s="7">
        <f>IF('W rejestracji'!$C$478="","",'W rejestracji'!$C$478)</f>
        <v>0</v>
      </c>
      <c r="G471" s="7">
        <f>IF(Zarejestrowane!$C$478="","",Zarejestrowane!$C$478)</f>
        <v>0</v>
      </c>
      <c r="H471" s="9">
        <f>IF(AND($F471&lt;&gt;"",ISNUMBER(SEARCH('Nr rejestracyjny'!$F$5,$F471))),COUNT($H$1:H470)+1,"")</f>
        <v>0</v>
      </c>
      <c r="I471" s="9">
        <f>IF(AND($G471&lt;&gt;"",ISNUMBER(SEARCH('Nr rejestracyjny'!$F$5,$G471))),COUNT($I$1:I470)+1,"")</f>
        <v>0</v>
      </c>
    </row>
    <row r="472" spans="6:9">
      <c r="F472" s="7">
        <f>IF('W rejestracji'!$C$479="","",'W rejestracji'!$C$479)</f>
        <v>0</v>
      </c>
      <c r="G472" s="7">
        <f>IF(Zarejestrowane!$C$479="","",Zarejestrowane!$C$479)</f>
        <v>0</v>
      </c>
      <c r="H472" s="9">
        <f>IF(AND($F472&lt;&gt;"",ISNUMBER(SEARCH('Nr rejestracyjny'!$F$5,$F472))),COUNT($H$1:H471)+1,"")</f>
        <v>0</v>
      </c>
      <c r="I472" s="9">
        <f>IF(AND($G472&lt;&gt;"",ISNUMBER(SEARCH('Nr rejestracyjny'!$F$5,$G472))),COUNT($I$1:I471)+1,"")</f>
        <v>0</v>
      </c>
    </row>
    <row r="473" spans="6:9">
      <c r="F473" s="7">
        <f>IF('W rejestracji'!$C$480="","",'W rejestracji'!$C$480)</f>
        <v>0</v>
      </c>
      <c r="G473" s="7">
        <f>IF(Zarejestrowane!$C$480="","",Zarejestrowane!$C$480)</f>
        <v>0</v>
      </c>
      <c r="H473" s="9">
        <f>IF(AND($F473&lt;&gt;"",ISNUMBER(SEARCH('Nr rejestracyjny'!$F$5,$F473))),COUNT($H$1:H472)+1,"")</f>
        <v>0</v>
      </c>
      <c r="I473" s="9">
        <f>IF(AND($G473&lt;&gt;"",ISNUMBER(SEARCH('Nr rejestracyjny'!$F$5,$G473))),COUNT($I$1:I472)+1,"")</f>
        <v>0</v>
      </c>
    </row>
    <row r="474" spans="6:9">
      <c r="F474" s="7">
        <f>IF('W rejestracji'!$C$481="","",'W rejestracji'!$C$481)</f>
        <v>0</v>
      </c>
      <c r="G474" s="7">
        <f>IF(Zarejestrowane!$C$481="","",Zarejestrowane!$C$481)</f>
        <v>0</v>
      </c>
      <c r="H474" s="9">
        <f>IF(AND($F474&lt;&gt;"",ISNUMBER(SEARCH('Nr rejestracyjny'!$F$5,$F474))),COUNT($H$1:H473)+1,"")</f>
        <v>0</v>
      </c>
      <c r="I474" s="9">
        <f>IF(AND($G474&lt;&gt;"",ISNUMBER(SEARCH('Nr rejestracyjny'!$F$5,$G474))),COUNT($I$1:I473)+1,"")</f>
        <v>0</v>
      </c>
    </row>
    <row r="475" spans="6:9">
      <c r="F475" s="7">
        <f>IF('W rejestracji'!$C$482="","",'W rejestracji'!$C$482)</f>
        <v>0</v>
      </c>
      <c r="G475" s="7">
        <f>IF(Zarejestrowane!$C$482="","",Zarejestrowane!$C$482)</f>
        <v>0</v>
      </c>
      <c r="H475" s="9">
        <f>IF(AND($F475&lt;&gt;"",ISNUMBER(SEARCH('Nr rejestracyjny'!$F$5,$F475))),COUNT($H$1:H474)+1,"")</f>
        <v>0</v>
      </c>
      <c r="I475" s="9">
        <f>IF(AND($G475&lt;&gt;"",ISNUMBER(SEARCH('Nr rejestracyjny'!$F$5,$G475))),COUNT($I$1:I474)+1,"")</f>
        <v>0</v>
      </c>
    </row>
    <row r="476" spans="6:9">
      <c r="F476" s="7">
        <f>IF('W rejestracji'!$C$483="","",'W rejestracji'!$C$483)</f>
        <v>0</v>
      </c>
      <c r="G476" s="7">
        <f>IF(Zarejestrowane!$C$483="","",Zarejestrowane!$C$483)</f>
        <v>0</v>
      </c>
      <c r="H476" s="9">
        <f>IF(AND($F476&lt;&gt;"",ISNUMBER(SEARCH('Nr rejestracyjny'!$F$5,$F476))),COUNT($H$1:H475)+1,"")</f>
        <v>0</v>
      </c>
      <c r="I476" s="9">
        <f>IF(AND($G476&lt;&gt;"",ISNUMBER(SEARCH('Nr rejestracyjny'!$F$5,$G476))),COUNT($I$1:I475)+1,"")</f>
        <v>0</v>
      </c>
    </row>
    <row r="477" spans="6:9">
      <c r="F477" s="7">
        <f>IF('W rejestracji'!$C$484="","",'W rejestracji'!$C$484)</f>
        <v>0</v>
      </c>
      <c r="G477" s="7">
        <f>IF(Zarejestrowane!$C$484="","",Zarejestrowane!$C$484)</f>
        <v>0</v>
      </c>
      <c r="H477" s="9">
        <f>IF(AND($F477&lt;&gt;"",ISNUMBER(SEARCH('Nr rejestracyjny'!$F$5,$F477))),COUNT($H$1:H476)+1,"")</f>
        <v>0</v>
      </c>
      <c r="I477" s="9">
        <f>IF(AND($G477&lt;&gt;"",ISNUMBER(SEARCH('Nr rejestracyjny'!$F$5,$G477))),COUNT($I$1:I476)+1,"")</f>
        <v>0</v>
      </c>
    </row>
    <row r="478" spans="6:9">
      <c r="F478" s="7">
        <f>IF('W rejestracji'!$C$485="","",'W rejestracji'!$C$485)</f>
        <v>0</v>
      </c>
      <c r="G478" s="7">
        <f>IF(Zarejestrowane!$C$485="","",Zarejestrowane!$C$485)</f>
        <v>0</v>
      </c>
      <c r="H478" s="9">
        <f>IF(AND($F478&lt;&gt;"",ISNUMBER(SEARCH('Nr rejestracyjny'!$F$5,$F478))),COUNT($H$1:H477)+1,"")</f>
        <v>0</v>
      </c>
      <c r="I478" s="9">
        <f>IF(AND($G478&lt;&gt;"",ISNUMBER(SEARCH('Nr rejestracyjny'!$F$5,$G478))),COUNT($I$1:I477)+1,"")</f>
        <v>0</v>
      </c>
    </row>
    <row r="479" spans="6:9">
      <c r="F479" s="7">
        <f>IF('W rejestracji'!$C$486="","",'W rejestracji'!$C$486)</f>
        <v>0</v>
      </c>
      <c r="G479" s="7">
        <f>IF(Zarejestrowane!$C$486="","",Zarejestrowane!$C$486)</f>
        <v>0</v>
      </c>
      <c r="H479" s="9">
        <f>IF(AND($F479&lt;&gt;"",ISNUMBER(SEARCH('Nr rejestracyjny'!$F$5,$F479))),COUNT($H$1:H478)+1,"")</f>
        <v>0</v>
      </c>
      <c r="I479" s="9">
        <f>IF(AND($G479&lt;&gt;"",ISNUMBER(SEARCH('Nr rejestracyjny'!$F$5,$G479))),COUNT($I$1:I478)+1,"")</f>
        <v>0</v>
      </c>
    </row>
    <row r="480" spans="6:9">
      <c r="F480" s="7">
        <f>IF('W rejestracji'!$C$487="","",'W rejestracji'!$C$487)</f>
        <v>0</v>
      </c>
      <c r="G480" s="7">
        <f>IF(Zarejestrowane!$C$487="","",Zarejestrowane!$C$487)</f>
        <v>0</v>
      </c>
      <c r="H480" s="9">
        <f>IF(AND($F480&lt;&gt;"",ISNUMBER(SEARCH('Nr rejestracyjny'!$F$5,$F480))),COUNT($H$1:H479)+1,"")</f>
        <v>0</v>
      </c>
      <c r="I480" s="9">
        <f>IF(AND($G480&lt;&gt;"",ISNUMBER(SEARCH('Nr rejestracyjny'!$F$5,$G480))),COUNT($I$1:I479)+1,"")</f>
        <v>0</v>
      </c>
    </row>
    <row r="481" spans="6:9">
      <c r="F481" s="7">
        <f>IF('W rejestracji'!$C$488="","",'W rejestracji'!$C$488)</f>
        <v>0</v>
      </c>
      <c r="G481" s="7">
        <f>IF(Zarejestrowane!$C$488="","",Zarejestrowane!$C$488)</f>
        <v>0</v>
      </c>
      <c r="H481" s="9">
        <f>IF(AND($F481&lt;&gt;"",ISNUMBER(SEARCH('Nr rejestracyjny'!$F$5,$F481))),COUNT($H$1:H480)+1,"")</f>
        <v>0</v>
      </c>
      <c r="I481" s="9">
        <f>IF(AND($G481&lt;&gt;"",ISNUMBER(SEARCH('Nr rejestracyjny'!$F$5,$G481))),COUNT($I$1:I480)+1,"")</f>
        <v>0</v>
      </c>
    </row>
    <row r="482" spans="6:9">
      <c r="F482" s="7">
        <f>IF('W rejestracji'!$C$489="","",'W rejestracji'!$C$489)</f>
        <v>0</v>
      </c>
      <c r="G482" s="7">
        <f>IF(Zarejestrowane!$C$489="","",Zarejestrowane!$C$489)</f>
        <v>0</v>
      </c>
      <c r="H482" s="9">
        <f>IF(AND($F482&lt;&gt;"",ISNUMBER(SEARCH('Nr rejestracyjny'!$F$5,$F482))),COUNT($H$1:H481)+1,"")</f>
        <v>0</v>
      </c>
      <c r="I482" s="9">
        <f>IF(AND($G482&lt;&gt;"",ISNUMBER(SEARCH('Nr rejestracyjny'!$F$5,$G482))),COUNT($I$1:I481)+1,"")</f>
        <v>0</v>
      </c>
    </row>
    <row r="483" spans="6:9">
      <c r="F483" s="7">
        <f>IF('W rejestracji'!$C$490="","",'W rejestracji'!$C$490)</f>
        <v>0</v>
      </c>
      <c r="G483" s="7">
        <f>IF(Zarejestrowane!$C$490="","",Zarejestrowane!$C$490)</f>
        <v>0</v>
      </c>
      <c r="H483" s="9">
        <f>IF(AND($F483&lt;&gt;"",ISNUMBER(SEARCH('Nr rejestracyjny'!$F$5,$F483))),COUNT($H$1:H482)+1,"")</f>
        <v>0</v>
      </c>
      <c r="I483" s="9">
        <f>IF(AND($G483&lt;&gt;"",ISNUMBER(SEARCH('Nr rejestracyjny'!$F$5,$G483))),COUNT($I$1:I482)+1,"")</f>
        <v>0</v>
      </c>
    </row>
    <row r="484" spans="6:9">
      <c r="F484" s="7">
        <f>IF('W rejestracji'!$C$491="","",'W rejestracji'!$C$491)</f>
        <v>0</v>
      </c>
      <c r="G484" s="7">
        <f>IF(Zarejestrowane!$C$491="","",Zarejestrowane!$C$491)</f>
        <v>0</v>
      </c>
      <c r="H484" s="9">
        <f>IF(AND($F484&lt;&gt;"",ISNUMBER(SEARCH('Nr rejestracyjny'!$F$5,$F484))),COUNT($H$1:H483)+1,"")</f>
        <v>0</v>
      </c>
      <c r="I484" s="9">
        <f>IF(AND($G484&lt;&gt;"",ISNUMBER(SEARCH('Nr rejestracyjny'!$F$5,$G484))),COUNT($I$1:I483)+1,"")</f>
        <v>0</v>
      </c>
    </row>
    <row r="485" spans="6:9">
      <c r="F485" s="7">
        <f>IF('W rejestracji'!$C$492="","",'W rejestracji'!$C$492)</f>
        <v>0</v>
      </c>
      <c r="G485" s="7">
        <f>IF(Zarejestrowane!$C$492="","",Zarejestrowane!$C$492)</f>
        <v>0</v>
      </c>
      <c r="H485" s="9">
        <f>IF(AND($F485&lt;&gt;"",ISNUMBER(SEARCH('Nr rejestracyjny'!$F$5,$F485))),COUNT($H$1:H484)+1,"")</f>
        <v>0</v>
      </c>
      <c r="I485" s="9">
        <f>IF(AND($G485&lt;&gt;"",ISNUMBER(SEARCH('Nr rejestracyjny'!$F$5,$G485))),COUNT($I$1:I484)+1,"")</f>
        <v>0</v>
      </c>
    </row>
    <row r="486" spans="6:9">
      <c r="F486" s="7">
        <f>IF('W rejestracji'!$C$493="","",'W rejestracji'!$C$493)</f>
        <v>0</v>
      </c>
      <c r="G486" s="7">
        <f>IF(Zarejestrowane!$C$493="","",Zarejestrowane!$C$493)</f>
        <v>0</v>
      </c>
      <c r="H486" s="9">
        <f>IF(AND($F486&lt;&gt;"",ISNUMBER(SEARCH('Nr rejestracyjny'!$F$5,$F486))),COUNT($H$1:H485)+1,"")</f>
        <v>0</v>
      </c>
      <c r="I486" s="9">
        <f>IF(AND($G486&lt;&gt;"",ISNUMBER(SEARCH('Nr rejestracyjny'!$F$5,$G486))),COUNT($I$1:I485)+1,"")</f>
        <v>0</v>
      </c>
    </row>
    <row r="487" spans="6:9">
      <c r="F487" s="7">
        <f>IF('W rejestracji'!$C$494="","",'W rejestracji'!$C$494)</f>
        <v>0</v>
      </c>
      <c r="G487" s="7">
        <f>IF(Zarejestrowane!$C$494="","",Zarejestrowane!$C$494)</f>
        <v>0</v>
      </c>
      <c r="H487" s="9">
        <f>IF(AND($F487&lt;&gt;"",ISNUMBER(SEARCH('Nr rejestracyjny'!$F$5,$F487))),COUNT($H$1:H486)+1,"")</f>
        <v>0</v>
      </c>
      <c r="I487" s="9">
        <f>IF(AND($G487&lt;&gt;"",ISNUMBER(SEARCH('Nr rejestracyjny'!$F$5,$G487))),COUNT($I$1:I486)+1,"")</f>
        <v>0</v>
      </c>
    </row>
    <row r="488" spans="6:9">
      <c r="F488" s="7">
        <f>IF('W rejestracji'!$C$495="","",'W rejestracji'!$C$495)</f>
        <v>0</v>
      </c>
      <c r="G488" s="7">
        <f>IF(Zarejestrowane!$C$495="","",Zarejestrowane!$C$495)</f>
        <v>0</v>
      </c>
      <c r="H488" s="9">
        <f>IF(AND($F488&lt;&gt;"",ISNUMBER(SEARCH('Nr rejestracyjny'!$F$5,$F488))),COUNT($H$1:H487)+1,"")</f>
        <v>0</v>
      </c>
      <c r="I488" s="9">
        <f>IF(AND($G488&lt;&gt;"",ISNUMBER(SEARCH('Nr rejestracyjny'!$F$5,$G488))),COUNT($I$1:I487)+1,"")</f>
        <v>0</v>
      </c>
    </row>
    <row r="489" spans="6:9">
      <c r="F489" s="7">
        <f>IF('W rejestracji'!$C$496="","",'W rejestracji'!$C$496)</f>
        <v>0</v>
      </c>
      <c r="G489" s="7">
        <f>IF(Zarejestrowane!$C$496="","",Zarejestrowane!$C$496)</f>
        <v>0</v>
      </c>
      <c r="H489" s="9">
        <f>IF(AND($F489&lt;&gt;"",ISNUMBER(SEARCH('Nr rejestracyjny'!$F$5,$F489))),COUNT($H$1:H488)+1,"")</f>
        <v>0</v>
      </c>
      <c r="I489" s="9">
        <f>IF(AND($G489&lt;&gt;"",ISNUMBER(SEARCH('Nr rejestracyjny'!$F$5,$G489))),COUNT($I$1:I488)+1,"")</f>
        <v>0</v>
      </c>
    </row>
    <row r="490" spans="6:9">
      <c r="F490" s="7">
        <f>IF('W rejestracji'!$C$497="","",'W rejestracji'!$C$497)</f>
        <v>0</v>
      </c>
      <c r="G490" s="7">
        <f>IF(Zarejestrowane!$C$497="","",Zarejestrowane!$C$497)</f>
        <v>0</v>
      </c>
      <c r="H490" s="9">
        <f>IF(AND($F490&lt;&gt;"",ISNUMBER(SEARCH('Nr rejestracyjny'!$F$5,$F490))),COUNT($H$1:H489)+1,"")</f>
        <v>0</v>
      </c>
      <c r="I490" s="9">
        <f>IF(AND($G490&lt;&gt;"",ISNUMBER(SEARCH('Nr rejestracyjny'!$F$5,$G490))),COUNT($I$1:I489)+1,"")</f>
        <v>0</v>
      </c>
    </row>
    <row r="491" spans="6:9">
      <c r="F491" s="7">
        <f>IF('W rejestracji'!$C$498="","",'W rejestracji'!$C$498)</f>
        <v>0</v>
      </c>
      <c r="G491" s="7">
        <f>IF(Zarejestrowane!$C$498="","",Zarejestrowane!$C$498)</f>
        <v>0</v>
      </c>
      <c r="H491" s="9">
        <f>IF(AND($F491&lt;&gt;"",ISNUMBER(SEARCH('Nr rejestracyjny'!$F$5,$F491))),COUNT($H$1:H490)+1,"")</f>
        <v>0</v>
      </c>
      <c r="I491" s="9">
        <f>IF(AND($G491&lt;&gt;"",ISNUMBER(SEARCH('Nr rejestracyjny'!$F$5,$G491))),COUNT($I$1:I490)+1,"")</f>
        <v>0</v>
      </c>
    </row>
    <row r="492" spans="6:9">
      <c r="F492" s="7">
        <f>IF('W rejestracji'!$C$499="","",'W rejestracji'!$C$499)</f>
        <v>0</v>
      </c>
      <c r="G492" s="7">
        <f>IF(Zarejestrowane!$C$499="","",Zarejestrowane!$C$499)</f>
        <v>0</v>
      </c>
      <c r="H492" s="9">
        <f>IF(AND($F492&lt;&gt;"",ISNUMBER(SEARCH('Nr rejestracyjny'!$F$5,$F492))),COUNT($H$1:H491)+1,"")</f>
        <v>0</v>
      </c>
      <c r="I492" s="9">
        <f>IF(AND($G492&lt;&gt;"",ISNUMBER(SEARCH('Nr rejestracyjny'!$F$5,$G492))),COUNT($I$1:I491)+1,"")</f>
        <v>0</v>
      </c>
    </row>
    <row r="493" spans="6:9">
      <c r="F493" s="7">
        <f>IF('W rejestracji'!$C$500="","",'W rejestracji'!$C$500)</f>
        <v>0</v>
      </c>
      <c r="G493" s="7">
        <f>IF(Zarejestrowane!$C$500="","",Zarejestrowane!$C$500)</f>
        <v>0</v>
      </c>
      <c r="H493" s="9">
        <f>IF(AND($F493&lt;&gt;"",ISNUMBER(SEARCH('Nr rejestracyjny'!$F$5,$F493))),COUNT($H$1:H492)+1,"")</f>
        <v>0</v>
      </c>
      <c r="I493" s="9">
        <f>IF(AND($G493&lt;&gt;"",ISNUMBER(SEARCH('Nr rejestracyjny'!$F$5,$G493))),COUNT($I$1:I492)+1,"")</f>
        <v>0</v>
      </c>
    </row>
    <row r="494" spans="6:9">
      <c r="F494" s="7">
        <f>IF('W rejestracji'!$C$501="","",'W rejestracji'!$C$501)</f>
        <v>0</v>
      </c>
      <c r="G494" s="7">
        <f>IF(Zarejestrowane!$C$501="","",Zarejestrowane!$C$501)</f>
        <v>0</v>
      </c>
      <c r="H494" s="9">
        <f>IF(AND($F494&lt;&gt;"",ISNUMBER(SEARCH('Nr rejestracyjny'!$F$5,$F494))),COUNT($H$1:H493)+1,"")</f>
        <v>0</v>
      </c>
      <c r="I494" s="9">
        <f>IF(AND($G494&lt;&gt;"",ISNUMBER(SEARCH('Nr rejestracyjny'!$F$5,$G494))),COUNT($I$1:I493)+1,"")</f>
        <v>0</v>
      </c>
    </row>
    <row r="495" spans="6:9">
      <c r="F495" s="7">
        <f>IF('W rejestracji'!$C$502="","",'W rejestracji'!$C$502)</f>
        <v>0</v>
      </c>
      <c r="G495" s="7">
        <f>IF(Zarejestrowane!$C$502="","",Zarejestrowane!$C$502)</f>
        <v>0</v>
      </c>
      <c r="H495" s="9">
        <f>IF(AND($F495&lt;&gt;"",ISNUMBER(SEARCH('Nr rejestracyjny'!$F$5,$F495))),COUNT($H$1:H494)+1,"")</f>
        <v>0</v>
      </c>
      <c r="I495" s="9">
        <f>IF(AND($G495&lt;&gt;"",ISNUMBER(SEARCH('Nr rejestracyjny'!$F$5,$G495))),COUNT($I$1:I494)+1,"")</f>
        <v>0</v>
      </c>
    </row>
    <row r="496" spans="6:9">
      <c r="F496" s="7">
        <f>IF('W rejestracji'!$C$503="","",'W rejestracji'!$C$503)</f>
        <v>0</v>
      </c>
      <c r="G496" s="7">
        <f>IF(Zarejestrowane!$C$503="","",Zarejestrowane!$C$503)</f>
        <v>0</v>
      </c>
      <c r="H496" s="9">
        <f>IF(AND($F496&lt;&gt;"",ISNUMBER(SEARCH('Nr rejestracyjny'!$F$5,$F496))),COUNT($H$1:H495)+1,"")</f>
        <v>0</v>
      </c>
      <c r="I496" s="9">
        <f>IF(AND($G496&lt;&gt;"",ISNUMBER(SEARCH('Nr rejestracyjny'!$F$5,$G496))),COUNT($I$1:I495)+1,"")</f>
        <v>0</v>
      </c>
    </row>
    <row r="497" spans="6:9">
      <c r="F497" s="7">
        <f>IF('W rejestracji'!$C$504="","",'W rejestracji'!$C$504)</f>
        <v>0</v>
      </c>
      <c r="G497" s="7">
        <f>IF(Zarejestrowane!$C$504="","",Zarejestrowane!$C$504)</f>
        <v>0</v>
      </c>
      <c r="H497" s="9">
        <f>IF(AND($F497&lt;&gt;"",ISNUMBER(SEARCH('Nr rejestracyjny'!$F$5,$F497))),COUNT($H$1:H496)+1,"")</f>
        <v>0</v>
      </c>
      <c r="I497" s="9">
        <f>IF(AND($G497&lt;&gt;"",ISNUMBER(SEARCH('Nr rejestracyjny'!$F$5,$G497))),COUNT($I$1:I496)+1,"")</f>
        <v>0</v>
      </c>
    </row>
    <row r="498" spans="6:9">
      <c r="F498" s="7">
        <f>IF('W rejestracji'!$C$505="","",'W rejestracji'!$C$505)</f>
        <v>0</v>
      </c>
      <c r="G498" s="7">
        <f>IF(Zarejestrowane!$C$505="","",Zarejestrowane!$C$505)</f>
        <v>0</v>
      </c>
      <c r="H498" s="9">
        <f>IF(AND($F498&lt;&gt;"",ISNUMBER(SEARCH('Nr rejestracyjny'!$F$5,$F498))),COUNT($H$1:H497)+1,"")</f>
        <v>0</v>
      </c>
      <c r="I498" s="9">
        <f>IF(AND($G498&lt;&gt;"",ISNUMBER(SEARCH('Nr rejestracyjny'!$F$5,$G498))),COUNT($I$1:I497)+1,"")</f>
        <v>0</v>
      </c>
    </row>
    <row r="499" spans="6:9">
      <c r="F499" s="7">
        <f>IF('W rejestracji'!$C$506="","",'W rejestracji'!$C$506)</f>
        <v>0</v>
      </c>
      <c r="G499" s="7">
        <f>IF(Zarejestrowane!$C$506="","",Zarejestrowane!$C$506)</f>
        <v>0</v>
      </c>
      <c r="H499" s="9">
        <f>IF(AND($F499&lt;&gt;"",ISNUMBER(SEARCH('Nr rejestracyjny'!$F$5,$F499))),COUNT($H$1:H498)+1,"")</f>
        <v>0</v>
      </c>
      <c r="I499" s="9">
        <f>IF(AND($G499&lt;&gt;"",ISNUMBER(SEARCH('Nr rejestracyjny'!$F$5,$G499))),COUNT($I$1:I498)+1,"")</f>
        <v>0</v>
      </c>
    </row>
    <row r="500" spans="6:9">
      <c r="F500" s="7">
        <f>IF('W rejestracji'!$C$507="","",'W rejestracji'!$C$507)</f>
        <v>0</v>
      </c>
      <c r="G500" s="7">
        <f>IF(Zarejestrowane!$C$507="","",Zarejestrowane!$C$507)</f>
        <v>0</v>
      </c>
      <c r="H500" s="9">
        <f>IF(AND($F500&lt;&gt;"",ISNUMBER(SEARCH('Nr rejestracyjny'!$F$5,$F500))),COUNT($H$1:H499)+1,"")</f>
        <v>0</v>
      </c>
      <c r="I500" s="9">
        <f>IF(AND($G500&lt;&gt;"",ISNUMBER(SEARCH('Nr rejestracyjny'!$F$5,$G500))),COUNT($I$1:I499)+1,"")</f>
        <v>0</v>
      </c>
    </row>
    <row r="501" spans="6:9">
      <c r="F501" s="7">
        <f>IF('W rejestracji'!$C$508="","",'W rejestracji'!$C$508)</f>
        <v>0</v>
      </c>
      <c r="G501" s="7">
        <f>IF(Zarejestrowane!$C$508="","",Zarejestrowane!$C$508)</f>
        <v>0</v>
      </c>
      <c r="H501" s="9">
        <f>IF(AND($F501&lt;&gt;"",ISNUMBER(SEARCH('Nr rejestracyjny'!$F$5,$F501))),COUNT($H$1:H500)+1,"")</f>
        <v>0</v>
      </c>
      <c r="I501" s="9">
        <f>IF(AND($G501&lt;&gt;"",ISNUMBER(SEARCH('Nr rejestracyjny'!$F$5,$G501))),COUNT($I$1:I500)+1,"")</f>
        <v>0</v>
      </c>
    </row>
    <row r="502" spans="6:9">
      <c r="F502" s="7">
        <f>IF('W rejestracji'!$C$509="","",'W rejestracji'!$C$509)</f>
        <v>0</v>
      </c>
      <c r="G502" s="7">
        <f>IF(Zarejestrowane!$C$509="","",Zarejestrowane!$C$509)</f>
        <v>0</v>
      </c>
      <c r="H502" s="9">
        <f>IF(AND($F502&lt;&gt;"",ISNUMBER(SEARCH('Nr rejestracyjny'!$F$5,$F502))),COUNT($H$1:H501)+1,"")</f>
        <v>0</v>
      </c>
      <c r="I502" s="9">
        <f>IF(AND($G502&lt;&gt;"",ISNUMBER(SEARCH('Nr rejestracyjny'!$F$5,$G502))),COUNT($I$1:I501)+1,"")</f>
        <v>0</v>
      </c>
    </row>
    <row r="503" spans="6:9">
      <c r="F503" s="7">
        <f>IF('W rejestracji'!$C$510="","",'W rejestracji'!$C$510)</f>
        <v>0</v>
      </c>
      <c r="G503" s="7">
        <f>IF(Zarejestrowane!$C$510="","",Zarejestrowane!$C$510)</f>
        <v>0</v>
      </c>
      <c r="H503" s="9">
        <f>IF(AND($F503&lt;&gt;"",ISNUMBER(SEARCH('Nr rejestracyjny'!$F$5,$F503))),COUNT($H$1:H502)+1,"")</f>
        <v>0</v>
      </c>
      <c r="I503" s="9">
        <f>IF(AND($G503&lt;&gt;"",ISNUMBER(SEARCH('Nr rejestracyjny'!$F$5,$G503))),COUNT($I$1:I502)+1,"")</f>
        <v>0</v>
      </c>
    </row>
    <row r="504" spans="6:9">
      <c r="F504" s="7">
        <f>IF('W rejestracji'!$C$511="","",'W rejestracji'!$C$511)</f>
        <v>0</v>
      </c>
      <c r="G504" s="7">
        <f>IF(Zarejestrowane!$C$511="","",Zarejestrowane!$C$511)</f>
        <v>0</v>
      </c>
      <c r="H504" s="9">
        <f>IF(AND($F504&lt;&gt;"",ISNUMBER(SEARCH('Nr rejestracyjny'!$F$5,$F504))),COUNT($H$1:H503)+1,"")</f>
        <v>0</v>
      </c>
      <c r="I504" s="9">
        <f>IF(AND($G504&lt;&gt;"",ISNUMBER(SEARCH('Nr rejestracyjny'!$F$5,$G504))),COUNT($I$1:I503)+1,"")</f>
        <v>0</v>
      </c>
    </row>
    <row r="505" spans="6:9">
      <c r="F505" s="7">
        <f>IF('W rejestracji'!$C$512="","",'W rejestracji'!$C$512)</f>
        <v>0</v>
      </c>
      <c r="G505" s="7">
        <f>IF(Zarejestrowane!$C$512="","",Zarejestrowane!$C$512)</f>
        <v>0</v>
      </c>
      <c r="H505" s="9">
        <f>IF(AND($F505&lt;&gt;"",ISNUMBER(SEARCH('Nr rejestracyjny'!$F$5,$F505))),COUNT($H$1:H504)+1,"")</f>
        <v>0</v>
      </c>
      <c r="I505" s="9">
        <f>IF(AND($G505&lt;&gt;"",ISNUMBER(SEARCH('Nr rejestracyjny'!$F$5,$G505))),COUNT($I$1:I504)+1,"")</f>
        <v>0</v>
      </c>
    </row>
    <row r="506" spans="6:9">
      <c r="F506" s="7">
        <f>IF('W rejestracji'!$C$513="","",'W rejestracji'!$C$513)</f>
        <v>0</v>
      </c>
      <c r="G506" s="7">
        <f>IF(Zarejestrowane!$C$513="","",Zarejestrowane!$C$513)</f>
        <v>0</v>
      </c>
      <c r="H506" s="9">
        <f>IF(AND($F506&lt;&gt;"",ISNUMBER(SEARCH('Nr rejestracyjny'!$F$5,$F506))),COUNT($H$1:H505)+1,"")</f>
        <v>0</v>
      </c>
      <c r="I506" s="9">
        <f>IF(AND($G506&lt;&gt;"",ISNUMBER(SEARCH('Nr rejestracyjny'!$F$5,$G506))),COUNT($I$1:I505)+1,"")</f>
        <v>0</v>
      </c>
    </row>
    <row r="507" spans="6:9">
      <c r="F507" s="7">
        <f>IF('W rejestracji'!$C$514="","",'W rejestracji'!$C$514)</f>
        <v>0</v>
      </c>
      <c r="G507" s="7">
        <f>IF(Zarejestrowane!$C$514="","",Zarejestrowane!$C$514)</f>
        <v>0</v>
      </c>
      <c r="H507" s="9">
        <f>IF(AND($F507&lt;&gt;"",ISNUMBER(SEARCH('Nr rejestracyjny'!$F$5,$F507))),COUNT($H$1:H506)+1,"")</f>
        <v>0</v>
      </c>
      <c r="I507" s="9">
        <f>IF(AND($G507&lt;&gt;"",ISNUMBER(SEARCH('Nr rejestracyjny'!$F$5,$G507))),COUNT($I$1:I506)+1,"")</f>
        <v>0</v>
      </c>
    </row>
    <row r="508" spans="6:9">
      <c r="F508" s="7">
        <f>IF('W rejestracji'!$C$515="","",'W rejestracji'!$C$515)</f>
        <v>0</v>
      </c>
      <c r="G508" s="7">
        <f>IF(Zarejestrowane!$C$515="","",Zarejestrowane!$C$515)</f>
        <v>0</v>
      </c>
      <c r="H508" s="9">
        <f>IF(AND($F508&lt;&gt;"",ISNUMBER(SEARCH('Nr rejestracyjny'!$F$5,$F508))),COUNT($H$1:H507)+1,"")</f>
        <v>0</v>
      </c>
      <c r="I508" s="9">
        <f>IF(AND($G508&lt;&gt;"",ISNUMBER(SEARCH('Nr rejestracyjny'!$F$5,$G508))),COUNT($I$1:I507)+1,"")</f>
        <v>0</v>
      </c>
    </row>
    <row r="509" spans="6:9">
      <c r="F509" s="7">
        <f>IF('W rejestracji'!$C$516="","",'W rejestracji'!$C$516)</f>
        <v>0</v>
      </c>
      <c r="G509" s="7">
        <f>IF(Zarejestrowane!$C$516="","",Zarejestrowane!$C$516)</f>
        <v>0</v>
      </c>
      <c r="H509" s="9">
        <f>IF(AND($F509&lt;&gt;"",ISNUMBER(SEARCH('Nr rejestracyjny'!$F$5,$F509))),COUNT($H$1:H508)+1,"")</f>
        <v>0</v>
      </c>
      <c r="I509" s="9">
        <f>IF(AND($G509&lt;&gt;"",ISNUMBER(SEARCH('Nr rejestracyjny'!$F$5,$G509))),COUNT($I$1:I508)+1,"")</f>
        <v>0</v>
      </c>
    </row>
    <row r="510" spans="6:9">
      <c r="F510" s="7">
        <f>IF('W rejestracji'!$C$517="","",'W rejestracji'!$C$517)</f>
        <v>0</v>
      </c>
      <c r="G510" s="7">
        <f>IF(Zarejestrowane!$C$517="","",Zarejestrowane!$C$517)</f>
        <v>0</v>
      </c>
      <c r="H510" s="9">
        <f>IF(AND($F510&lt;&gt;"",ISNUMBER(SEARCH('Nr rejestracyjny'!$F$5,$F510))),COUNT($H$1:H509)+1,"")</f>
        <v>0</v>
      </c>
      <c r="I510" s="9">
        <f>IF(AND($G510&lt;&gt;"",ISNUMBER(SEARCH('Nr rejestracyjny'!$F$5,$G510))),COUNT($I$1:I509)+1,"")</f>
        <v>0</v>
      </c>
    </row>
    <row r="511" spans="6:9">
      <c r="F511" s="7">
        <f>IF('W rejestracji'!$C$518="","",'W rejestracji'!$C$518)</f>
        <v>0</v>
      </c>
      <c r="G511" s="7">
        <f>IF(Zarejestrowane!$C$518="","",Zarejestrowane!$C$518)</f>
        <v>0</v>
      </c>
      <c r="H511" s="9">
        <f>IF(AND($F511&lt;&gt;"",ISNUMBER(SEARCH('Nr rejestracyjny'!$F$5,$F511))),COUNT($H$1:H510)+1,"")</f>
        <v>0</v>
      </c>
      <c r="I511" s="9">
        <f>IF(AND($G511&lt;&gt;"",ISNUMBER(SEARCH('Nr rejestracyjny'!$F$5,$G511))),COUNT($I$1:I510)+1,"")</f>
        <v>0</v>
      </c>
    </row>
    <row r="512" spans="6:9">
      <c r="F512" s="7">
        <f>IF('W rejestracji'!$C$519="","",'W rejestracji'!$C$519)</f>
        <v>0</v>
      </c>
      <c r="G512" s="7">
        <f>IF(Zarejestrowane!$C$519="","",Zarejestrowane!$C$519)</f>
        <v>0</v>
      </c>
      <c r="H512" s="9">
        <f>IF(AND($F512&lt;&gt;"",ISNUMBER(SEARCH('Nr rejestracyjny'!$F$5,$F512))),COUNT($H$1:H511)+1,"")</f>
        <v>0</v>
      </c>
      <c r="I512" s="9">
        <f>IF(AND($G512&lt;&gt;"",ISNUMBER(SEARCH('Nr rejestracyjny'!$F$5,$G512))),COUNT($I$1:I511)+1,"")</f>
        <v>0</v>
      </c>
    </row>
    <row r="513" spans="6:9">
      <c r="F513" s="7">
        <f>IF('W rejestracji'!$C$520="","",'W rejestracji'!$C$520)</f>
        <v>0</v>
      </c>
      <c r="G513" s="7">
        <f>IF(Zarejestrowane!$C$520="","",Zarejestrowane!$C$520)</f>
        <v>0</v>
      </c>
      <c r="H513" s="9">
        <f>IF(AND($F513&lt;&gt;"",ISNUMBER(SEARCH('Nr rejestracyjny'!$F$5,$F513))),COUNT($H$1:H512)+1,"")</f>
        <v>0</v>
      </c>
      <c r="I513" s="9">
        <f>IF(AND($G513&lt;&gt;"",ISNUMBER(SEARCH('Nr rejestracyjny'!$F$5,$G513))),COUNT($I$1:I512)+1,"")</f>
        <v>0</v>
      </c>
    </row>
    <row r="514" spans="6:9">
      <c r="F514" s="7">
        <f>IF('W rejestracji'!$C$521="","",'W rejestracji'!$C$521)</f>
        <v>0</v>
      </c>
      <c r="G514" s="7">
        <f>IF(Zarejestrowane!$C$521="","",Zarejestrowane!$C$521)</f>
        <v>0</v>
      </c>
      <c r="H514" s="9">
        <f>IF(AND($F514&lt;&gt;"",ISNUMBER(SEARCH('Nr rejestracyjny'!$F$5,$F514))),COUNT($H$1:H513)+1,"")</f>
        <v>0</v>
      </c>
      <c r="I514" s="9">
        <f>IF(AND($G514&lt;&gt;"",ISNUMBER(SEARCH('Nr rejestracyjny'!$F$5,$G514))),COUNT($I$1:I513)+1,"")</f>
        <v>0</v>
      </c>
    </row>
    <row r="515" spans="6:9">
      <c r="F515" s="7">
        <f>IF('W rejestracji'!$C$522="","",'W rejestracji'!$C$522)</f>
        <v>0</v>
      </c>
      <c r="G515" s="7">
        <f>IF(Zarejestrowane!$C$522="","",Zarejestrowane!$C$522)</f>
        <v>0</v>
      </c>
      <c r="H515" s="9">
        <f>IF(AND($F515&lt;&gt;"",ISNUMBER(SEARCH('Nr rejestracyjny'!$F$5,$F515))),COUNT($H$1:H514)+1,"")</f>
        <v>0</v>
      </c>
      <c r="I515" s="9">
        <f>IF(AND($G515&lt;&gt;"",ISNUMBER(SEARCH('Nr rejestracyjny'!$F$5,$G515))),COUNT($I$1:I514)+1,"")</f>
        <v>0</v>
      </c>
    </row>
    <row r="516" spans="6:9">
      <c r="F516" s="7">
        <f>IF('W rejestracji'!$C$523="","",'W rejestracji'!$C$523)</f>
        <v>0</v>
      </c>
      <c r="G516" s="7">
        <f>IF(Zarejestrowane!$C$523="","",Zarejestrowane!$C$523)</f>
        <v>0</v>
      </c>
      <c r="H516" s="9">
        <f>IF(AND($F516&lt;&gt;"",ISNUMBER(SEARCH('Nr rejestracyjny'!$F$5,$F516))),COUNT($H$1:H515)+1,"")</f>
        <v>0</v>
      </c>
      <c r="I516" s="9">
        <f>IF(AND($G516&lt;&gt;"",ISNUMBER(SEARCH('Nr rejestracyjny'!$F$5,$G516))),COUNT($I$1:I515)+1,"")</f>
        <v>0</v>
      </c>
    </row>
    <row r="517" spans="6:9">
      <c r="F517" s="7">
        <f>IF('W rejestracji'!$C$524="","",'W rejestracji'!$C$524)</f>
        <v>0</v>
      </c>
      <c r="G517" s="7">
        <f>IF(Zarejestrowane!$C$524="","",Zarejestrowane!$C$524)</f>
        <v>0</v>
      </c>
      <c r="H517" s="9">
        <f>IF(AND($F517&lt;&gt;"",ISNUMBER(SEARCH('Nr rejestracyjny'!$F$5,$F517))),COUNT($H$1:H516)+1,"")</f>
        <v>0</v>
      </c>
      <c r="I517" s="9">
        <f>IF(AND($G517&lt;&gt;"",ISNUMBER(SEARCH('Nr rejestracyjny'!$F$5,$G517))),COUNT($I$1:I516)+1,"")</f>
        <v>0</v>
      </c>
    </row>
    <row r="518" spans="6:9">
      <c r="F518" s="7">
        <f>IF('W rejestracji'!$C$525="","",'W rejestracji'!$C$525)</f>
        <v>0</v>
      </c>
      <c r="G518" s="7">
        <f>IF(Zarejestrowane!$C$525="","",Zarejestrowane!$C$525)</f>
        <v>0</v>
      </c>
      <c r="H518" s="9">
        <f>IF(AND($F518&lt;&gt;"",ISNUMBER(SEARCH('Nr rejestracyjny'!$F$5,$F518))),COUNT($H$1:H517)+1,"")</f>
        <v>0</v>
      </c>
      <c r="I518" s="9">
        <f>IF(AND($G518&lt;&gt;"",ISNUMBER(SEARCH('Nr rejestracyjny'!$F$5,$G518))),COUNT($I$1:I517)+1,"")</f>
        <v>0</v>
      </c>
    </row>
    <row r="519" spans="6:9">
      <c r="F519" s="7">
        <f>IF('W rejestracji'!$C$526="","",'W rejestracji'!$C$526)</f>
        <v>0</v>
      </c>
      <c r="G519" s="7">
        <f>IF(Zarejestrowane!$C$526="","",Zarejestrowane!$C$526)</f>
        <v>0</v>
      </c>
      <c r="H519" s="9">
        <f>IF(AND($F519&lt;&gt;"",ISNUMBER(SEARCH('Nr rejestracyjny'!$F$5,$F519))),COUNT($H$1:H518)+1,"")</f>
        <v>0</v>
      </c>
      <c r="I519" s="9">
        <f>IF(AND($G519&lt;&gt;"",ISNUMBER(SEARCH('Nr rejestracyjny'!$F$5,$G519))),COUNT($I$1:I518)+1,"")</f>
        <v>0</v>
      </c>
    </row>
    <row r="520" spans="6:9">
      <c r="F520" s="7">
        <f>IF('W rejestracji'!$C$527="","",'W rejestracji'!$C$527)</f>
        <v>0</v>
      </c>
      <c r="G520" s="7">
        <f>IF(Zarejestrowane!$C$527="","",Zarejestrowane!$C$527)</f>
        <v>0</v>
      </c>
      <c r="H520" s="9">
        <f>IF(AND($F520&lt;&gt;"",ISNUMBER(SEARCH('Nr rejestracyjny'!$F$5,$F520))),COUNT($H$1:H519)+1,"")</f>
        <v>0</v>
      </c>
      <c r="I520" s="9">
        <f>IF(AND($G520&lt;&gt;"",ISNUMBER(SEARCH('Nr rejestracyjny'!$F$5,$G520))),COUNT($I$1:I519)+1,"")</f>
        <v>0</v>
      </c>
    </row>
    <row r="521" spans="6:9">
      <c r="F521" s="7">
        <f>IF('W rejestracji'!$C$528="","",'W rejestracji'!$C$528)</f>
        <v>0</v>
      </c>
      <c r="G521" s="7">
        <f>IF(Zarejestrowane!$C$528="","",Zarejestrowane!$C$528)</f>
        <v>0</v>
      </c>
      <c r="H521" s="9">
        <f>IF(AND($F521&lt;&gt;"",ISNUMBER(SEARCH('Nr rejestracyjny'!$F$5,$F521))),COUNT($H$1:H520)+1,"")</f>
        <v>0</v>
      </c>
      <c r="I521" s="9">
        <f>IF(AND($G521&lt;&gt;"",ISNUMBER(SEARCH('Nr rejestracyjny'!$F$5,$G521))),COUNT($I$1:I520)+1,"")</f>
        <v>0</v>
      </c>
    </row>
    <row r="522" spans="6:9">
      <c r="F522" s="7">
        <f>IF('W rejestracji'!$C$529="","",'W rejestracji'!$C$529)</f>
        <v>0</v>
      </c>
      <c r="G522" s="7">
        <f>IF(Zarejestrowane!$C$529="","",Zarejestrowane!$C$529)</f>
        <v>0</v>
      </c>
      <c r="H522" s="9">
        <f>IF(AND($F522&lt;&gt;"",ISNUMBER(SEARCH('Nr rejestracyjny'!$F$5,$F522))),COUNT($H$1:H521)+1,"")</f>
        <v>0</v>
      </c>
      <c r="I522" s="9">
        <f>IF(AND($G522&lt;&gt;"",ISNUMBER(SEARCH('Nr rejestracyjny'!$F$5,$G522))),COUNT($I$1:I521)+1,"")</f>
        <v>0</v>
      </c>
    </row>
    <row r="523" spans="6:9">
      <c r="F523" s="7">
        <f>IF('W rejestracji'!$C$530="","",'W rejestracji'!$C$530)</f>
        <v>0</v>
      </c>
      <c r="G523" s="7">
        <f>IF(Zarejestrowane!$C$530="","",Zarejestrowane!$C$530)</f>
        <v>0</v>
      </c>
      <c r="H523" s="9">
        <f>IF(AND($F523&lt;&gt;"",ISNUMBER(SEARCH('Nr rejestracyjny'!$F$5,$F523))),COUNT($H$1:H522)+1,"")</f>
        <v>0</v>
      </c>
      <c r="I523" s="9">
        <f>IF(AND($G523&lt;&gt;"",ISNUMBER(SEARCH('Nr rejestracyjny'!$F$5,$G523))),COUNT($I$1:I522)+1,"")</f>
        <v>0</v>
      </c>
    </row>
    <row r="524" spans="6:9">
      <c r="F524" s="7">
        <f>IF('W rejestracji'!$C$531="","",'W rejestracji'!$C$531)</f>
        <v>0</v>
      </c>
      <c r="G524" s="7">
        <f>IF(Zarejestrowane!$C$531="","",Zarejestrowane!$C$531)</f>
        <v>0</v>
      </c>
      <c r="H524" s="9">
        <f>IF(AND($F524&lt;&gt;"",ISNUMBER(SEARCH('Nr rejestracyjny'!$F$5,$F524))),COUNT($H$1:H523)+1,"")</f>
        <v>0</v>
      </c>
      <c r="I524" s="9">
        <f>IF(AND($G524&lt;&gt;"",ISNUMBER(SEARCH('Nr rejestracyjny'!$F$5,$G524))),COUNT($I$1:I523)+1,"")</f>
        <v>0</v>
      </c>
    </row>
    <row r="525" spans="6:9">
      <c r="F525" s="7">
        <f>IF('W rejestracji'!$C$532="","",'W rejestracji'!$C$532)</f>
        <v>0</v>
      </c>
      <c r="G525" s="7">
        <f>IF(Zarejestrowane!$C$532="","",Zarejestrowane!$C$532)</f>
        <v>0</v>
      </c>
      <c r="H525" s="9">
        <f>IF(AND($F525&lt;&gt;"",ISNUMBER(SEARCH('Nr rejestracyjny'!$F$5,$F525))),COUNT($H$1:H524)+1,"")</f>
        <v>0</v>
      </c>
      <c r="I525" s="9">
        <f>IF(AND($G525&lt;&gt;"",ISNUMBER(SEARCH('Nr rejestracyjny'!$F$5,$G525))),COUNT($I$1:I524)+1,"")</f>
        <v>0</v>
      </c>
    </row>
    <row r="526" spans="6:9">
      <c r="F526" s="7">
        <f>IF('W rejestracji'!$C$533="","",'W rejestracji'!$C$533)</f>
        <v>0</v>
      </c>
      <c r="G526" s="7">
        <f>IF(Zarejestrowane!$C$533="","",Zarejestrowane!$C$533)</f>
        <v>0</v>
      </c>
      <c r="H526" s="9">
        <f>IF(AND($F526&lt;&gt;"",ISNUMBER(SEARCH('Nr rejestracyjny'!$F$5,$F526))),COUNT($H$1:H525)+1,"")</f>
        <v>0</v>
      </c>
      <c r="I526" s="9">
        <f>IF(AND($G526&lt;&gt;"",ISNUMBER(SEARCH('Nr rejestracyjny'!$F$5,$G526))),COUNT($I$1:I525)+1,"")</f>
        <v>0</v>
      </c>
    </row>
    <row r="527" spans="6:9">
      <c r="F527" s="7">
        <f>IF('W rejestracji'!$C$534="","",'W rejestracji'!$C$534)</f>
        <v>0</v>
      </c>
      <c r="G527" s="7">
        <f>IF(Zarejestrowane!$C$534="","",Zarejestrowane!$C$534)</f>
        <v>0</v>
      </c>
      <c r="H527" s="9">
        <f>IF(AND($F527&lt;&gt;"",ISNUMBER(SEARCH('Nr rejestracyjny'!$F$5,$F527))),COUNT($H$1:H526)+1,"")</f>
        <v>0</v>
      </c>
      <c r="I527" s="9">
        <f>IF(AND($G527&lt;&gt;"",ISNUMBER(SEARCH('Nr rejestracyjny'!$F$5,$G527))),COUNT($I$1:I526)+1,"")</f>
        <v>0</v>
      </c>
    </row>
    <row r="528" spans="6:9">
      <c r="F528" s="7">
        <f>IF('W rejestracji'!$C$535="","",'W rejestracji'!$C$535)</f>
        <v>0</v>
      </c>
      <c r="G528" s="7">
        <f>IF(Zarejestrowane!$C$535="","",Zarejestrowane!$C$535)</f>
        <v>0</v>
      </c>
      <c r="H528" s="9">
        <f>IF(AND($F528&lt;&gt;"",ISNUMBER(SEARCH('Nr rejestracyjny'!$F$5,$F528))),COUNT($H$1:H527)+1,"")</f>
        <v>0</v>
      </c>
      <c r="I528" s="9">
        <f>IF(AND($G528&lt;&gt;"",ISNUMBER(SEARCH('Nr rejestracyjny'!$F$5,$G528))),COUNT($I$1:I527)+1,"")</f>
        <v>0</v>
      </c>
    </row>
    <row r="529" spans="6:9">
      <c r="F529" s="7">
        <f>IF('W rejestracji'!$C$536="","",'W rejestracji'!$C$536)</f>
        <v>0</v>
      </c>
      <c r="G529" s="7">
        <f>IF(Zarejestrowane!$C$536="","",Zarejestrowane!$C$536)</f>
        <v>0</v>
      </c>
      <c r="H529" s="9">
        <f>IF(AND($F529&lt;&gt;"",ISNUMBER(SEARCH('Nr rejestracyjny'!$F$5,$F529))),COUNT($H$1:H528)+1,"")</f>
        <v>0</v>
      </c>
      <c r="I529" s="9">
        <f>IF(AND($G529&lt;&gt;"",ISNUMBER(SEARCH('Nr rejestracyjny'!$F$5,$G529))),COUNT($I$1:I528)+1,"")</f>
        <v>0</v>
      </c>
    </row>
    <row r="530" spans="6:9">
      <c r="F530" s="7">
        <f>IF('W rejestracji'!$C$537="","",'W rejestracji'!$C$537)</f>
        <v>0</v>
      </c>
      <c r="G530" s="7">
        <f>IF(Zarejestrowane!$C$537="","",Zarejestrowane!$C$537)</f>
        <v>0</v>
      </c>
      <c r="H530" s="9">
        <f>IF(AND($F530&lt;&gt;"",ISNUMBER(SEARCH('Nr rejestracyjny'!$F$5,$F530))),COUNT($H$1:H529)+1,"")</f>
        <v>0</v>
      </c>
      <c r="I530" s="9">
        <f>IF(AND($G530&lt;&gt;"",ISNUMBER(SEARCH('Nr rejestracyjny'!$F$5,$G530))),COUNT($I$1:I529)+1,"")</f>
        <v>0</v>
      </c>
    </row>
    <row r="531" spans="6:9">
      <c r="F531" s="7">
        <f>IF('W rejestracji'!$C$538="","",'W rejestracji'!$C$538)</f>
        <v>0</v>
      </c>
      <c r="G531" s="7">
        <f>IF(Zarejestrowane!$C$538="","",Zarejestrowane!$C$538)</f>
        <v>0</v>
      </c>
      <c r="H531" s="9">
        <f>IF(AND($F531&lt;&gt;"",ISNUMBER(SEARCH('Nr rejestracyjny'!$F$5,$F531))),COUNT($H$1:H530)+1,"")</f>
        <v>0</v>
      </c>
      <c r="I531" s="9">
        <f>IF(AND($G531&lt;&gt;"",ISNUMBER(SEARCH('Nr rejestracyjny'!$F$5,$G531))),COUNT($I$1:I530)+1,"")</f>
        <v>0</v>
      </c>
    </row>
    <row r="532" spans="6:9">
      <c r="F532" s="7">
        <f>IF('W rejestracji'!$C$539="","",'W rejestracji'!$C$539)</f>
        <v>0</v>
      </c>
      <c r="G532" s="7">
        <f>IF(Zarejestrowane!$C$539="","",Zarejestrowane!$C$539)</f>
        <v>0</v>
      </c>
      <c r="H532" s="9">
        <f>IF(AND($F532&lt;&gt;"",ISNUMBER(SEARCH('Nr rejestracyjny'!$F$5,$F532))),COUNT($H$1:H531)+1,"")</f>
        <v>0</v>
      </c>
      <c r="I532" s="9">
        <f>IF(AND($G532&lt;&gt;"",ISNUMBER(SEARCH('Nr rejestracyjny'!$F$5,$G532))),COUNT($I$1:I531)+1,"")</f>
        <v>0</v>
      </c>
    </row>
    <row r="533" spans="6:9">
      <c r="F533" s="7">
        <f>IF('W rejestracji'!$C$540="","",'W rejestracji'!$C$540)</f>
        <v>0</v>
      </c>
      <c r="G533" s="7">
        <f>IF(Zarejestrowane!$C$540="","",Zarejestrowane!$C$540)</f>
        <v>0</v>
      </c>
      <c r="H533" s="9">
        <f>IF(AND($F533&lt;&gt;"",ISNUMBER(SEARCH('Nr rejestracyjny'!$F$5,$F533))),COUNT($H$1:H532)+1,"")</f>
        <v>0</v>
      </c>
      <c r="I533" s="9">
        <f>IF(AND($G533&lt;&gt;"",ISNUMBER(SEARCH('Nr rejestracyjny'!$F$5,$G533))),COUNT($I$1:I532)+1,"")</f>
        <v>0</v>
      </c>
    </row>
    <row r="534" spans="6:9">
      <c r="F534" s="7">
        <f>IF('W rejestracji'!$C$541="","",'W rejestracji'!$C$541)</f>
        <v>0</v>
      </c>
      <c r="G534" s="7">
        <f>IF(Zarejestrowane!$C$541="","",Zarejestrowane!$C$541)</f>
        <v>0</v>
      </c>
      <c r="H534" s="9">
        <f>IF(AND($F534&lt;&gt;"",ISNUMBER(SEARCH('Nr rejestracyjny'!$F$5,$F534))),COUNT($H$1:H533)+1,"")</f>
        <v>0</v>
      </c>
      <c r="I534" s="9">
        <f>IF(AND($G534&lt;&gt;"",ISNUMBER(SEARCH('Nr rejestracyjny'!$F$5,$G534))),COUNT($I$1:I533)+1,"")</f>
        <v>0</v>
      </c>
    </row>
    <row r="535" spans="6:9">
      <c r="F535" s="7">
        <f>IF('W rejestracji'!$C$542="","",'W rejestracji'!$C$542)</f>
        <v>0</v>
      </c>
      <c r="G535" s="7">
        <f>IF(Zarejestrowane!$C$542="","",Zarejestrowane!$C$542)</f>
        <v>0</v>
      </c>
      <c r="H535" s="9">
        <f>IF(AND($F535&lt;&gt;"",ISNUMBER(SEARCH('Nr rejestracyjny'!$F$5,$F535))),COUNT($H$1:H534)+1,"")</f>
        <v>0</v>
      </c>
      <c r="I535" s="9">
        <f>IF(AND($G535&lt;&gt;"",ISNUMBER(SEARCH('Nr rejestracyjny'!$F$5,$G535))),COUNT($I$1:I534)+1,"")</f>
        <v>0</v>
      </c>
    </row>
    <row r="536" spans="6:9">
      <c r="F536" s="7">
        <f>IF('W rejestracji'!$C$543="","",'W rejestracji'!$C$543)</f>
        <v>0</v>
      </c>
      <c r="G536" s="7">
        <f>IF(Zarejestrowane!$C$543="","",Zarejestrowane!$C$543)</f>
        <v>0</v>
      </c>
      <c r="H536" s="9">
        <f>IF(AND($F536&lt;&gt;"",ISNUMBER(SEARCH('Nr rejestracyjny'!$F$5,$F536))),COUNT($H$1:H535)+1,"")</f>
        <v>0</v>
      </c>
      <c r="I536" s="9">
        <f>IF(AND($G536&lt;&gt;"",ISNUMBER(SEARCH('Nr rejestracyjny'!$F$5,$G536))),COUNT($I$1:I535)+1,"")</f>
        <v>0</v>
      </c>
    </row>
    <row r="537" spans="6:9">
      <c r="F537" s="7">
        <f>IF('W rejestracji'!$C$544="","",'W rejestracji'!$C$544)</f>
        <v>0</v>
      </c>
      <c r="G537" s="7">
        <f>IF(Zarejestrowane!$C$544="","",Zarejestrowane!$C$544)</f>
        <v>0</v>
      </c>
      <c r="H537" s="9">
        <f>IF(AND($F537&lt;&gt;"",ISNUMBER(SEARCH('Nr rejestracyjny'!$F$5,$F537))),COUNT($H$1:H536)+1,"")</f>
        <v>0</v>
      </c>
      <c r="I537" s="9">
        <f>IF(AND($G537&lt;&gt;"",ISNUMBER(SEARCH('Nr rejestracyjny'!$F$5,$G537))),COUNT($I$1:I536)+1,"")</f>
        <v>0</v>
      </c>
    </row>
    <row r="538" spans="6:9">
      <c r="F538" s="7">
        <f>IF('W rejestracji'!$C$545="","",'W rejestracji'!$C$545)</f>
        <v>0</v>
      </c>
      <c r="G538" s="7">
        <f>IF(Zarejestrowane!$C$545="","",Zarejestrowane!$C$545)</f>
        <v>0</v>
      </c>
      <c r="H538" s="9">
        <f>IF(AND($F538&lt;&gt;"",ISNUMBER(SEARCH('Nr rejestracyjny'!$F$5,$F538))),COUNT($H$1:H537)+1,"")</f>
        <v>0</v>
      </c>
      <c r="I538" s="9">
        <f>IF(AND($G538&lt;&gt;"",ISNUMBER(SEARCH('Nr rejestracyjny'!$F$5,$G538))),COUNT($I$1:I537)+1,"")</f>
        <v>0</v>
      </c>
    </row>
    <row r="539" spans="6:9">
      <c r="F539" s="7">
        <f>IF('W rejestracji'!$C$546="","",'W rejestracji'!$C$546)</f>
        <v>0</v>
      </c>
      <c r="G539" s="7">
        <f>IF(Zarejestrowane!$C$546="","",Zarejestrowane!$C$546)</f>
        <v>0</v>
      </c>
      <c r="H539" s="9">
        <f>IF(AND($F539&lt;&gt;"",ISNUMBER(SEARCH('Nr rejestracyjny'!$F$5,$F539))),COUNT($H$1:H538)+1,"")</f>
        <v>0</v>
      </c>
      <c r="I539" s="9">
        <f>IF(AND($G539&lt;&gt;"",ISNUMBER(SEARCH('Nr rejestracyjny'!$F$5,$G539))),COUNT($I$1:I538)+1,"")</f>
        <v>0</v>
      </c>
    </row>
    <row r="540" spans="6:9">
      <c r="F540" s="7">
        <f>IF('W rejestracji'!$C$547="","",'W rejestracji'!$C$547)</f>
        <v>0</v>
      </c>
      <c r="G540" s="7">
        <f>IF(Zarejestrowane!$C$547="","",Zarejestrowane!$C$547)</f>
        <v>0</v>
      </c>
      <c r="H540" s="9">
        <f>IF(AND($F540&lt;&gt;"",ISNUMBER(SEARCH('Nr rejestracyjny'!$F$5,$F540))),COUNT($H$1:H539)+1,"")</f>
        <v>0</v>
      </c>
      <c r="I540" s="9">
        <f>IF(AND($G540&lt;&gt;"",ISNUMBER(SEARCH('Nr rejestracyjny'!$F$5,$G540))),COUNT($I$1:I539)+1,"")</f>
        <v>0</v>
      </c>
    </row>
    <row r="541" spans="6:9">
      <c r="F541" s="7">
        <f>IF('W rejestracji'!$C$548="","",'W rejestracji'!$C$548)</f>
        <v>0</v>
      </c>
      <c r="G541" s="7">
        <f>IF(Zarejestrowane!$C$548="","",Zarejestrowane!$C$548)</f>
        <v>0</v>
      </c>
      <c r="H541" s="9">
        <f>IF(AND($F541&lt;&gt;"",ISNUMBER(SEARCH('Nr rejestracyjny'!$F$5,$F541))),COUNT($H$1:H540)+1,"")</f>
        <v>0</v>
      </c>
      <c r="I541" s="9">
        <f>IF(AND($G541&lt;&gt;"",ISNUMBER(SEARCH('Nr rejestracyjny'!$F$5,$G541))),COUNT($I$1:I540)+1,"")</f>
        <v>0</v>
      </c>
    </row>
    <row r="542" spans="6:9">
      <c r="F542" s="7">
        <f>IF('W rejestracji'!$C$549="","",'W rejestracji'!$C$549)</f>
        <v>0</v>
      </c>
      <c r="G542" s="7">
        <f>IF(Zarejestrowane!$C$549="","",Zarejestrowane!$C$549)</f>
        <v>0</v>
      </c>
      <c r="H542" s="9">
        <f>IF(AND($F542&lt;&gt;"",ISNUMBER(SEARCH('Nr rejestracyjny'!$F$5,$F542))),COUNT($H$1:H541)+1,"")</f>
        <v>0</v>
      </c>
      <c r="I542" s="9">
        <f>IF(AND($G542&lt;&gt;"",ISNUMBER(SEARCH('Nr rejestracyjny'!$F$5,$G542))),COUNT($I$1:I541)+1,"")</f>
        <v>0</v>
      </c>
    </row>
    <row r="543" spans="6:9">
      <c r="F543" s="7">
        <f>IF('W rejestracji'!$C$550="","",'W rejestracji'!$C$550)</f>
        <v>0</v>
      </c>
      <c r="G543" s="7">
        <f>IF(Zarejestrowane!$C$550="","",Zarejestrowane!$C$550)</f>
        <v>0</v>
      </c>
      <c r="H543" s="9">
        <f>IF(AND($F543&lt;&gt;"",ISNUMBER(SEARCH('Nr rejestracyjny'!$F$5,$F543))),COUNT($H$1:H542)+1,"")</f>
        <v>0</v>
      </c>
      <c r="I543" s="9">
        <f>IF(AND($G543&lt;&gt;"",ISNUMBER(SEARCH('Nr rejestracyjny'!$F$5,$G543))),COUNT($I$1:I542)+1,"")</f>
        <v>0</v>
      </c>
    </row>
    <row r="544" spans="6:9">
      <c r="F544" s="7">
        <f>IF('W rejestracji'!$C$551="","",'W rejestracji'!$C$551)</f>
        <v>0</v>
      </c>
      <c r="G544" s="7">
        <f>IF(Zarejestrowane!$C$551="","",Zarejestrowane!$C$551)</f>
        <v>0</v>
      </c>
      <c r="H544" s="9">
        <f>IF(AND($F544&lt;&gt;"",ISNUMBER(SEARCH('Nr rejestracyjny'!$F$5,$F544))),COUNT($H$1:H543)+1,"")</f>
        <v>0</v>
      </c>
      <c r="I544" s="9">
        <f>IF(AND($G544&lt;&gt;"",ISNUMBER(SEARCH('Nr rejestracyjny'!$F$5,$G544))),COUNT($I$1:I543)+1,"")</f>
        <v>0</v>
      </c>
    </row>
    <row r="545" spans="6:9">
      <c r="F545" s="7">
        <f>IF('W rejestracji'!$C$552="","",'W rejestracji'!$C$552)</f>
        <v>0</v>
      </c>
      <c r="G545" s="7">
        <f>IF(Zarejestrowane!$C$552="","",Zarejestrowane!$C$552)</f>
        <v>0</v>
      </c>
      <c r="H545" s="9">
        <f>IF(AND($F545&lt;&gt;"",ISNUMBER(SEARCH('Nr rejestracyjny'!$F$5,$F545))),COUNT($H$1:H544)+1,"")</f>
        <v>0</v>
      </c>
      <c r="I545" s="9">
        <f>IF(AND($G545&lt;&gt;"",ISNUMBER(SEARCH('Nr rejestracyjny'!$F$5,$G545))),COUNT($I$1:I544)+1,"")</f>
        <v>0</v>
      </c>
    </row>
    <row r="546" spans="6:9">
      <c r="F546" s="7">
        <f>IF('W rejestracji'!$C$553="","",'W rejestracji'!$C$553)</f>
        <v>0</v>
      </c>
      <c r="G546" s="7">
        <f>IF(Zarejestrowane!$C$553="","",Zarejestrowane!$C$553)</f>
        <v>0</v>
      </c>
      <c r="H546" s="9">
        <f>IF(AND($F546&lt;&gt;"",ISNUMBER(SEARCH('Nr rejestracyjny'!$F$5,$F546))),COUNT($H$1:H545)+1,"")</f>
        <v>0</v>
      </c>
      <c r="I546" s="9">
        <f>IF(AND($G546&lt;&gt;"",ISNUMBER(SEARCH('Nr rejestracyjny'!$F$5,$G546))),COUNT($I$1:I545)+1,"")</f>
        <v>0</v>
      </c>
    </row>
    <row r="547" spans="6:9">
      <c r="F547" s="7">
        <f>IF('W rejestracji'!$C$554="","",'W rejestracji'!$C$554)</f>
        <v>0</v>
      </c>
      <c r="G547" s="7">
        <f>IF(Zarejestrowane!$C$554="","",Zarejestrowane!$C$554)</f>
        <v>0</v>
      </c>
      <c r="H547" s="9">
        <f>IF(AND($F547&lt;&gt;"",ISNUMBER(SEARCH('Nr rejestracyjny'!$F$5,$F547))),COUNT($H$1:H546)+1,"")</f>
        <v>0</v>
      </c>
      <c r="I547" s="9">
        <f>IF(AND($G547&lt;&gt;"",ISNUMBER(SEARCH('Nr rejestracyjny'!$F$5,$G547))),COUNT($I$1:I546)+1,"")</f>
        <v>0</v>
      </c>
    </row>
    <row r="548" spans="6:9">
      <c r="F548" s="7">
        <f>IF('W rejestracji'!$C$555="","",'W rejestracji'!$C$555)</f>
        <v>0</v>
      </c>
      <c r="G548" s="7">
        <f>IF(Zarejestrowane!$C$555="","",Zarejestrowane!$C$555)</f>
        <v>0</v>
      </c>
      <c r="H548" s="9">
        <f>IF(AND($F548&lt;&gt;"",ISNUMBER(SEARCH('Nr rejestracyjny'!$F$5,$F548))),COUNT($H$1:H547)+1,"")</f>
        <v>0</v>
      </c>
      <c r="I548" s="9">
        <f>IF(AND($G548&lt;&gt;"",ISNUMBER(SEARCH('Nr rejestracyjny'!$F$5,$G548))),COUNT($I$1:I547)+1,"")</f>
        <v>0</v>
      </c>
    </row>
    <row r="549" spans="6:9">
      <c r="F549" s="7">
        <f>IF('W rejestracji'!$C$556="","",'W rejestracji'!$C$556)</f>
        <v>0</v>
      </c>
      <c r="G549" s="7">
        <f>IF(Zarejestrowane!$C$556="","",Zarejestrowane!$C$556)</f>
        <v>0</v>
      </c>
      <c r="H549" s="9">
        <f>IF(AND($F549&lt;&gt;"",ISNUMBER(SEARCH('Nr rejestracyjny'!$F$5,$F549))),COUNT($H$1:H548)+1,"")</f>
        <v>0</v>
      </c>
      <c r="I549" s="9">
        <f>IF(AND($G549&lt;&gt;"",ISNUMBER(SEARCH('Nr rejestracyjny'!$F$5,$G549))),COUNT($I$1:I548)+1,"")</f>
        <v>0</v>
      </c>
    </row>
    <row r="550" spans="6:9">
      <c r="F550" s="7">
        <f>IF('W rejestracji'!$C$557="","",'W rejestracji'!$C$557)</f>
        <v>0</v>
      </c>
      <c r="G550" s="7">
        <f>IF(Zarejestrowane!$C$557="","",Zarejestrowane!$C$557)</f>
        <v>0</v>
      </c>
      <c r="H550" s="9">
        <f>IF(AND($F550&lt;&gt;"",ISNUMBER(SEARCH('Nr rejestracyjny'!$F$5,$F550))),COUNT($H$1:H549)+1,"")</f>
        <v>0</v>
      </c>
      <c r="I550" s="9">
        <f>IF(AND($G550&lt;&gt;"",ISNUMBER(SEARCH('Nr rejestracyjny'!$F$5,$G550))),COUNT($I$1:I549)+1,"")</f>
        <v>0</v>
      </c>
    </row>
    <row r="551" spans="6:9">
      <c r="F551" s="7">
        <f>IF('W rejestracji'!$C$558="","",'W rejestracji'!$C$558)</f>
        <v>0</v>
      </c>
      <c r="G551" s="7">
        <f>IF(Zarejestrowane!$C$558="","",Zarejestrowane!$C$558)</f>
        <v>0</v>
      </c>
      <c r="H551" s="9">
        <f>IF(AND($F551&lt;&gt;"",ISNUMBER(SEARCH('Nr rejestracyjny'!$F$5,$F551))),COUNT($H$1:H550)+1,"")</f>
        <v>0</v>
      </c>
      <c r="I551" s="9">
        <f>IF(AND($G551&lt;&gt;"",ISNUMBER(SEARCH('Nr rejestracyjny'!$F$5,$G551))),COUNT($I$1:I550)+1,"")</f>
        <v>0</v>
      </c>
    </row>
    <row r="552" spans="6:9">
      <c r="F552" s="7">
        <f>IF('W rejestracji'!$C$559="","",'W rejestracji'!$C$559)</f>
        <v>0</v>
      </c>
      <c r="G552" s="7">
        <f>IF(Zarejestrowane!$C$559="","",Zarejestrowane!$C$559)</f>
        <v>0</v>
      </c>
      <c r="H552" s="9">
        <f>IF(AND($F552&lt;&gt;"",ISNUMBER(SEARCH('Nr rejestracyjny'!$F$5,$F552))),COUNT($H$1:H551)+1,"")</f>
        <v>0</v>
      </c>
      <c r="I552" s="9">
        <f>IF(AND($G552&lt;&gt;"",ISNUMBER(SEARCH('Nr rejestracyjny'!$F$5,$G552))),COUNT($I$1:I551)+1,"")</f>
        <v>0</v>
      </c>
    </row>
    <row r="553" spans="6:9">
      <c r="F553" s="7">
        <f>IF('W rejestracji'!$C$560="","",'W rejestracji'!$C$560)</f>
        <v>0</v>
      </c>
      <c r="G553" s="7">
        <f>IF(Zarejestrowane!$C$560="","",Zarejestrowane!$C$560)</f>
        <v>0</v>
      </c>
      <c r="H553" s="9">
        <f>IF(AND($F553&lt;&gt;"",ISNUMBER(SEARCH('Nr rejestracyjny'!$F$5,$F553))),COUNT($H$1:H552)+1,"")</f>
        <v>0</v>
      </c>
      <c r="I553" s="9">
        <f>IF(AND($G553&lt;&gt;"",ISNUMBER(SEARCH('Nr rejestracyjny'!$F$5,$G553))),COUNT($I$1:I552)+1,"")</f>
        <v>0</v>
      </c>
    </row>
    <row r="554" spans="6:9">
      <c r="F554" s="7">
        <f>IF('W rejestracji'!$C$561="","",'W rejestracji'!$C$561)</f>
        <v>0</v>
      </c>
      <c r="G554" s="7">
        <f>IF(Zarejestrowane!$C$561="","",Zarejestrowane!$C$561)</f>
        <v>0</v>
      </c>
      <c r="H554" s="9">
        <f>IF(AND($F554&lt;&gt;"",ISNUMBER(SEARCH('Nr rejestracyjny'!$F$5,$F554))),COUNT($H$1:H553)+1,"")</f>
        <v>0</v>
      </c>
      <c r="I554" s="9">
        <f>IF(AND($G554&lt;&gt;"",ISNUMBER(SEARCH('Nr rejestracyjny'!$F$5,$G554))),COUNT($I$1:I553)+1,"")</f>
        <v>0</v>
      </c>
    </row>
    <row r="555" spans="6:9">
      <c r="F555" s="7">
        <f>IF('W rejestracji'!$C$562="","",'W rejestracji'!$C$562)</f>
        <v>0</v>
      </c>
      <c r="G555" s="7">
        <f>IF(Zarejestrowane!$C$562="","",Zarejestrowane!$C$562)</f>
        <v>0</v>
      </c>
      <c r="H555" s="9">
        <f>IF(AND($F555&lt;&gt;"",ISNUMBER(SEARCH('Nr rejestracyjny'!$F$5,$F555))),COUNT($H$1:H554)+1,"")</f>
        <v>0</v>
      </c>
      <c r="I555" s="9">
        <f>IF(AND($G555&lt;&gt;"",ISNUMBER(SEARCH('Nr rejestracyjny'!$F$5,$G555))),COUNT($I$1:I554)+1,"")</f>
        <v>0</v>
      </c>
    </row>
    <row r="556" spans="6:9">
      <c r="F556" s="7">
        <f>IF('W rejestracji'!$C$563="","",'W rejestracji'!$C$563)</f>
        <v>0</v>
      </c>
      <c r="G556" s="7">
        <f>IF(Zarejestrowane!$C$563="","",Zarejestrowane!$C$563)</f>
        <v>0</v>
      </c>
      <c r="H556" s="9">
        <f>IF(AND($F556&lt;&gt;"",ISNUMBER(SEARCH('Nr rejestracyjny'!$F$5,$F556))),COUNT($H$1:H555)+1,"")</f>
        <v>0</v>
      </c>
      <c r="I556" s="9">
        <f>IF(AND($G556&lt;&gt;"",ISNUMBER(SEARCH('Nr rejestracyjny'!$F$5,$G556))),COUNT($I$1:I555)+1,"")</f>
        <v>0</v>
      </c>
    </row>
    <row r="557" spans="6:9">
      <c r="F557" s="7">
        <f>IF('W rejestracji'!$C$564="","",'W rejestracji'!$C$564)</f>
        <v>0</v>
      </c>
      <c r="G557" s="7">
        <f>IF(Zarejestrowane!$C$564="","",Zarejestrowane!$C$564)</f>
        <v>0</v>
      </c>
      <c r="H557" s="9">
        <f>IF(AND($F557&lt;&gt;"",ISNUMBER(SEARCH('Nr rejestracyjny'!$F$5,$F557))),COUNT($H$1:H556)+1,"")</f>
        <v>0</v>
      </c>
      <c r="I557" s="9">
        <f>IF(AND($G557&lt;&gt;"",ISNUMBER(SEARCH('Nr rejestracyjny'!$F$5,$G557))),COUNT($I$1:I556)+1,"")</f>
        <v>0</v>
      </c>
    </row>
    <row r="558" spans="6:9">
      <c r="F558" s="7">
        <f>IF('W rejestracji'!$C$565="","",'W rejestracji'!$C$565)</f>
        <v>0</v>
      </c>
      <c r="G558" s="7">
        <f>IF(Zarejestrowane!$C$565="","",Zarejestrowane!$C$565)</f>
        <v>0</v>
      </c>
      <c r="H558" s="9">
        <f>IF(AND($F558&lt;&gt;"",ISNUMBER(SEARCH('Nr rejestracyjny'!$F$5,$F558))),COUNT($H$1:H557)+1,"")</f>
        <v>0</v>
      </c>
      <c r="I558" s="9">
        <f>IF(AND($G558&lt;&gt;"",ISNUMBER(SEARCH('Nr rejestracyjny'!$F$5,$G558))),COUNT($I$1:I557)+1,"")</f>
        <v>0</v>
      </c>
    </row>
    <row r="559" spans="6:9">
      <c r="F559" s="7">
        <f>IF('W rejestracji'!$C$566="","",'W rejestracji'!$C$566)</f>
        <v>0</v>
      </c>
      <c r="G559" s="7">
        <f>IF(Zarejestrowane!$C$566="","",Zarejestrowane!$C$566)</f>
        <v>0</v>
      </c>
      <c r="H559" s="9">
        <f>IF(AND($F559&lt;&gt;"",ISNUMBER(SEARCH('Nr rejestracyjny'!$F$5,$F559))),COUNT($H$1:H558)+1,"")</f>
        <v>0</v>
      </c>
      <c r="I559" s="9">
        <f>IF(AND($G559&lt;&gt;"",ISNUMBER(SEARCH('Nr rejestracyjny'!$F$5,$G559))),COUNT($I$1:I558)+1,"")</f>
        <v>0</v>
      </c>
    </row>
    <row r="560" spans="6:9">
      <c r="F560" s="7">
        <f>IF('W rejestracji'!$C$567="","",'W rejestracji'!$C$567)</f>
        <v>0</v>
      </c>
      <c r="G560" s="7">
        <f>IF(Zarejestrowane!$C$567="","",Zarejestrowane!$C$567)</f>
        <v>0</v>
      </c>
      <c r="H560" s="9">
        <f>IF(AND($F560&lt;&gt;"",ISNUMBER(SEARCH('Nr rejestracyjny'!$F$5,$F560))),COUNT($H$1:H559)+1,"")</f>
        <v>0</v>
      </c>
      <c r="I560" s="9">
        <f>IF(AND($G560&lt;&gt;"",ISNUMBER(SEARCH('Nr rejestracyjny'!$F$5,$G560))),COUNT($I$1:I559)+1,"")</f>
        <v>0</v>
      </c>
    </row>
    <row r="561" spans="6:9">
      <c r="F561" s="7">
        <f>IF('W rejestracji'!$C$568="","",'W rejestracji'!$C$568)</f>
        <v>0</v>
      </c>
      <c r="G561" s="7">
        <f>IF(Zarejestrowane!$C$568="","",Zarejestrowane!$C$568)</f>
        <v>0</v>
      </c>
      <c r="H561" s="9">
        <f>IF(AND($F561&lt;&gt;"",ISNUMBER(SEARCH('Nr rejestracyjny'!$F$5,$F561))),COUNT($H$1:H560)+1,"")</f>
        <v>0</v>
      </c>
      <c r="I561" s="9">
        <f>IF(AND($G561&lt;&gt;"",ISNUMBER(SEARCH('Nr rejestracyjny'!$F$5,$G561))),COUNT($I$1:I560)+1,"")</f>
        <v>0</v>
      </c>
    </row>
    <row r="562" spans="6:9">
      <c r="F562" s="7">
        <f>IF('W rejestracji'!$C$569="","",'W rejestracji'!$C$569)</f>
        <v>0</v>
      </c>
      <c r="G562" s="7">
        <f>IF(Zarejestrowane!$C$569="","",Zarejestrowane!$C$569)</f>
        <v>0</v>
      </c>
      <c r="H562" s="9">
        <f>IF(AND($F562&lt;&gt;"",ISNUMBER(SEARCH('Nr rejestracyjny'!$F$5,$F562))),COUNT($H$1:H561)+1,"")</f>
        <v>0</v>
      </c>
      <c r="I562" s="9">
        <f>IF(AND($G562&lt;&gt;"",ISNUMBER(SEARCH('Nr rejestracyjny'!$F$5,$G562))),COUNT($I$1:I561)+1,"")</f>
        <v>0</v>
      </c>
    </row>
    <row r="563" spans="6:9">
      <c r="F563" s="7">
        <f>IF('W rejestracji'!$C$570="","",'W rejestracji'!$C$570)</f>
        <v>0</v>
      </c>
      <c r="G563" s="7">
        <f>IF(Zarejestrowane!$C$570="","",Zarejestrowane!$C$570)</f>
        <v>0</v>
      </c>
      <c r="H563" s="9">
        <f>IF(AND($F563&lt;&gt;"",ISNUMBER(SEARCH('Nr rejestracyjny'!$F$5,$F563))),COUNT($H$1:H562)+1,"")</f>
        <v>0</v>
      </c>
      <c r="I563" s="9">
        <f>IF(AND($G563&lt;&gt;"",ISNUMBER(SEARCH('Nr rejestracyjny'!$F$5,$G563))),COUNT($I$1:I562)+1,"")</f>
        <v>0</v>
      </c>
    </row>
    <row r="564" spans="6:9">
      <c r="F564" s="7">
        <f>IF('W rejestracji'!$C$571="","",'W rejestracji'!$C$571)</f>
        <v>0</v>
      </c>
      <c r="G564" s="7">
        <f>IF(Zarejestrowane!$C$571="","",Zarejestrowane!$C$571)</f>
        <v>0</v>
      </c>
      <c r="H564" s="9">
        <f>IF(AND($F564&lt;&gt;"",ISNUMBER(SEARCH('Nr rejestracyjny'!$F$5,$F564))),COUNT($H$1:H563)+1,"")</f>
        <v>0</v>
      </c>
      <c r="I564" s="9">
        <f>IF(AND($G564&lt;&gt;"",ISNUMBER(SEARCH('Nr rejestracyjny'!$F$5,$G564))),COUNT($I$1:I563)+1,"")</f>
        <v>0</v>
      </c>
    </row>
    <row r="565" spans="6:9">
      <c r="F565" s="7">
        <f>IF('W rejestracji'!$C$572="","",'W rejestracji'!$C$572)</f>
        <v>0</v>
      </c>
      <c r="G565" s="7">
        <f>IF(Zarejestrowane!$C$572="","",Zarejestrowane!$C$572)</f>
        <v>0</v>
      </c>
      <c r="H565" s="9">
        <f>IF(AND($F565&lt;&gt;"",ISNUMBER(SEARCH('Nr rejestracyjny'!$F$5,$F565))),COUNT($H$1:H564)+1,"")</f>
        <v>0</v>
      </c>
      <c r="I565" s="9">
        <f>IF(AND($G565&lt;&gt;"",ISNUMBER(SEARCH('Nr rejestracyjny'!$F$5,$G565))),COUNT($I$1:I564)+1,"")</f>
        <v>0</v>
      </c>
    </row>
    <row r="566" spans="6:9">
      <c r="F566" s="7">
        <f>IF('W rejestracji'!$C$573="","",'W rejestracji'!$C$573)</f>
        <v>0</v>
      </c>
      <c r="G566" s="7">
        <f>IF(Zarejestrowane!$C$573="","",Zarejestrowane!$C$573)</f>
        <v>0</v>
      </c>
      <c r="H566" s="9">
        <f>IF(AND($F566&lt;&gt;"",ISNUMBER(SEARCH('Nr rejestracyjny'!$F$5,$F566))),COUNT($H$1:H565)+1,"")</f>
        <v>0</v>
      </c>
      <c r="I566" s="9">
        <f>IF(AND($G566&lt;&gt;"",ISNUMBER(SEARCH('Nr rejestracyjny'!$F$5,$G566))),COUNT($I$1:I565)+1,"")</f>
        <v>0</v>
      </c>
    </row>
    <row r="567" spans="6:9">
      <c r="F567" s="7">
        <f>IF('W rejestracji'!$C$574="","",'W rejestracji'!$C$574)</f>
        <v>0</v>
      </c>
      <c r="G567" s="7">
        <f>IF(Zarejestrowane!$C$574="","",Zarejestrowane!$C$574)</f>
        <v>0</v>
      </c>
      <c r="H567" s="9">
        <f>IF(AND($F567&lt;&gt;"",ISNUMBER(SEARCH('Nr rejestracyjny'!$F$5,$F567))),COUNT($H$1:H566)+1,"")</f>
        <v>0</v>
      </c>
      <c r="I567" s="9">
        <f>IF(AND($G567&lt;&gt;"",ISNUMBER(SEARCH('Nr rejestracyjny'!$F$5,$G567))),COUNT($I$1:I566)+1,"")</f>
        <v>0</v>
      </c>
    </row>
    <row r="568" spans="6:9">
      <c r="F568" s="7">
        <f>IF('W rejestracji'!$C$575="","",'W rejestracji'!$C$575)</f>
        <v>0</v>
      </c>
      <c r="G568" s="7">
        <f>IF(Zarejestrowane!$C$575="","",Zarejestrowane!$C$575)</f>
        <v>0</v>
      </c>
      <c r="H568" s="9">
        <f>IF(AND($F568&lt;&gt;"",ISNUMBER(SEARCH('Nr rejestracyjny'!$F$5,$F568))),COUNT($H$1:H567)+1,"")</f>
        <v>0</v>
      </c>
      <c r="I568" s="9">
        <f>IF(AND($G568&lt;&gt;"",ISNUMBER(SEARCH('Nr rejestracyjny'!$F$5,$G568))),COUNT($I$1:I567)+1,"")</f>
        <v>0</v>
      </c>
    </row>
    <row r="569" spans="6:9">
      <c r="F569" s="7">
        <f>IF('W rejestracji'!$C$576="","",'W rejestracji'!$C$576)</f>
        <v>0</v>
      </c>
      <c r="G569" s="7">
        <f>IF(Zarejestrowane!$C$576="","",Zarejestrowane!$C$576)</f>
        <v>0</v>
      </c>
      <c r="H569" s="9">
        <f>IF(AND($F569&lt;&gt;"",ISNUMBER(SEARCH('Nr rejestracyjny'!$F$5,$F569))),COUNT($H$1:H568)+1,"")</f>
        <v>0</v>
      </c>
      <c r="I569" s="9">
        <f>IF(AND($G569&lt;&gt;"",ISNUMBER(SEARCH('Nr rejestracyjny'!$F$5,$G569))),COUNT($I$1:I568)+1,"")</f>
        <v>0</v>
      </c>
    </row>
    <row r="570" spans="6:9">
      <c r="F570" s="7">
        <f>IF('W rejestracji'!$C$577="","",'W rejestracji'!$C$577)</f>
        <v>0</v>
      </c>
      <c r="G570" s="7">
        <f>IF(Zarejestrowane!$C$577="","",Zarejestrowane!$C$577)</f>
        <v>0</v>
      </c>
      <c r="H570" s="9">
        <f>IF(AND($F570&lt;&gt;"",ISNUMBER(SEARCH('Nr rejestracyjny'!$F$5,$F570))),COUNT($H$1:H569)+1,"")</f>
        <v>0</v>
      </c>
      <c r="I570" s="9">
        <f>IF(AND($G570&lt;&gt;"",ISNUMBER(SEARCH('Nr rejestracyjny'!$F$5,$G570))),COUNT($I$1:I569)+1,"")</f>
        <v>0</v>
      </c>
    </row>
    <row r="571" spans="6:9">
      <c r="F571" s="7">
        <f>IF('W rejestracji'!$C$578="","",'W rejestracji'!$C$578)</f>
        <v>0</v>
      </c>
      <c r="G571" s="7">
        <f>IF(Zarejestrowane!$C$578="","",Zarejestrowane!$C$578)</f>
        <v>0</v>
      </c>
      <c r="H571" s="9">
        <f>IF(AND($F571&lt;&gt;"",ISNUMBER(SEARCH('Nr rejestracyjny'!$F$5,$F571))),COUNT($H$1:H570)+1,"")</f>
        <v>0</v>
      </c>
      <c r="I571" s="9">
        <f>IF(AND($G571&lt;&gt;"",ISNUMBER(SEARCH('Nr rejestracyjny'!$F$5,$G571))),COUNT($I$1:I570)+1,"")</f>
        <v>0</v>
      </c>
    </row>
    <row r="572" spans="6:9">
      <c r="F572" s="7">
        <f>IF('W rejestracji'!$C$579="","",'W rejestracji'!$C$579)</f>
        <v>0</v>
      </c>
      <c r="G572" s="7">
        <f>IF(Zarejestrowane!$C$579="","",Zarejestrowane!$C$579)</f>
        <v>0</v>
      </c>
      <c r="H572" s="9">
        <f>IF(AND($F572&lt;&gt;"",ISNUMBER(SEARCH('Nr rejestracyjny'!$F$5,$F572))),COUNT($H$1:H571)+1,"")</f>
        <v>0</v>
      </c>
      <c r="I572" s="9">
        <f>IF(AND($G572&lt;&gt;"",ISNUMBER(SEARCH('Nr rejestracyjny'!$F$5,$G572))),COUNT($I$1:I571)+1,"")</f>
        <v>0</v>
      </c>
    </row>
    <row r="573" spans="6:9">
      <c r="F573" s="7">
        <f>IF('W rejestracji'!$C$580="","",'W rejestracji'!$C$580)</f>
        <v>0</v>
      </c>
      <c r="G573" s="7">
        <f>IF(Zarejestrowane!$C$580="","",Zarejestrowane!$C$580)</f>
        <v>0</v>
      </c>
      <c r="H573" s="9">
        <f>IF(AND($F573&lt;&gt;"",ISNUMBER(SEARCH('Nr rejestracyjny'!$F$5,$F573))),COUNT($H$1:H572)+1,"")</f>
        <v>0</v>
      </c>
      <c r="I573" s="9">
        <f>IF(AND($G573&lt;&gt;"",ISNUMBER(SEARCH('Nr rejestracyjny'!$F$5,$G573))),COUNT($I$1:I572)+1,"")</f>
        <v>0</v>
      </c>
    </row>
    <row r="574" spans="6:9">
      <c r="F574" s="7">
        <f>IF('W rejestracji'!$C$581="","",'W rejestracji'!$C$581)</f>
        <v>0</v>
      </c>
      <c r="G574" s="7">
        <f>IF(Zarejestrowane!$C$581="","",Zarejestrowane!$C$581)</f>
        <v>0</v>
      </c>
      <c r="H574" s="9">
        <f>IF(AND($F574&lt;&gt;"",ISNUMBER(SEARCH('Nr rejestracyjny'!$F$5,$F574))),COUNT($H$1:H573)+1,"")</f>
        <v>0</v>
      </c>
      <c r="I574" s="9">
        <f>IF(AND($G574&lt;&gt;"",ISNUMBER(SEARCH('Nr rejestracyjny'!$F$5,$G574))),COUNT($I$1:I573)+1,"")</f>
        <v>0</v>
      </c>
    </row>
    <row r="575" spans="6:9">
      <c r="F575" s="7">
        <f>IF('W rejestracji'!$C$582="","",'W rejestracji'!$C$582)</f>
        <v>0</v>
      </c>
      <c r="G575" s="7">
        <f>IF(Zarejestrowane!$C$582="","",Zarejestrowane!$C$582)</f>
        <v>0</v>
      </c>
      <c r="H575" s="9">
        <f>IF(AND($F575&lt;&gt;"",ISNUMBER(SEARCH('Nr rejestracyjny'!$F$5,$F575))),COUNT($H$1:H574)+1,"")</f>
        <v>0</v>
      </c>
      <c r="I575" s="9">
        <f>IF(AND($G575&lt;&gt;"",ISNUMBER(SEARCH('Nr rejestracyjny'!$F$5,$G575))),COUNT($I$1:I574)+1,"")</f>
        <v>0</v>
      </c>
    </row>
    <row r="576" spans="6:9">
      <c r="F576" s="7">
        <f>IF('W rejestracji'!$C$583="","",'W rejestracji'!$C$583)</f>
        <v>0</v>
      </c>
      <c r="G576" s="7">
        <f>IF(Zarejestrowane!$C$583="","",Zarejestrowane!$C$583)</f>
        <v>0</v>
      </c>
      <c r="H576" s="9">
        <f>IF(AND($F576&lt;&gt;"",ISNUMBER(SEARCH('Nr rejestracyjny'!$F$5,$F576))),COUNT($H$1:H575)+1,"")</f>
        <v>0</v>
      </c>
      <c r="I576" s="9">
        <f>IF(AND($G576&lt;&gt;"",ISNUMBER(SEARCH('Nr rejestracyjny'!$F$5,$G576))),COUNT($I$1:I575)+1,"")</f>
        <v>0</v>
      </c>
    </row>
    <row r="577" spans="6:9">
      <c r="F577" s="7">
        <f>IF('W rejestracji'!$C$584="","",'W rejestracji'!$C$584)</f>
        <v>0</v>
      </c>
      <c r="G577" s="7">
        <f>IF(Zarejestrowane!$C$584="","",Zarejestrowane!$C$584)</f>
        <v>0</v>
      </c>
      <c r="H577" s="9">
        <f>IF(AND($F577&lt;&gt;"",ISNUMBER(SEARCH('Nr rejestracyjny'!$F$5,$F577))),COUNT($H$1:H576)+1,"")</f>
        <v>0</v>
      </c>
      <c r="I577" s="9">
        <f>IF(AND($G577&lt;&gt;"",ISNUMBER(SEARCH('Nr rejestracyjny'!$F$5,$G577))),COUNT($I$1:I576)+1,"")</f>
        <v>0</v>
      </c>
    </row>
    <row r="578" spans="6:9">
      <c r="F578" s="7">
        <f>IF('W rejestracji'!$C$585="","",'W rejestracji'!$C$585)</f>
        <v>0</v>
      </c>
      <c r="G578" s="7">
        <f>IF(Zarejestrowane!$C$585="","",Zarejestrowane!$C$585)</f>
        <v>0</v>
      </c>
      <c r="H578" s="9">
        <f>IF(AND($F578&lt;&gt;"",ISNUMBER(SEARCH('Nr rejestracyjny'!$F$5,$F578))),COUNT($H$1:H577)+1,"")</f>
        <v>0</v>
      </c>
      <c r="I578" s="9">
        <f>IF(AND($G578&lt;&gt;"",ISNUMBER(SEARCH('Nr rejestracyjny'!$F$5,$G578))),COUNT($I$1:I577)+1,"")</f>
        <v>0</v>
      </c>
    </row>
    <row r="579" spans="6:9">
      <c r="F579" s="7">
        <f>IF('W rejestracji'!$C$586="","",'W rejestracji'!$C$586)</f>
        <v>0</v>
      </c>
      <c r="G579" s="7">
        <f>IF(Zarejestrowane!$C$586="","",Zarejestrowane!$C$586)</f>
        <v>0</v>
      </c>
      <c r="H579" s="9">
        <f>IF(AND($F579&lt;&gt;"",ISNUMBER(SEARCH('Nr rejestracyjny'!$F$5,$F579))),COUNT($H$1:H578)+1,"")</f>
        <v>0</v>
      </c>
      <c r="I579" s="9">
        <f>IF(AND($G579&lt;&gt;"",ISNUMBER(SEARCH('Nr rejestracyjny'!$F$5,$G579))),COUNT($I$1:I578)+1,"")</f>
        <v>0</v>
      </c>
    </row>
    <row r="580" spans="6:9">
      <c r="F580" s="7">
        <f>IF('W rejestracji'!$C$587="","",'W rejestracji'!$C$587)</f>
        <v>0</v>
      </c>
      <c r="G580" s="7">
        <f>IF(Zarejestrowane!$C$587="","",Zarejestrowane!$C$587)</f>
        <v>0</v>
      </c>
      <c r="H580" s="9">
        <f>IF(AND($F580&lt;&gt;"",ISNUMBER(SEARCH('Nr rejestracyjny'!$F$5,$F580))),COUNT($H$1:H579)+1,"")</f>
        <v>0</v>
      </c>
      <c r="I580" s="9">
        <f>IF(AND($G580&lt;&gt;"",ISNUMBER(SEARCH('Nr rejestracyjny'!$F$5,$G580))),COUNT($I$1:I579)+1,"")</f>
        <v>0</v>
      </c>
    </row>
    <row r="581" spans="6:9">
      <c r="F581" s="7">
        <f>IF('W rejestracji'!$C$588="","",'W rejestracji'!$C$588)</f>
        <v>0</v>
      </c>
      <c r="G581" s="7">
        <f>IF(Zarejestrowane!$C$588="","",Zarejestrowane!$C$588)</f>
        <v>0</v>
      </c>
      <c r="H581" s="9">
        <f>IF(AND($F581&lt;&gt;"",ISNUMBER(SEARCH('Nr rejestracyjny'!$F$5,$F581))),COUNT($H$1:H580)+1,"")</f>
        <v>0</v>
      </c>
      <c r="I581" s="9">
        <f>IF(AND($G581&lt;&gt;"",ISNUMBER(SEARCH('Nr rejestracyjny'!$F$5,$G581))),COUNT($I$1:I580)+1,"")</f>
        <v>0</v>
      </c>
    </row>
    <row r="582" spans="6:9">
      <c r="F582" s="7">
        <f>IF('W rejestracji'!$C$589="","",'W rejestracji'!$C$589)</f>
        <v>0</v>
      </c>
      <c r="G582" s="7">
        <f>IF(Zarejestrowane!$C$589="","",Zarejestrowane!$C$589)</f>
        <v>0</v>
      </c>
      <c r="H582" s="9">
        <f>IF(AND($F582&lt;&gt;"",ISNUMBER(SEARCH('Nr rejestracyjny'!$F$5,$F582))),COUNT($H$1:H581)+1,"")</f>
        <v>0</v>
      </c>
      <c r="I582" s="9">
        <f>IF(AND($G582&lt;&gt;"",ISNUMBER(SEARCH('Nr rejestracyjny'!$F$5,$G582))),COUNT($I$1:I581)+1,"")</f>
        <v>0</v>
      </c>
    </row>
    <row r="583" spans="6:9">
      <c r="F583" s="7">
        <f>IF('W rejestracji'!$C$590="","",'W rejestracji'!$C$590)</f>
        <v>0</v>
      </c>
      <c r="G583" s="7">
        <f>IF(Zarejestrowane!$C$590="","",Zarejestrowane!$C$590)</f>
        <v>0</v>
      </c>
      <c r="H583" s="9">
        <f>IF(AND($F583&lt;&gt;"",ISNUMBER(SEARCH('Nr rejestracyjny'!$F$5,$F583))),COUNT($H$1:H582)+1,"")</f>
        <v>0</v>
      </c>
      <c r="I583" s="9">
        <f>IF(AND($G583&lt;&gt;"",ISNUMBER(SEARCH('Nr rejestracyjny'!$F$5,$G583))),COUNT($I$1:I582)+1,"")</f>
        <v>0</v>
      </c>
    </row>
    <row r="584" spans="6:9">
      <c r="F584" s="7">
        <f>IF('W rejestracji'!$C$591="","",'W rejestracji'!$C$591)</f>
        <v>0</v>
      </c>
      <c r="G584" s="7">
        <f>IF(Zarejestrowane!$C$591="","",Zarejestrowane!$C$591)</f>
        <v>0</v>
      </c>
      <c r="H584" s="9">
        <f>IF(AND($F584&lt;&gt;"",ISNUMBER(SEARCH('Nr rejestracyjny'!$F$5,$F584))),COUNT($H$1:H583)+1,"")</f>
        <v>0</v>
      </c>
      <c r="I584" s="9">
        <f>IF(AND($G584&lt;&gt;"",ISNUMBER(SEARCH('Nr rejestracyjny'!$F$5,$G584))),COUNT($I$1:I583)+1,"")</f>
        <v>0</v>
      </c>
    </row>
    <row r="585" spans="6:9">
      <c r="F585" s="7">
        <f>IF('W rejestracji'!$C$592="","",'W rejestracji'!$C$592)</f>
        <v>0</v>
      </c>
      <c r="G585" s="7">
        <f>IF(Zarejestrowane!$C$592="","",Zarejestrowane!$C$592)</f>
        <v>0</v>
      </c>
      <c r="H585" s="9">
        <f>IF(AND($F585&lt;&gt;"",ISNUMBER(SEARCH('Nr rejestracyjny'!$F$5,$F585))),COUNT($H$1:H584)+1,"")</f>
        <v>0</v>
      </c>
      <c r="I585" s="9">
        <f>IF(AND($G585&lt;&gt;"",ISNUMBER(SEARCH('Nr rejestracyjny'!$F$5,$G585))),COUNT($I$1:I584)+1,"")</f>
        <v>0</v>
      </c>
    </row>
    <row r="586" spans="6:9">
      <c r="F586" s="7">
        <f>IF('W rejestracji'!$C$593="","",'W rejestracji'!$C$593)</f>
        <v>0</v>
      </c>
      <c r="G586" s="7">
        <f>IF(Zarejestrowane!$C$593="","",Zarejestrowane!$C$593)</f>
        <v>0</v>
      </c>
      <c r="H586" s="9">
        <f>IF(AND($F586&lt;&gt;"",ISNUMBER(SEARCH('Nr rejestracyjny'!$F$5,$F586))),COUNT($H$1:H585)+1,"")</f>
        <v>0</v>
      </c>
      <c r="I586" s="9">
        <f>IF(AND($G586&lt;&gt;"",ISNUMBER(SEARCH('Nr rejestracyjny'!$F$5,$G586))),COUNT($I$1:I585)+1,"")</f>
        <v>0</v>
      </c>
    </row>
    <row r="587" spans="6:9">
      <c r="F587" s="7">
        <f>IF('W rejestracji'!$C$594="","",'W rejestracji'!$C$594)</f>
        <v>0</v>
      </c>
      <c r="G587" s="7">
        <f>IF(Zarejestrowane!$C$594="","",Zarejestrowane!$C$594)</f>
        <v>0</v>
      </c>
      <c r="H587" s="9">
        <f>IF(AND($F587&lt;&gt;"",ISNUMBER(SEARCH('Nr rejestracyjny'!$F$5,$F587))),COUNT($H$1:H586)+1,"")</f>
        <v>0</v>
      </c>
      <c r="I587" s="9">
        <f>IF(AND($G587&lt;&gt;"",ISNUMBER(SEARCH('Nr rejestracyjny'!$F$5,$G587))),COUNT($I$1:I586)+1,"")</f>
        <v>0</v>
      </c>
    </row>
    <row r="588" spans="6:9">
      <c r="F588" s="7">
        <f>IF('W rejestracji'!$C$595="","",'W rejestracji'!$C$595)</f>
        <v>0</v>
      </c>
      <c r="G588" s="7">
        <f>IF(Zarejestrowane!$C$595="","",Zarejestrowane!$C$595)</f>
        <v>0</v>
      </c>
      <c r="H588" s="9">
        <f>IF(AND($F588&lt;&gt;"",ISNUMBER(SEARCH('Nr rejestracyjny'!$F$5,$F588))),COUNT($H$1:H587)+1,"")</f>
        <v>0</v>
      </c>
      <c r="I588" s="9">
        <f>IF(AND($G588&lt;&gt;"",ISNUMBER(SEARCH('Nr rejestracyjny'!$F$5,$G588))),COUNT($I$1:I587)+1,"")</f>
        <v>0</v>
      </c>
    </row>
    <row r="589" spans="6:9">
      <c r="F589" s="7">
        <f>IF('W rejestracji'!$C$596="","",'W rejestracji'!$C$596)</f>
        <v>0</v>
      </c>
      <c r="G589" s="7">
        <f>IF(Zarejestrowane!$C$596="","",Zarejestrowane!$C$596)</f>
        <v>0</v>
      </c>
      <c r="H589" s="9">
        <f>IF(AND($F589&lt;&gt;"",ISNUMBER(SEARCH('Nr rejestracyjny'!$F$5,$F589))),COUNT($H$1:H588)+1,"")</f>
        <v>0</v>
      </c>
      <c r="I589" s="9">
        <f>IF(AND($G589&lt;&gt;"",ISNUMBER(SEARCH('Nr rejestracyjny'!$F$5,$G589))),COUNT($I$1:I588)+1,"")</f>
        <v>0</v>
      </c>
    </row>
    <row r="590" spans="6:9">
      <c r="F590" s="7">
        <f>IF('W rejestracji'!$C$597="","",'W rejestracji'!$C$597)</f>
        <v>0</v>
      </c>
      <c r="G590" s="7">
        <f>IF(Zarejestrowane!$C$597="","",Zarejestrowane!$C$597)</f>
        <v>0</v>
      </c>
      <c r="H590" s="9">
        <f>IF(AND($F590&lt;&gt;"",ISNUMBER(SEARCH('Nr rejestracyjny'!$F$5,$F590))),COUNT($H$1:H589)+1,"")</f>
        <v>0</v>
      </c>
      <c r="I590" s="9">
        <f>IF(AND($G590&lt;&gt;"",ISNUMBER(SEARCH('Nr rejestracyjny'!$F$5,$G590))),COUNT($I$1:I589)+1,"")</f>
        <v>0</v>
      </c>
    </row>
    <row r="591" spans="6:9">
      <c r="F591" s="7">
        <f>IF('W rejestracji'!$C$598="","",'W rejestracji'!$C$598)</f>
        <v>0</v>
      </c>
      <c r="G591" s="7">
        <f>IF(Zarejestrowane!$C$598="","",Zarejestrowane!$C$598)</f>
        <v>0</v>
      </c>
      <c r="H591" s="9">
        <f>IF(AND($F591&lt;&gt;"",ISNUMBER(SEARCH('Nr rejestracyjny'!$F$5,$F591))),COUNT($H$1:H590)+1,"")</f>
        <v>0</v>
      </c>
      <c r="I591" s="9">
        <f>IF(AND($G591&lt;&gt;"",ISNUMBER(SEARCH('Nr rejestracyjny'!$F$5,$G591))),COUNT($I$1:I590)+1,"")</f>
        <v>0</v>
      </c>
    </row>
    <row r="592" spans="6:9">
      <c r="F592" s="7">
        <f>IF('W rejestracji'!$C$599="","",'W rejestracji'!$C$599)</f>
        <v>0</v>
      </c>
      <c r="G592" s="7">
        <f>IF(Zarejestrowane!$C$599="","",Zarejestrowane!$C$599)</f>
        <v>0</v>
      </c>
      <c r="H592" s="9">
        <f>IF(AND($F592&lt;&gt;"",ISNUMBER(SEARCH('Nr rejestracyjny'!$F$5,$F592))),COUNT($H$1:H591)+1,"")</f>
        <v>0</v>
      </c>
      <c r="I592" s="9">
        <f>IF(AND($G592&lt;&gt;"",ISNUMBER(SEARCH('Nr rejestracyjny'!$F$5,$G592))),COUNT($I$1:I591)+1,"")</f>
        <v>0</v>
      </c>
    </row>
    <row r="593" spans="6:9">
      <c r="F593" s="7">
        <f>IF('W rejestracji'!$C$600="","",'W rejestracji'!$C$600)</f>
        <v>0</v>
      </c>
      <c r="G593" s="7">
        <f>IF(Zarejestrowane!$C$600="","",Zarejestrowane!$C$600)</f>
        <v>0</v>
      </c>
      <c r="H593" s="9">
        <f>IF(AND($F593&lt;&gt;"",ISNUMBER(SEARCH('Nr rejestracyjny'!$F$5,$F593))),COUNT($H$1:H592)+1,"")</f>
        <v>0</v>
      </c>
      <c r="I593" s="9">
        <f>IF(AND($G593&lt;&gt;"",ISNUMBER(SEARCH('Nr rejestracyjny'!$F$5,$G593))),COUNT($I$1:I592)+1,"")</f>
        <v>0</v>
      </c>
    </row>
    <row r="594" spans="6:9">
      <c r="F594" s="7">
        <f>IF('W rejestracji'!$C$601="","",'W rejestracji'!$C$601)</f>
        <v>0</v>
      </c>
      <c r="G594" s="7">
        <f>IF(Zarejestrowane!$C$601="","",Zarejestrowane!$C$601)</f>
        <v>0</v>
      </c>
      <c r="H594" s="9">
        <f>IF(AND($F594&lt;&gt;"",ISNUMBER(SEARCH('Nr rejestracyjny'!$F$5,$F594))),COUNT($H$1:H593)+1,"")</f>
        <v>0</v>
      </c>
      <c r="I594" s="9">
        <f>IF(AND($G594&lt;&gt;"",ISNUMBER(SEARCH('Nr rejestracyjny'!$F$5,$G594))),COUNT($I$1:I593)+1,"")</f>
        <v>0</v>
      </c>
    </row>
    <row r="595" spans="6:9">
      <c r="F595" s="7">
        <f>IF('W rejestracji'!$C$602="","",'W rejestracji'!$C$602)</f>
        <v>0</v>
      </c>
      <c r="G595" s="7">
        <f>IF(Zarejestrowane!$C$602="","",Zarejestrowane!$C$602)</f>
        <v>0</v>
      </c>
      <c r="H595" s="9">
        <f>IF(AND($F595&lt;&gt;"",ISNUMBER(SEARCH('Nr rejestracyjny'!$F$5,$F595))),COUNT($H$1:H594)+1,"")</f>
        <v>0</v>
      </c>
      <c r="I595" s="9">
        <f>IF(AND($G595&lt;&gt;"",ISNUMBER(SEARCH('Nr rejestracyjny'!$F$5,$G595))),COUNT($I$1:I594)+1,"")</f>
        <v>0</v>
      </c>
    </row>
    <row r="596" spans="6:9">
      <c r="F596" s="7">
        <f>IF('W rejestracji'!$C$603="","",'W rejestracji'!$C$603)</f>
        <v>0</v>
      </c>
      <c r="G596" s="7">
        <f>IF(Zarejestrowane!$C$603="","",Zarejestrowane!$C$603)</f>
        <v>0</v>
      </c>
      <c r="H596" s="9">
        <f>IF(AND($F596&lt;&gt;"",ISNUMBER(SEARCH('Nr rejestracyjny'!$F$5,$F596))),COUNT($H$1:H595)+1,"")</f>
        <v>0</v>
      </c>
      <c r="I596" s="9">
        <f>IF(AND($G596&lt;&gt;"",ISNUMBER(SEARCH('Nr rejestracyjny'!$F$5,$G596))),COUNT($I$1:I595)+1,"")</f>
        <v>0</v>
      </c>
    </row>
    <row r="597" spans="6:9">
      <c r="F597" s="7">
        <f>IF('W rejestracji'!$C$604="","",'W rejestracji'!$C$604)</f>
        <v>0</v>
      </c>
      <c r="G597" s="7">
        <f>IF(Zarejestrowane!$C$604="","",Zarejestrowane!$C$604)</f>
        <v>0</v>
      </c>
      <c r="H597" s="9">
        <f>IF(AND($F597&lt;&gt;"",ISNUMBER(SEARCH('Nr rejestracyjny'!$F$5,$F597))),COUNT($H$1:H596)+1,"")</f>
        <v>0</v>
      </c>
      <c r="I597" s="9">
        <f>IF(AND($G597&lt;&gt;"",ISNUMBER(SEARCH('Nr rejestracyjny'!$F$5,$G597))),COUNT($I$1:I596)+1,"")</f>
        <v>0</v>
      </c>
    </row>
    <row r="598" spans="6:9">
      <c r="F598" s="7">
        <f>IF('W rejestracji'!$C$605="","",'W rejestracji'!$C$605)</f>
        <v>0</v>
      </c>
      <c r="G598" s="7">
        <f>IF(Zarejestrowane!$C$605="","",Zarejestrowane!$C$605)</f>
        <v>0</v>
      </c>
      <c r="H598" s="9">
        <f>IF(AND($F598&lt;&gt;"",ISNUMBER(SEARCH('Nr rejestracyjny'!$F$5,$F598))),COUNT($H$1:H597)+1,"")</f>
        <v>0</v>
      </c>
      <c r="I598" s="9">
        <f>IF(AND($G598&lt;&gt;"",ISNUMBER(SEARCH('Nr rejestracyjny'!$F$5,$G598))),COUNT($I$1:I597)+1,"")</f>
        <v>0</v>
      </c>
    </row>
    <row r="599" spans="6:9">
      <c r="F599" s="7">
        <f>IF('W rejestracji'!$C$606="","",'W rejestracji'!$C$606)</f>
        <v>0</v>
      </c>
      <c r="G599" s="7">
        <f>IF(Zarejestrowane!$C$606="","",Zarejestrowane!$C$606)</f>
        <v>0</v>
      </c>
      <c r="H599" s="9">
        <f>IF(AND($F599&lt;&gt;"",ISNUMBER(SEARCH('Nr rejestracyjny'!$F$5,$F599))),COUNT($H$1:H598)+1,"")</f>
        <v>0</v>
      </c>
      <c r="I599" s="9">
        <f>IF(AND($G599&lt;&gt;"",ISNUMBER(SEARCH('Nr rejestracyjny'!$F$5,$G599))),COUNT($I$1:I598)+1,"")</f>
        <v>0</v>
      </c>
    </row>
    <row r="600" spans="6:9">
      <c r="F600" s="7">
        <f>IF('W rejestracji'!$C$607="","",'W rejestracji'!$C$607)</f>
        <v>0</v>
      </c>
      <c r="G600" s="7">
        <f>IF(Zarejestrowane!$C$607="","",Zarejestrowane!$C$607)</f>
        <v>0</v>
      </c>
      <c r="H600" s="9">
        <f>IF(AND($F600&lt;&gt;"",ISNUMBER(SEARCH('Nr rejestracyjny'!$F$5,$F600))),COUNT($H$1:H599)+1,"")</f>
        <v>0</v>
      </c>
      <c r="I600" s="9">
        <f>IF(AND($G600&lt;&gt;"",ISNUMBER(SEARCH('Nr rejestracyjny'!$F$5,$G600))),COUNT($I$1:I599)+1,"")</f>
        <v>0</v>
      </c>
    </row>
    <row r="601" spans="6:9">
      <c r="F601" s="7">
        <f>IF('W rejestracji'!$C$608="","",'W rejestracji'!$C$608)</f>
        <v>0</v>
      </c>
      <c r="G601" s="7">
        <f>IF(Zarejestrowane!$C$608="","",Zarejestrowane!$C$608)</f>
        <v>0</v>
      </c>
      <c r="H601" s="9">
        <f>IF(AND($F601&lt;&gt;"",ISNUMBER(SEARCH('Nr rejestracyjny'!$F$5,$F601))),COUNT($H$1:H600)+1,"")</f>
        <v>0</v>
      </c>
      <c r="I601" s="9">
        <f>IF(AND($G601&lt;&gt;"",ISNUMBER(SEARCH('Nr rejestracyjny'!$F$5,$G601))),COUNT($I$1:I600)+1,"")</f>
        <v>0</v>
      </c>
    </row>
    <row r="602" spans="6:9">
      <c r="F602" s="7">
        <f>IF('W rejestracji'!$C$609="","",'W rejestracji'!$C$609)</f>
        <v>0</v>
      </c>
      <c r="G602" s="7">
        <f>IF(Zarejestrowane!$C$609="","",Zarejestrowane!$C$609)</f>
        <v>0</v>
      </c>
      <c r="H602" s="9">
        <f>IF(AND($F602&lt;&gt;"",ISNUMBER(SEARCH('Nr rejestracyjny'!$F$5,$F602))),COUNT($H$1:H601)+1,"")</f>
        <v>0</v>
      </c>
      <c r="I602" s="9">
        <f>IF(AND($G602&lt;&gt;"",ISNUMBER(SEARCH('Nr rejestracyjny'!$F$5,$G602))),COUNT($I$1:I601)+1,"")</f>
        <v>0</v>
      </c>
    </row>
    <row r="603" spans="6:9">
      <c r="F603" s="7">
        <f>IF('W rejestracji'!$C$610="","",'W rejestracji'!$C$610)</f>
        <v>0</v>
      </c>
      <c r="G603" s="7">
        <f>IF(Zarejestrowane!$C$610="","",Zarejestrowane!$C$610)</f>
        <v>0</v>
      </c>
      <c r="H603" s="9">
        <f>IF(AND($F603&lt;&gt;"",ISNUMBER(SEARCH('Nr rejestracyjny'!$F$5,$F603))),COUNT($H$1:H602)+1,"")</f>
        <v>0</v>
      </c>
      <c r="I603" s="9">
        <f>IF(AND($G603&lt;&gt;"",ISNUMBER(SEARCH('Nr rejestracyjny'!$F$5,$G603))),COUNT($I$1:I602)+1,"")</f>
        <v>0</v>
      </c>
    </row>
    <row r="604" spans="6:9">
      <c r="F604" s="7">
        <f>IF('W rejestracji'!$C$611="","",'W rejestracji'!$C$611)</f>
        <v>0</v>
      </c>
      <c r="G604" s="7">
        <f>IF(Zarejestrowane!$C$611="","",Zarejestrowane!$C$611)</f>
        <v>0</v>
      </c>
      <c r="H604" s="9">
        <f>IF(AND($F604&lt;&gt;"",ISNUMBER(SEARCH('Nr rejestracyjny'!$F$5,$F604))),COUNT($H$1:H603)+1,"")</f>
        <v>0</v>
      </c>
      <c r="I604" s="9">
        <f>IF(AND($G604&lt;&gt;"",ISNUMBER(SEARCH('Nr rejestracyjny'!$F$5,$G604))),COUNT($I$1:I603)+1,"")</f>
        <v>0</v>
      </c>
    </row>
    <row r="605" spans="6:9">
      <c r="F605" s="7">
        <f>IF('W rejestracji'!$C$612="","",'W rejestracji'!$C$612)</f>
        <v>0</v>
      </c>
      <c r="G605" s="7">
        <f>IF(Zarejestrowane!$C$612="","",Zarejestrowane!$C$612)</f>
        <v>0</v>
      </c>
      <c r="H605" s="9">
        <f>IF(AND($F605&lt;&gt;"",ISNUMBER(SEARCH('Nr rejestracyjny'!$F$5,$F605))),COUNT($H$1:H604)+1,"")</f>
        <v>0</v>
      </c>
      <c r="I605" s="9">
        <f>IF(AND($G605&lt;&gt;"",ISNUMBER(SEARCH('Nr rejestracyjny'!$F$5,$G605))),COUNT($I$1:I604)+1,"")</f>
        <v>0</v>
      </c>
    </row>
    <row r="606" spans="6:9">
      <c r="F606" s="7">
        <f>IF('W rejestracji'!$C$613="","",'W rejestracji'!$C$613)</f>
        <v>0</v>
      </c>
      <c r="G606" s="7">
        <f>IF(Zarejestrowane!$C$613="","",Zarejestrowane!$C$613)</f>
        <v>0</v>
      </c>
      <c r="H606" s="9">
        <f>IF(AND($F606&lt;&gt;"",ISNUMBER(SEARCH('Nr rejestracyjny'!$F$5,$F606))),COUNT($H$1:H605)+1,"")</f>
        <v>0</v>
      </c>
      <c r="I606" s="9">
        <f>IF(AND($G606&lt;&gt;"",ISNUMBER(SEARCH('Nr rejestracyjny'!$F$5,$G606))),COUNT($I$1:I605)+1,"")</f>
        <v>0</v>
      </c>
    </row>
    <row r="607" spans="6:9">
      <c r="F607" s="7">
        <f>IF('W rejestracji'!$C$614="","",'W rejestracji'!$C$614)</f>
        <v>0</v>
      </c>
      <c r="G607" s="7">
        <f>IF(Zarejestrowane!$C$614="","",Zarejestrowane!$C$614)</f>
        <v>0</v>
      </c>
      <c r="H607" s="9">
        <f>IF(AND($F607&lt;&gt;"",ISNUMBER(SEARCH('Nr rejestracyjny'!$F$5,$F607))),COUNT($H$1:H606)+1,"")</f>
        <v>0</v>
      </c>
      <c r="I607" s="9">
        <f>IF(AND($G607&lt;&gt;"",ISNUMBER(SEARCH('Nr rejestracyjny'!$F$5,$G607))),COUNT($I$1:I606)+1,"")</f>
        <v>0</v>
      </c>
    </row>
    <row r="608" spans="6:9">
      <c r="F608" s="7">
        <f>IF('W rejestracji'!$C$615="","",'W rejestracji'!$C$615)</f>
        <v>0</v>
      </c>
      <c r="G608" s="7">
        <f>IF(Zarejestrowane!$C$615="","",Zarejestrowane!$C$615)</f>
        <v>0</v>
      </c>
      <c r="H608" s="9">
        <f>IF(AND($F608&lt;&gt;"",ISNUMBER(SEARCH('Nr rejestracyjny'!$F$5,$F608))),COUNT($H$1:H607)+1,"")</f>
        <v>0</v>
      </c>
      <c r="I608" s="9">
        <f>IF(AND($G608&lt;&gt;"",ISNUMBER(SEARCH('Nr rejestracyjny'!$F$5,$G608))),COUNT($I$1:I607)+1,"")</f>
        <v>0</v>
      </c>
    </row>
    <row r="609" spans="6:9">
      <c r="F609" s="7">
        <f>IF('W rejestracji'!$C$616="","",'W rejestracji'!$C$616)</f>
        <v>0</v>
      </c>
      <c r="G609" s="7">
        <f>IF(Zarejestrowane!$C$616="","",Zarejestrowane!$C$616)</f>
        <v>0</v>
      </c>
      <c r="H609" s="9">
        <f>IF(AND($F609&lt;&gt;"",ISNUMBER(SEARCH('Nr rejestracyjny'!$F$5,$F609))),COUNT($H$1:H608)+1,"")</f>
        <v>0</v>
      </c>
      <c r="I609" s="9">
        <f>IF(AND($G609&lt;&gt;"",ISNUMBER(SEARCH('Nr rejestracyjny'!$F$5,$G609))),COUNT($I$1:I608)+1,"")</f>
        <v>0</v>
      </c>
    </row>
    <row r="610" spans="6:9">
      <c r="F610" s="7">
        <f>IF('W rejestracji'!$C$617="","",'W rejestracji'!$C$617)</f>
        <v>0</v>
      </c>
      <c r="G610" s="7">
        <f>IF(Zarejestrowane!$C$617="","",Zarejestrowane!$C$617)</f>
        <v>0</v>
      </c>
      <c r="H610" s="9">
        <f>IF(AND($F610&lt;&gt;"",ISNUMBER(SEARCH('Nr rejestracyjny'!$F$5,$F610))),COUNT($H$1:H609)+1,"")</f>
        <v>0</v>
      </c>
      <c r="I610" s="9">
        <f>IF(AND($G610&lt;&gt;"",ISNUMBER(SEARCH('Nr rejestracyjny'!$F$5,$G610))),COUNT($I$1:I609)+1,"")</f>
        <v>0</v>
      </c>
    </row>
    <row r="611" spans="6:9">
      <c r="F611" s="7">
        <f>IF('W rejestracji'!$C$618="","",'W rejestracji'!$C$618)</f>
        <v>0</v>
      </c>
      <c r="G611" s="7">
        <f>IF(Zarejestrowane!$C$618="","",Zarejestrowane!$C$618)</f>
        <v>0</v>
      </c>
      <c r="H611" s="9">
        <f>IF(AND($F611&lt;&gt;"",ISNUMBER(SEARCH('Nr rejestracyjny'!$F$5,$F611))),COUNT($H$1:H610)+1,"")</f>
        <v>0</v>
      </c>
      <c r="I611" s="9">
        <f>IF(AND($G611&lt;&gt;"",ISNUMBER(SEARCH('Nr rejestracyjny'!$F$5,$G611))),COUNT($I$1:I610)+1,"")</f>
        <v>0</v>
      </c>
    </row>
    <row r="612" spans="6:9">
      <c r="F612" s="7">
        <f>IF('W rejestracji'!$C$619="","",'W rejestracji'!$C$619)</f>
        <v>0</v>
      </c>
      <c r="G612" s="7">
        <f>IF(Zarejestrowane!$C$619="","",Zarejestrowane!$C$619)</f>
        <v>0</v>
      </c>
      <c r="H612" s="9">
        <f>IF(AND($F612&lt;&gt;"",ISNUMBER(SEARCH('Nr rejestracyjny'!$F$5,$F612))),COUNT($H$1:H611)+1,"")</f>
        <v>0</v>
      </c>
      <c r="I612" s="9">
        <f>IF(AND($G612&lt;&gt;"",ISNUMBER(SEARCH('Nr rejestracyjny'!$F$5,$G612))),COUNT($I$1:I611)+1,"")</f>
        <v>0</v>
      </c>
    </row>
    <row r="613" spans="6:9">
      <c r="F613" s="7">
        <f>IF('W rejestracji'!$C$620="","",'W rejestracji'!$C$620)</f>
        <v>0</v>
      </c>
      <c r="G613" s="7">
        <f>IF(Zarejestrowane!$C$620="","",Zarejestrowane!$C$620)</f>
        <v>0</v>
      </c>
      <c r="H613" s="9">
        <f>IF(AND($F613&lt;&gt;"",ISNUMBER(SEARCH('Nr rejestracyjny'!$F$5,$F613))),COUNT($H$1:H612)+1,"")</f>
        <v>0</v>
      </c>
      <c r="I613" s="9">
        <f>IF(AND($G613&lt;&gt;"",ISNUMBER(SEARCH('Nr rejestracyjny'!$F$5,$G613))),COUNT($I$1:I612)+1,"")</f>
        <v>0</v>
      </c>
    </row>
    <row r="614" spans="6:9">
      <c r="F614" s="7">
        <f>IF('W rejestracji'!$C$621="","",'W rejestracji'!$C$621)</f>
        <v>0</v>
      </c>
      <c r="G614" s="7">
        <f>IF(Zarejestrowane!$C$621="","",Zarejestrowane!$C$621)</f>
        <v>0</v>
      </c>
      <c r="H614" s="9">
        <f>IF(AND($F614&lt;&gt;"",ISNUMBER(SEARCH('Nr rejestracyjny'!$F$5,$F614))),COUNT($H$1:H613)+1,"")</f>
        <v>0</v>
      </c>
      <c r="I614" s="9">
        <f>IF(AND($G614&lt;&gt;"",ISNUMBER(SEARCH('Nr rejestracyjny'!$F$5,$G614))),COUNT($I$1:I613)+1,"")</f>
        <v>0</v>
      </c>
    </row>
    <row r="615" spans="6:9">
      <c r="F615" s="7">
        <f>IF('W rejestracji'!$C$622="","",'W rejestracji'!$C$622)</f>
        <v>0</v>
      </c>
      <c r="G615" s="7">
        <f>IF(Zarejestrowane!$C$622="","",Zarejestrowane!$C$622)</f>
        <v>0</v>
      </c>
      <c r="H615" s="9">
        <f>IF(AND($F615&lt;&gt;"",ISNUMBER(SEARCH('Nr rejestracyjny'!$F$5,$F615))),COUNT($H$1:H614)+1,"")</f>
        <v>0</v>
      </c>
      <c r="I615" s="9">
        <f>IF(AND($G615&lt;&gt;"",ISNUMBER(SEARCH('Nr rejestracyjny'!$F$5,$G615))),COUNT($I$1:I614)+1,"")</f>
        <v>0</v>
      </c>
    </row>
    <row r="616" spans="6:9">
      <c r="F616" s="7">
        <f>IF('W rejestracji'!$C$623="","",'W rejestracji'!$C$623)</f>
        <v>0</v>
      </c>
      <c r="G616" s="7">
        <f>IF(Zarejestrowane!$C$623="","",Zarejestrowane!$C$623)</f>
        <v>0</v>
      </c>
      <c r="H616" s="9">
        <f>IF(AND($F616&lt;&gt;"",ISNUMBER(SEARCH('Nr rejestracyjny'!$F$5,$F616))),COUNT($H$1:H615)+1,"")</f>
        <v>0</v>
      </c>
      <c r="I616" s="9">
        <f>IF(AND($G616&lt;&gt;"",ISNUMBER(SEARCH('Nr rejestracyjny'!$F$5,$G616))),COUNT($I$1:I615)+1,"")</f>
        <v>0</v>
      </c>
    </row>
    <row r="617" spans="6:9">
      <c r="F617" s="7">
        <f>IF('W rejestracji'!$C$624="","",'W rejestracji'!$C$624)</f>
        <v>0</v>
      </c>
      <c r="G617" s="7">
        <f>IF(Zarejestrowane!$C$624="","",Zarejestrowane!$C$624)</f>
        <v>0</v>
      </c>
      <c r="H617" s="9">
        <f>IF(AND($F617&lt;&gt;"",ISNUMBER(SEARCH('Nr rejestracyjny'!$F$5,$F617))),COUNT($H$1:H616)+1,"")</f>
        <v>0</v>
      </c>
      <c r="I617" s="9">
        <f>IF(AND($G617&lt;&gt;"",ISNUMBER(SEARCH('Nr rejestracyjny'!$F$5,$G617))),COUNT($I$1:I616)+1,"")</f>
        <v>0</v>
      </c>
    </row>
    <row r="618" spans="6:9">
      <c r="F618" s="7">
        <f>IF('W rejestracji'!$C$625="","",'W rejestracji'!$C$625)</f>
        <v>0</v>
      </c>
      <c r="G618" s="7">
        <f>IF(Zarejestrowane!$C$625="","",Zarejestrowane!$C$625)</f>
        <v>0</v>
      </c>
      <c r="H618" s="9">
        <f>IF(AND($F618&lt;&gt;"",ISNUMBER(SEARCH('Nr rejestracyjny'!$F$5,$F618))),COUNT($H$1:H617)+1,"")</f>
        <v>0</v>
      </c>
      <c r="I618" s="9">
        <f>IF(AND($G618&lt;&gt;"",ISNUMBER(SEARCH('Nr rejestracyjny'!$F$5,$G618))),COUNT($I$1:I617)+1,"")</f>
        <v>0</v>
      </c>
    </row>
    <row r="619" spans="6:9">
      <c r="F619" s="7">
        <f>IF('W rejestracji'!$C$626="","",'W rejestracji'!$C$626)</f>
        <v>0</v>
      </c>
      <c r="G619" s="7">
        <f>IF(Zarejestrowane!$C$626="","",Zarejestrowane!$C$626)</f>
        <v>0</v>
      </c>
      <c r="H619" s="9">
        <f>IF(AND($F619&lt;&gt;"",ISNUMBER(SEARCH('Nr rejestracyjny'!$F$5,$F619))),COUNT($H$1:H618)+1,"")</f>
        <v>0</v>
      </c>
      <c r="I619" s="9">
        <f>IF(AND($G619&lt;&gt;"",ISNUMBER(SEARCH('Nr rejestracyjny'!$F$5,$G619))),COUNT($I$1:I618)+1,"")</f>
        <v>0</v>
      </c>
    </row>
    <row r="620" spans="6:9">
      <c r="F620" s="7">
        <f>IF('W rejestracji'!$C$627="","",'W rejestracji'!$C$627)</f>
        <v>0</v>
      </c>
      <c r="G620" s="7">
        <f>IF(Zarejestrowane!$C$627="","",Zarejestrowane!$C$627)</f>
        <v>0</v>
      </c>
      <c r="H620" s="9">
        <f>IF(AND($F620&lt;&gt;"",ISNUMBER(SEARCH('Nr rejestracyjny'!$F$5,$F620))),COUNT($H$1:H619)+1,"")</f>
        <v>0</v>
      </c>
      <c r="I620" s="9">
        <f>IF(AND($G620&lt;&gt;"",ISNUMBER(SEARCH('Nr rejestracyjny'!$F$5,$G620))),COUNT($I$1:I619)+1,"")</f>
        <v>0</v>
      </c>
    </row>
    <row r="621" spans="6:9">
      <c r="F621" s="7">
        <f>IF('W rejestracji'!$C$628="","",'W rejestracji'!$C$628)</f>
        <v>0</v>
      </c>
      <c r="G621" s="7">
        <f>IF(Zarejestrowane!$C$628="","",Zarejestrowane!$C$628)</f>
        <v>0</v>
      </c>
      <c r="H621" s="9">
        <f>IF(AND($F621&lt;&gt;"",ISNUMBER(SEARCH('Nr rejestracyjny'!$F$5,$F621))),COUNT($H$1:H620)+1,"")</f>
        <v>0</v>
      </c>
      <c r="I621" s="9">
        <f>IF(AND($G621&lt;&gt;"",ISNUMBER(SEARCH('Nr rejestracyjny'!$F$5,$G621))),COUNT($I$1:I620)+1,"")</f>
        <v>0</v>
      </c>
    </row>
    <row r="622" spans="6:9">
      <c r="F622" s="7">
        <f>IF('W rejestracji'!$C$629="","",'W rejestracji'!$C$629)</f>
        <v>0</v>
      </c>
      <c r="G622" s="7">
        <f>IF(Zarejestrowane!$C$629="","",Zarejestrowane!$C$629)</f>
        <v>0</v>
      </c>
      <c r="H622" s="9">
        <f>IF(AND($F622&lt;&gt;"",ISNUMBER(SEARCH('Nr rejestracyjny'!$F$5,$F622))),COUNT($H$1:H621)+1,"")</f>
        <v>0</v>
      </c>
      <c r="I622" s="9">
        <f>IF(AND($G622&lt;&gt;"",ISNUMBER(SEARCH('Nr rejestracyjny'!$F$5,$G622))),COUNT($I$1:I621)+1,"")</f>
        <v>0</v>
      </c>
    </row>
    <row r="623" spans="6:9">
      <c r="F623" s="7">
        <f>IF('W rejestracji'!$C$630="","",'W rejestracji'!$C$630)</f>
        <v>0</v>
      </c>
      <c r="G623" s="7">
        <f>IF(Zarejestrowane!$C$630="","",Zarejestrowane!$C$630)</f>
        <v>0</v>
      </c>
      <c r="H623" s="9">
        <f>IF(AND($F623&lt;&gt;"",ISNUMBER(SEARCH('Nr rejestracyjny'!$F$5,$F623))),COUNT($H$1:H622)+1,"")</f>
        <v>0</v>
      </c>
      <c r="I623" s="9">
        <f>IF(AND($G623&lt;&gt;"",ISNUMBER(SEARCH('Nr rejestracyjny'!$F$5,$G623))),COUNT($I$1:I622)+1,"")</f>
        <v>0</v>
      </c>
    </row>
    <row r="624" spans="6:9">
      <c r="F624" s="7">
        <f>IF('W rejestracji'!$C$631="","",'W rejestracji'!$C$631)</f>
        <v>0</v>
      </c>
      <c r="G624" s="7">
        <f>IF(Zarejestrowane!$C$631="","",Zarejestrowane!$C$631)</f>
        <v>0</v>
      </c>
      <c r="H624" s="9">
        <f>IF(AND($F624&lt;&gt;"",ISNUMBER(SEARCH('Nr rejestracyjny'!$F$5,$F624))),COUNT($H$1:H623)+1,"")</f>
        <v>0</v>
      </c>
      <c r="I624" s="9">
        <f>IF(AND($G624&lt;&gt;"",ISNUMBER(SEARCH('Nr rejestracyjny'!$F$5,$G624))),COUNT($I$1:I623)+1,"")</f>
        <v>0</v>
      </c>
    </row>
    <row r="625" spans="6:9">
      <c r="F625" s="7">
        <f>IF('W rejestracji'!$C$632="","",'W rejestracji'!$C$632)</f>
        <v>0</v>
      </c>
      <c r="G625" s="7">
        <f>IF(Zarejestrowane!$C$632="","",Zarejestrowane!$C$632)</f>
        <v>0</v>
      </c>
      <c r="H625" s="9">
        <f>IF(AND($F625&lt;&gt;"",ISNUMBER(SEARCH('Nr rejestracyjny'!$F$5,$F625))),COUNT($H$1:H624)+1,"")</f>
        <v>0</v>
      </c>
      <c r="I625" s="9">
        <f>IF(AND($G625&lt;&gt;"",ISNUMBER(SEARCH('Nr rejestracyjny'!$F$5,$G625))),COUNT($I$1:I624)+1,"")</f>
        <v>0</v>
      </c>
    </row>
    <row r="626" spans="6:9">
      <c r="F626" s="7">
        <f>IF('W rejestracji'!$C$633="","",'W rejestracji'!$C$633)</f>
        <v>0</v>
      </c>
      <c r="G626" s="7">
        <f>IF(Zarejestrowane!$C$633="","",Zarejestrowane!$C$633)</f>
        <v>0</v>
      </c>
      <c r="H626" s="9">
        <f>IF(AND($F626&lt;&gt;"",ISNUMBER(SEARCH('Nr rejestracyjny'!$F$5,$F626))),COUNT($H$1:H625)+1,"")</f>
        <v>0</v>
      </c>
      <c r="I626" s="9">
        <f>IF(AND($G626&lt;&gt;"",ISNUMBER(SEARCH('Nr rejestracyjny'!$F$5,$G626))),COUNT($I$1:I625)+1,"")</f>
        <v>0</v>
      </c>
    </row>
    <row r="627" spans="6:9">
      <c r="F627" s="7">
        <f>IF('W rejestracji'!$C$634="","",'W rejestracji'!$C$634)</f>
        <v>0</v>
      </c>
      <c r="G627" s="7">
        <f>IF(Zarejestrowane!$C$634="","",Zarejestrowane!$C$634)</f>
        <v>0</v>
      </c>
      <c r="H627" s="9">
        <f>IF(AND($F627&lt;&gt;"",ISNUMBER(SEARCH('Nr rejestracyjny'!$F$5,$F627))),COUNT($H$1:H626)+1,"")</f>
        <v>0</v>
      </c>
      <c r="I627" s="9">
        <f>IF(AND($G627&lt;&gt;"",ISNUMBER(SEARCH('Nr rejestracyjny'!$F$5,$G627))),COUNT($I$1:I626)+1,"")</f>
        <v>0</v>
      </c>
    </row>
    <row r="628" spans="6:9">
      <c r="F628" s="7">
        <f>IF('W rejestracji'!$C$635="","",'W rejestracji'!$C$635)</f>
        <v>0</v>
      </c>
      <c r="G628" s="7">
        <f>IF(Zarejestrowane!$C$635="","",Zarejestrowane!$C$635)</f>
        <v>0</v>
      </c>
      <c r="H628" s="9">
        <f>IF(AND($F628&lt;&gt;"",ISNUMBER(SEARCH('Nr rejestracyjny'!$F$5,$F628))),COUNT($H$1:H627)+1,"")</f>
        <v>0</v>
      </c>
      <c r="I628" s="9">
        <f>IF(AND($G628&lt;&gt;"",ISNUMBER(SEARCH('Nr rejestracyjny'!$F$5,$G628))),COUNT($I$1:I627)+1,"")</f>
        <v>0</v>
      </c>
    </row>
    <row r="629" spans="6:9">
      <c r="F629" s="7">
        <f>IF('W rejestracji'!$C$636="","",'W rejestracji'!$C$636)</f>
        <v>0</v>
      </c>
      <c r="G629" s="7">
        <f>IF(Zarejestrowane!$C$636="","",Zarejestrowane!$C$636)</f>
        <v>0</v>
      </c>
      <c r="H629" s="9">
        <f>IF(AND($F629&lt;&gt;"",ISNUMBER(SEARCH('Nr rejestracyjny'!$F$5,$F629))),COUNT($H$1:H628)+1,"")</f>
        <v>0</v>
      </c>
      <c r="I629" s="9">
        <f>IF(AND($G629&lt;&gt;"",ISNUMBER(SEARCH('Nr rejestracyjny'!$F$5,$G629))),COUNT($I$1:I628)+1,"")</f>
        <v>0</v>
      </c>
    </row>
    <row r="630" spans="6:9">
      <c r="F630" s="7">
        <f>IF('W rejestracji'!$C$637="","",'W rejestracji'!$C$637)</f>
        <v>0</v>
      </c>
      <c r="G630" s="7">
        <f>IF(Zarejestrowane!$C$637="","",Zarejestrowane!$C$637)</f>
        <v>0</v>
      </c>
      <c r="H630" s="9">
        <f>IF(AND($F630&lt;&gt;"",ISNUMBER(SEARCH('Nr rejestracyjny'!$F$5,$F630))),COUNT($H$1:H629)+1,"")</f>
        <v>0</v>
      </c>
      <c r="I630" s="9">
        <f>IF(AND($G630&lt;&gt;"",ISNUMBER(SEARCH('Nr rejestracyjny'!$F$5,$G630))),COUNT($I$1:I629)+1,"")</f>
        <v>0</v>
      </c>
    </row>
    <row r="631" spans="6:9">
      <c r="F631" s="7">
        <f>IF('W rejestracji'!$C$638="","",'W rejestracji'!$C$638)</f>
        <v>0</v>
      </c>
      <c r="G631" s="7">
        <f>IF(Zarejestrowane!$C$638="","",Zarejestrowane!$C$638)</f>
        <v>0</v>
      </c>
      <c r="H631" s="9">
        <f>IF(AND($F631&lt;&gt;"",ISNUMBER(SEARCH('Nr rejestracyjny'!$F$5,$F631))),COUNT($H$1:H630)+1,"")</f>
        <v>0</v>
      </c>
      <c r="I631" s="9">
        <f>IF(AND($G631&lt;&gt;"",ISNUMBER(SEARCH('Nr rejestracyjny'!$F$5,$G631))),COUNT($I$1:I630)+1,"")</f>
        <v>0</v>
      </c>
    </row>
    <row r="632" spans="6:9">
      <c r="F632" s="7">
        <f>IF('W rejestracji'!$C$639="","",'W rejestracji'!$C$639)</f>
        <v>0</v>
      </c>
      <c r="G632" s="7">
        <f>IF(Zarejestrowane!$C$639="","",Zarejestrowane!$C$639)</f>
        <v>0</v>
      </c>
      <c r="H632" s="9">
        <f>IF(AND($F632&lt;&gt;"",ISNUMBER(SEARCH('Nr rejestracyjny'!$F$5,$F632))),COUNT($H$1:H631)+1,"")</f>
        <v>0</v>
      </c>
      <c r="I632" s="9">
        <f>IF(AND($G632&lt;&gt;"",ISNUMBER(SEARCH('Nr rejestracyjny'!$F$5,$G632))),COUNT($I$1:I631)+1,"")</f>
        <v>0</v>
      </c>
    </row>
    <row r="633" spans="6:9">
      <c r="F633" s="7">
        <f>IF('W rejestracji'!$C$640="","",'W rejestracji'!$C$640)</f>
        <v>0</v>
      </c>
      <c r="G633" s="7">
        <f>IF(Zarejestrowane!$C$640="","",Zarejestrowane!$C$640)</f>
        <v>0</v>
      </c>
      <c r="H633" s="9">
        <f>IF(AND($F633&lt;&gt;"",ISNUMBER(SEARCH('Nr rejestracyjny'!$F$5,$F633))),COUNT($H$1:H632)+1,"")</f>
        <v>0</v>
      </c>
      <c r="I633" s="9">
        <f>IF(AND($G633&lt;&gt;"",ISNUMBER(SEARCH('Nr rejestracyjny'!$F$5,$G633))),COUNT($I$1:I632)+1,"")</f>
        <v>0</v>
      </c>
    </row>
    <row r="634" spans="6:9">
      <c r="F634" s="7">
        <f>IF('W rejestracji'!$C$641="","",'W rejestracji'!$C$641)</f>
        <v>0</v>
      </c>
      <c r="G634" s="7">
        <f>IF(Zarejestrowane!$C$641="","",Zarejestrowane!$C$641)</f>
        <v>0</v>
      </c>
      <c r="H634" s="9">
        <f>IF(AND($F634&lt;&gt;"",ISNUMBER(SEARCH('Nr rejestracyjny'!$F$5,$F634))),COUNT($H$1:H633)+1,"")</f>
        <v>0</v>
      </c>
      <c r="I634" s="9">
        <f>IF(AND($G634&lt;&gt;"",ISNUMBER(SEARCH('Nr rejestracyjny'!$F$5,$G634))),COUNT($I$1:I633)+1,"")</f>
        <v>0</v>
      </c>
    </row>
    <row r="635" spans="6:9">
      <c r="F635" s="7">
        <f>IF('W rejestracji'!$C$642="","",'W rejestracji'!$C$642)</f>
        <v>0</v>
      </c>
      <c r="G635" s="7">
        <f>IF(Zarejestrowane!$C$642="","",Zarejestrowane!$C$642)</f>
        <v>0</v>
      </c>
      <c r="H635" s="9">
        <f>IF(AND($F635&lt;&gt;"",ISNUMBER(SEARCH('Nr rejestracyjny'!$F$5,$F635))),COUNT($H$1:H634)+1,"")</f>
        <v>0</v>
      </c>
      <c r="I635" s="9">
        <f>IF(AND($G635&lt;&gt;"",ISNUMBER(SEARCH('Nr rejestracyjny'!$F$5,$G635))),COUNT($I$1:I634)+1,"")</f>
        <v>0</v>
      </c>
    </row>
    <row r="636" spans="6:9">
      <c r="F636" s="7">
        <f>IF('W rejestracji'!$C$643="","",'W rejestracji'!$C$643)</f>
        <v>0</v>
      </c>
      <c r="G636" s="7">
        <f>IF(Zarejestrowane!$C$643="","",Zarejestrowane!$C$643)</f>
        <v>0</v>
      </c>
      <c r="H636" s="9">
        <f>IF(AND($F636&lt;&gt;"",ISNUMBER(SEARCH('Nr rejestracyjny'!$F$5,$F636))),COUNT($H$1:H635)+1,"")</f>
        <v>0</v>
      </c>
      <c r="I636" s="9">
        <f>IF(AND($G636&lt;&gt;"",ISNUMBER(SEARCH('Nr rejestracyjny'!$F$5,$G636))),COUNT($I$1:I635)+1,"")</f>
        <v>0</v>
      </c>
    </row>
    <row r="637" spans="6:9">
      <c r="F637" s="7">
        <f>IF('W rejestracji'!$C$644="","",'W rejestracji'!$C$644)</f>
        <v>0</v>
      </c>
      <c r="G637" s="7">
        <f>IF(Zarejestrowane!$C$644="","",Zarejestrowane!$C$644)</f>
        <v>0</v>
      </c>
      <c r="H637" s="9">
        <f>IF(AND($F637&lt;&gt;"",ISNUMBER(SEARCH('Nr rejestracyjny'!$F$5,$F637))),COUNT($H$1:H636)+1,"")</f>
        <v>0</v>
      </c>
      <c r="I637" s="9">
        <f>IF(AND($G637&lt;&gt;"",ISNUMBER(SEARCH('Nr rejestracyjny'!$F$5,$G637))),COUNT($I$1:I636)+1,"")</f>
        <v>0</v>
      </c>
    </row>
    <row r="638" spans="6:9">
      <c r="F638" s="7">
        <f>IF('W rejestracji'!$C$645="","",'W rejestracji'!$C$645)</f>
        <v>0</v>
      </c>
      <c r="G638" s="7">
        <f>IF(Zarejestrowane!$C$645="","",Zarejestrowane!$C$645)</f>
        <v>0</v>
      </c>
      <c r="H638" s="9">
        <f>IF(AND($F638&lt;&gt;"",ISNUMBER(SEARCH('Nr rejestracyjny'!$F$5,$F638))),COUNT($H$1:H637)+1,"")</f>
        <v>0</v>
      </c>
      <c r="I638" s="9">
        <f>IF(AND($G638&lt;&gt;"",ISNUMBER(SEARCH('Nr rejestracyjny'!$F$5,$G638))),COUNT($I$1:I637)+1,"")</f>
        <v>0</v>
      </c>
    </row>
    <row r="639" spans="6:9">
      <c r="F639" s="7">
        <f>IF('W rejestracji'!$C$646="","",'W rejestracji'!$C$646)</f>
        <v>0</v>
      </c>
      <c r="G639" s="7">
        <f>IF(Zarejestrowane!$C$646="","",Zarejestrowane!$C$646)</f>
        <v>0</v>
      </c>
      <c r="H639" s="9">
        <f>IF(AND($F639&lt;&gt;"",ISNUMBER(SEARCH('Nr rejestracyjny'!$F$5,$F639))),COUNT($H$1:H638)+1,"")</f>
        <v>0</v>
      </c>
      <c r="I639" s="9">
        <f>IF(AND($G639&lt;&gt;"",ISNUMBER(SEARCH('Nr rejestracyjny'!$F$5,$G639))),COUNT($I$1:I638)+1,"")</f>
        <v>0</v>
      </c>
    </row>
    <row r="640" spans="6:9">
      <c r="F640" s="7">
        <f>IF('W rejestracji'!$C$647="","",'W rejestracji'!$C$647)</f>
        <v>0</v>
      </c>
      <c r="G640" s="7">
        <f>IF(Zarejestrowane!$C$647="","",Zarejestrowane!$C$647)</f>
        <v>0</v>
      </c>
      <c r="H640" s="9">
        <f>IF(AND($F640&lt;&gt;"",ISNUMBER(SEARCH('Nr rejestracyjny'!$F$5,$F640))),COUNT($H$1:H639)+1,"")</f>
        <v>0</v>
      </c>
      <c r="I640" s="9">
        <f>IF(AND($G640&lt;&gt;"",ISNUMBER(SEARCH('Nr rejestracyjny'!$F$5,$G640))),COUNT($I$1:I639)+1,"")</f>
        <v>0</v>
      </c>
    </row>
    <row r="641" spans="6:9">
      <c r="F641" s="7">
        <f>IF('W rejestracji'!$C$648="","",'W rejestracji'!$C$648)</f>
        <v>0</v>
      </c>
      <c r="G641" s="7">
        <f>IF(Zarejestrowane!$C$648="","",Zarejestrowane!$C$648)</f>
        <v>0</v>
      </c>
      <c r="H641" s="9">
        <f>IF(AND($F641&lt;&gt;"",ISNUMBER(SEARCH('Nr rejestracyjny'!$F$5,$F641))),COUNT($H$1:H640)+1,"")</f>
        <v>0</v>
      </c>
      <c r="I641" s="9">
        <f>IF(AND($G641&lt;&gt;"",ISNUMBER(SEARCH('Nr rejestracyjny'!$F$5,$G641))),COUNT($I$1:I640)+1,"")</f>
        <v>0</v>
      </c>
    </row>
    <row r="642" spans="6:9">
      <c r="F642" s="7">
        <f>IF('W rejestracji'!$C$649="","",'W rejestracji'!$C$649)</f>
        <v>0</v>
      </c>
      <c r="G642" s="7">
        <f>IF(Zarejestrowane!$C$649="","",Zarejestrowane!$C$649)</f>
        <v>0</v>
      </c>
      <c r="H642" s="9">
        <f>IF(AND($F642&lt;&gt;"",ISNUMBER(SEARCH('Nr rejestracyjny'!$F$5,$F642))),COUNT($H$1:H641)+1,"")</f>
        <v>0</v>
      </c>
      <c r="I642" s="9">
        <f>IF(AND($G642&lt;&gt;"",ISNUMBER(SEARCH('Nr rejestracyjny'!$F$5,$G642))),COUNT($I$1:I641)+1,"")</f>
        <v>0</v>
      </c>
    </row>
    <row r="643" spans="6:9">
      <c r="F643" s="7">
        <f>IF('W rejestracji'!$C$650="","",'W rejestracji'!$C$650)</f>
        <v>0</v>
      </c>
      <c r="G643" s="7">
        <f>IF(Zarejestrowane!$C$650="","",Zarejestrowane!$C$650)</f>
        <v>0</v>
      </c>
      <c r="H643" s="9">
        <f>IF(AND($F643&lt;&gt;"",ISNUMBER(SEARCH('Nr rejestracyjny'!$F$5,$F643))),COUNT($H$1:H642)+1,"")</f>
        <v>0</v>
      </c>
      <c r="I643" s="9">
        <f>IF(AND($G643&lt;&gt;"",ISNUMBER(SEARCH('Nr rejestracyjny'!$F$5,$G643))),COUNT($I$1:I642)+1,"")</f>
        <v>0</v>
      </c>
    </row>
    <row r="644" spans="6:9">
      <c r="F644" s="7">
        <f>IF('W rejestracji'!$C$651="","",'W rejestracji'!$C$651)</f>
        <v>0</v>
      </c>
      <c r="G644" s="7">
        <f>IF(Zarejestrowane!$C$651="","",Zarejestrowane!$C$651)</f>
        <v>0</v>
      </c>
      <c r="H644" s="9">
        <f>IF(AND($F644&lt;&gt;"",ISNUMBER(SEARCH('Nr rejestracyjny'!$F$5,$F644))),COUNT($H$1:H643)+1,"")</f>
        <v>0</v>
      </c>
      <c r="I644" s="9">
        <f>IF(AND($G644&lt;&gt;"",ISNUMBER(SEARCH('Nr rejestracyjny'!$F$5,$G644))),COUNT($I$1:I643)+1,"")</f>
        <v>0</v>
      </c>
    </row>
    <row r="645" spans="6:9">
      <c r="F645" s="7">
        <f>IF('W rejestracji'!$C$652="","",'W rejestracji'!$C$652)</f>
        <v>0</v>
      </c>
      <c r="G645" s="7">
        <f>IF(Zarejestrowane!$C$652="","",Zarejestrowane!$C$652)</f>
        <v>0</v>
      </c>
      <c r="H645" s="9">
        <f>IF(AND($F645&lt;&gt;"",ISNUMBER(SEARCH('Nr rejestracyjny'!$F$5,$F645))),COUNT($H$1:H644)+1,"")</f>
        <v>0</v>
      </c>
      <c r="I645" s="9">
        <f>IF(AND($G645&lt;&gt;"",ISNUMBER(SEARCH('Nr rejestracyjny'!$F$5,$G645))),COUNT($I$1:I644)+1,"")</f>
        <v>0</v>
      </c>
    </row>
    <row r="646" spans="6:9">
      <c r="F646" s="7">
        <f>IF('W rejestracji'!$C$653="","",'W rejestracji'!$C$653)</f>
        <v>0</v>
      </c>
      <c r="G646" s="7">
        <f>IF(Zarejestrowane!$C$653="","",Zarejestrowane!$C$653)</f>
        <v>0</v>
      </c>
      <c r="H646" s="9">
        <f>IF(AND($F646&lt;&gt;"",ISNUMBER(SEARCH('Nr rejestracyjny'!$F$5,$F646))),COUNT($H$1:H645)+1,"")</f>
        <v>0</v>
      </c>
      <c r="I646" s="9">
        <f>IF(AND($G646&lt;&gt;"",ISNUMBER(SEARCH('Nr rejestracyjny'!$F$5,$G646))),COUNT($I$1:I645)+1,"")</f>
        <v>0</v>
      </c>
    </row>
    <row r="647" spans="6:9">
      <c r="F647" s="7">
        <f>IF('W rejestracji'!$C$654="","",'W rejestracji'!$C$654)</f>
        <v>0</v>
      </c>
      <c r="G647" s="7">
        <f>IF(Zarejestrowane!$C$654="","",Zarejestrowane!$C$654)</f>
        <v>0</v>
      </c>
      <c r="H647" s="9">
        <f>IF(AND($F647&lt;&gt;"",ISNUMBER(SEARCH('Nr rejestracyjny'!$F$5,$F647))),COUNT($H$1:H646)+1,"")</f>
        <v>0</v>
      </c>
      <c r="I647" s="9">
        <f>IF(AND($G647&lt;&gt;"",ISNUMBER(SEARCH('Nr rejestracyjny'!$F$5,$G647))),COUNT($I$1:I646)+1,"")</f>
        <v>0</v>
      </c>
    </row>
    <row r="648" spans="6:9">
      <c r="F648" s="7">
        <f>IF('W rejestracji'!$C$655="","",'W rejestracji'!$C$655)</f>
        <v>0</v>
      </c>
      <c r="G648" s="7">
        <f>IF(Zarejestrowane!$C$655="","",Zarejestrowane!$C$655)</f>
        <v>0</v>
      </c>
      <c r="H648" s="9">
        <f>IF(AND($F648&lt;&gt;"",ISNUMBER(SEARCH('Nr rejestracyjny'!$F$5,$F648))),COUNT($H$1:H647)+1,"")</f>
        <v>0</v>
      </c>
      <c r="I648" s="9">
        <f>IF(AND($G648&lt;&gt;"",ISNUMBER(SEARCH('Nr rejestracyjny'!$F$5,$G648))),COUNT($I$1:I647)+1,"")</f>
        <v>0</v>
      </c>
    </row>
    <row r="649" spans="6:9">
      <c r="F649" s="7">
        <f>IF('W rejestracji'!$C$656="","",'W rejestracji'!$C$656)</f>
        <v>0</v>
      </c>
      <c r="G649" s="7">
        <f>IF(Zarejestrowane!$C$656="","",Zarejestrowane!$C$656)</f>
        <v>0</v>
      </c>
      <c r="H649" s="9">
        <f>IF(AND($F649&lt;&gt;"",ISNUMBER(SEARCH('Nr rejestracyjny'!$F$5,$F649))),COUNT($H$1:H648)+1,"")</f>
        <v>0</v>
      </c>
      <c r="I649" s="9">
        <f>IF(AND($G649&lt;&gt;"",ISNUMBER(SEARCH('Nr rejestracyjny'!$F$5,$G649))),COUNT($I$1:I648)+1,"")</f>
        <v>0</v>
      </c>
    </row>
    <row r="650" spans="6:9">
      <c r="F650" s="7">
        <f>IF('W rejestracji'!$C$657="","",'W rejestracji'!$C$657)</f>
        <v>0</v>
      </c>
      <c r="G650" s="7">
        <f>IF(Zarejestrowane!$C$657="","",Zarejestrowane!$C$657)</f>
        <v>0</v>
      </c>
      <c r="H650" s="9">
        <f>IF(AND($F650&lt;&gt;"",ISNUMBER(SEARCH('Nr rejestracyjny'!$F$5,$F650))),COUNT($H$1:H649)+1,"")</f>
        <v>0</v>
      </c>
      <c r="I650" s="9">
        <f>IF(AND($G650&lt;&gt;"",ISNUMBER(SEARCH('Nr rejestracyjny'!$F$5,$G650))),COUNT($I$1:I649)+1,"")</f>
        <v>0</v>
      </c>
    </row>
    <row r="651" spans="6:9">
      <c r="F651" s="7">
        <f>IF('W rejestracji'!$C$658="","",'W rejestracji'!$C$658)</f>
        <v>0</v>
      </c>
      <c r="G651" s="7">
        <f>IF(Zarejestrowane!$C$658="","",Zarejestrowane!$C$658)</f>
        <v>0</v>
      </c>
      <c r="H651" s="9">
        <f>IF(AND($F651&lt;&gt;"",ISNUMBER(SEARCH('Nr rejestracyjny'!$F$5,$F651))),COUNT($H$1:H650)+1,"")</f>
        <v>0</v>
      </c>
      <c r="I651" s="9">
        <f>IF(AND($G651&lt;&gt;"",ISNUMBER(SEARCH('Nr rejestracyjny'!$F$5,$G651))),COUNT($I$1:I650)+1,"")</f>
        <v>0</v>
      </c>
    </row>
    <row r="652" spans="6:9">
      <c r="F652" s="7">
        <f>IF('W rejestracji'!$C$659="","",'W rejestracji'!$C$659)</f>
        <v>0</v>
      </c>
      <c r="G652" s="7">
        <f>IF(Zarejestrowane!$C$659="","",Zarejestrowane!$C$659)</f>
        <v>0</v>
      </c>
      <c r="H652" s="9">
        <f>IF(AND($F652&lt;&gt;"",ISNUMBER(SEARCH('Nr rejestracyjny'!$F$5,$F652))),COUNT($H$1:H651)+1,"")</f>
        <v>0</v>
      </c>
      <c r="I652" s="9">
        <f>IF(AND($G652&lt;&gt;"",ISNUMBER(SEARCH('Nr rejestracyjny'!$F$5,$G652))),COUNT($I$1:I651)+1,"")</f>
        <v>0</v>
      </c>
    </row>
    <row r="653" spans="6:9">
      <c r="F653" s="7">
        <f>IF('W rejestracji'!$C$660="","",'W rejestracji'!$C$660)</f>
        <v>0</v>
      </c>
      <c r="G653" s="7">
        <f>IF(Zarejestrowane!$C$660="","",Zarejestrowane!$C$660)</f>
        <v>0</v>
      </c>
      <c r="H653" s="9">
        <f>IF(AND($F653&lt;&gt;"",ISNUMBER(SEARCH('Nr rejestracyjny'!$F$5,$F653))),COUNT($H$1:H652)+1,"")</f>
        <v>0</v>
      </c>
      <c r="I653" s="9">
        <f>IF(AND($G653&lt;&gt;"",ISNUMBER(SEARCH('Nr rejestracyjny'!$F$5,$G653))),COUNT($I$1:I652)+1,"")</f>
        <v>0</v>
      </c>
    </row>
    <row r="654" spans="6:9">
      <c r="F654" s="7">
        <f>IF('W rejestracji'!$C$661="","",'W rejestracji'!$C$661)</f>
        <v>0</v>
      </c>
      <c r="G654" s="7">
        <f>IF(Zarejestrowane!$C$661="","",Zarejestrowane!$C$661)</f>
        <v>0</v>
      </c>
      <c r="H654" s="9">
        <f>IF(AND($F654&lt;&gt;"",ISNUMBER(SEARCH('Nr rejestracyjny'!$F$5,$F654))),COUNT($H$1:H653)+1,"")</f>
        <v>0</v>
      </c>
      <c r="I654" s="9">
        <f>IF(AND($G654&lt;&gt;"",ISNUMBER(SEARCH('Nr rejestracyjny'!$F$5,$G654))),COUNT($I$1:I653)+1,"")</f>
        <v>0</v>
      </c>
    </row>
    <row r="655" spans="6:9">
      <c r="F655" s="7">
        <f>IF('W rejestracji'!$C$662="","",'W rejestracji'!$C$662)</f>
        <v>0</v>
      </c>
      <c r="G655" s="7">
        <f>IF(Zarejestrowane!$C$662="","",Zarejestrowane!$C$662)</f>
        <v>0</v>
      </c>
      <c r="H655" s="9">
        <f>IF(AND($F655&lt;&gt;"",ISNUMBER(SEARCH('Nr rejestracyjny'!$F$5,$F655))),COUNT($H$1:H654)+1,"")</f>
        <v>0</v>
      </c>
      <c r="I655" s="9">
        <f>IF(AND($G655&lt;&gt;"",ISNUMBER(SEARCH('Nr rejestracyjny'!$F$5,$G655))),COUNT($I$1:I654)+1,"")</f>
        <v>0</v>
      </c>
    </row>
    <row r="656" spans="6:9">
      <c r="F656" s="7">
        <f>IF('W rejestracji'!$C$663="","",'W rejestracji'!$C$663)</f>
        <v>0</v>
      </c>
      <c r="G656" s="7">
        <f>IF(Zarejestrowane!$C$663="","",Zarejestrowane!$C$663)</f>
        <v>0</v>
      </c>
      <c r="H656" s="9">
        <f>IF(AND($F656&lt;&gt;"",ISNUMBER(SEARCH('Nr rejestracyjny'!$F$5,$F656))),COUNT($H$1:H655)+1,"")</f>
        <v>0</v>
      </c>
      <c r="I656" s="9">
        <f>IF(AND($G656&lt;&gt;"",ISNUMBER(SEARCH('Nr rejestracyjny'!$F$5,$G656))),COUNT($I$1:I655)+1,"")</f>
        <v>0</v>
      </c>
    </row>
    <row r="657" spans="6:9">
      <c r="F657" s="7">
        <f>IF('W rejestracji'!$C$664="","",'W rejestracji'!$C$664)</f>
        <v>0</v>
      </c>
      <c r="G657" s="7">
        <f>IF(Zarejestrowane!$C$664="","",Zarejestrowane!$C$664)</f>
        <v>0</v>
      </c>
      <c r="H657" s="9">
        <f>IF(AND($F657&lt;&gt;"",ISNUMBER(SEARCH('Nr rejestracyjny'!$F$5,$F657))),COUNT($H$1:H656)+1,"")</f>
        <v>0</v>
      </c>
      <c r="I657" s="9">
        <f>IF(AND($G657&lt;&gt;"",ISNUMBER(SEARCH('Nr rejestracyjny'!$F$5,$G657))),COUNT($I$1:I656)+1,"")</f>
        <v>0</v>
      </c>
    </row>
    <row r="658" spans="6:9">
      <c r="F658" s="7">
        <f>IF('W rejestracji'!$C$665="","",'W rejestracji'!$C$665)</f>
        <v>0</v>
      </c>
      <c r="G658" s="7">
        <f>IF(Zarejestrowane!$C$665="","",Zarejestrowane!$C$665)</f>
        <v>0</v>
      </c>
      <c r="H658" s="9">
        <f>IF(AND($F658&lt;&gt;"",ISNUMBER(SEARCH('Nr rejestracyjny'!$F$5,$F658))),COUNT($H$1:H657)+1,"")</f>
        <v>0</v>
      </c>
      <c r="I658" s="9">
        <f>IF(AND($G658&lt;&gt;"",ISNUMBER(SEARCH('Nr rejestracyjny'!$F$5,$G658))),COUNT($I$1:I657)+1,"")</f>
        <v>0</v>
      </c>
    </row>
    <row r="659" spans="6:9">
      <c r="F659" s="7">
        <f>IF('W rejestracji'!$C$666="","",'W rejestracji'!$C$666)</f>
        <v>0</v>
      </c>
      <c r="G659" s="7">
        <f>IF(Zarejestrowane!$C$666="","",Zarejestrowane!$C$666)</f>
        <v>0</v>
      </c>
      <c r="H659" s="9">
        <f>IF(AND($F659&lt;&gt;"",ISNUMBER(SEARCH('Nr rejestracyjny'!$F$5,$F659))),COUNT($H$1:H658)+1,"")</f>
        <v>0</v>
      </c>
      <c r="I659" s="9">
        <f>IF(AND($G659&lt;&gt;"",ISNUMBER(SEARCH('Nr rejestracyjny'!$F$5,$G659))),COUNT($I$1:I658)+1,"")</f>
        <v>0</v>
      </c>
    </row>
    <row r="660" spans="6:9">
      <c r="F660" s="7">
        <f>IF('W rejestracji'!$C$667="","",'W rejestracji'!$C$667)</f>
        <v>0</v>
      </c>
      <c r="G660" s="7">
        <f>IF(Zarejestrowane!$C$667="","",Zarejestrowane!$C$667)</f>
        <v>0</v>
      </c>
      <c r="H660" s="9">
        <f>IF(AND($F660&lt;&gt;"",ISNUMBER(SEARCH('Nr rejestracyjny'!$F$5,$F660))),COUNT($H$1:H659)+1,"")</f>
        <v>0</v>
      </c>
      <c r="I660" s="9">
        <f>IF(AND($G660&lt;&gt;"",ISNUMBER(SEARCH('Nr rejestracyjny'!$F$5,$G660))),COUNT($I$1:I659)+1,"")</f>
        <v>0</v>
      </c>
    </row>
    <row r="661" spans="6:9">
      <c r="F661" s="7">
        <f>IF('W rejestracji'!$C$668="","",'W rejestracji'!$C$668)</f>
        <v>0</v>
      </c>
      <c r="G661" s="7">
        <f>IF(Zarejestrowane!$C$668="","",Zarejestrowane!$C$668)</f>
        <v>0</v>
      </c>
      <c r="H661" s="9">
        <f>IF(AND($F661&lt;&gt;"",ISNUMBER(SEARCH('Nr rejestracyjny'!$F$5,$F661))),COUNT($H$1:H660)+1,"")</f>
        <v>0</v>
      </c>
      <c r="I661" s="9">
        <f>IF(AND($G661&lt;&gt;"",ISNUMBER(SEARCH('Nr rejestracyjny'!$F$5,$G661))),COUNT($I$1:I660)+1,"")</f>
        <v>0</v>
      </c>
    </row>
    <row r="662" spans="6:9">
      <c r="F662" s="7">
        <f>IF('W rejestracji'!$C$669="","",'W rejestracji'!$C$669)</f>
        <v>0</v>
      </c>
      <c r="G662" s="7">
        <f>IF(Zarejestrowane!$C$669="","",Zarejestrowane!$C$669)</f>
        <v>0</v>
      </c>
      <c r="H662" s="9">
        <f>IF(AND($F662&lt;&gt;"",ISNUMBER(SEARCH('Nr rejestracyjny'!$F$5,$F662))),COUNT($H$1:H661)+1,"")</f>
        <v>0</v>
      </c>
      <c r="I662" s="9">
        <f>IF(AND($G662&lt;&gt;"",ISNUMBER(SEARCH('Nr rejestracyjny'!$F$5,$G662))),COUNT($I$1:I661)+1,"")</f>
        <v>0</v>
      </c>
    </row>
    <row r="663" spans="6:9">
      <c r="F663" s="7">
        <f>IF('W rejestracji'!$C$670="","",'W rejestracji'!$C$670)</f>
        <v>0</v>
      </c>
      <c r="G663" s="7">
        <f>IF(Zarejestrowane!$C$670="","",Zarejestrowane!$C$670)</f>
        <v>0</v>
      </c>
      <c r="H663" s="9">
        <f>IF(AND($F663&lt;&gt;"",ISNUMBER(SEARCH('Nr rejestracyjny'!$F$5,$F663))),COUNT($H$1:H662)+1,"")</f>
        <v>0</v>
      </c>
      <c r="I663" s="9">
        <f>IF(AND($G663&lt;&gt;"",ISNUMBER(SEARCH('Nr rejestracyjny'!$F$5,$G663))),COUNT($I$1:I662)+1,"")</f>
        <v>0</v>
      </c>
    </row>
    <row r="664" spans="6:9">
      <c r="F664" s="7">
        <f>IF('W rejestracji'!$C$671="","",'W rejestracji'!$C$671)</f>
        <v>0</v>
      </c>
      <c r="G664" s="7">
        <f>IF(Zarejestrowane!$C$671="","",Zarejestrowane!$C$671)</f>
        <v>0</v>
      </c>
      <c r="H664" s="9">
        <f>IF(AND($F664&lt;&gt;"",ISNUMBER(SEARCH('Nr rejestracyjny'!$F$5,$F664))),COUNT($H$1:H663)+1,"")</f>
        <v>0</v>
      </c>
      <c r="I664" s="9">
        <f>IF(AND($G664&lt;&gt;"",ISNUMBER(SEARCH('Nr rejestracyjny'!$F$5,$G664))),COUNT($I$1:I663)+1,"")</f>
        <v>0</v>
      </c>
    </row>
    <row r="665" spans="6:9">
      <c r="F665" s="7">
        <f>IF('W rejestracji'!$C$672="","",'W rejestracji'!$C$672)</f>
        <v>0</v>
      </c>
      <c r="G665" s="7">
        <f>IF(Zarejestrowane!$C$672="","",Zarejestrowane!$C$672)</f>
        <v>0</v>
      </c>
      <c r="H665" s="9">
        <f>IF(AND($F665&lt;&gt;"",ISNUMBER(SEARCH('Nr rejestracyjny'!$F$5,$F665))),COUNT($H$1:H664)+1,"")</f>
        <v>0</v>
      </c>
      <c r="I665" s="9">
        <f>IF(AND($G665&lt;&gt;"",ISNUMBER(SEARCH('Nr rejestracyjny'!$F$5,$G665))),COUNT($I$1:I664)+1,"")</f>
        <v>0</v>
      </c>
    </row>
    <row r="666" spans="6:9">
      <c r="F666" s="7">
        <f>IF('W rejestracji'!$C$673="","",'W rejestracji'!$C$673)</f>
        <v>0</v>
      </c>
      <c r="G666" s="7">
        <f>IF(Zarejestrowane!$C$673="","",Zarejestrowane!$C$673)</f>
        <v>0</v>
      </c>
      <c r="H666" s="9">
        <f>IF(AND($F666&lt;&gt;"",ISNUMBER(SEARCH('Nr rejestracyjny'!$F$5,$F666))),COUNT($H$1:H665)+1,"")</f>
        <v>0</v>
      </c>
      <c r="I666" s="9">
        <f>IF(AND($G666&lt;&gt;"",ISNUMBER(SEARCH('Nr rejestracyjny'!$F$5,$G666))),COUNT($I$1:I665)+1,"")</f>
        <v>0</v>
      </c>
    </row>
    <row r="667" spans="6:9">
      <c r="F667" s="7">
        <f>IF('W rejestracji'!$C$674="","",'W rejestracji'!$C$674)</f>
        <v>0</v>
      </c>
      <c r="G667" s="7">
        <f>IF(Zarejestrowane!$C$674="","",Zarejestrowane!$C$674)</f>
        <v>0</v>
      </c>
      <c r="H667" s="9">
        <f>IF(AND($F667&lt;&gt;"",ISNUMBER(SEARCH('Nr rejestracyjny'!$F$5,$F667))),COUNT($H$1:H666)+1,"")</f>
        <v>0</v>
      </c>
      <c r="I667" s="9">
        <f>IF(AND($G667&lt;&gt;"",ISNUMBER(SEARCH('Nr rejestracyjny'!$F$5,$G667))),COUNT($I$1:I666)+1,"")</f>
        <v>0</v>
      </c>
    </row>
    <row r="668" spans="6:9">
      <c r="F668" s="7">
        <f>IF('W rejestracji'!$C$675="","",'W rejestracji'!$C$675)</f>
        <v>0</v>
      </c>
      <c r="G668" s="7">
        <f>IF(Zarejestrowane!$C$675="","",Zarejestrowane!$C$675)</f>
        <v>0</v>
      </c>
      <c r="H668" s="9">
        <f>IF(AND($F668&lt;&gt;"",ISNUMBER(SEARCH('Nr rejestracyjny'!$F$5,$F668))),COUNT($H$1:H667)+1,"")</f>
        <v>0</v>
      </c>
      <c r="I668" s="9">
        <f>IF(AND($G668&lt;&gt;"",ISNUMBER(SEARCH('Nr rejestracyjny'!$F$5,$G668))),COUNT($I$1:I667)+1,"")</f>
        <v>0</v>
      </c>
    </row>
    <row r="669" spans="6:9">
      <c r="F669" s="7">
        <f>IF('W rejestracji'!$C$676="","",'W rejestracji'!$C$676)</f>
        <v>0</v>
      </c>
      <c r="G669" s="7">
        <f>IF(Zarejestrowane!$C$676="","",Zarejestrowane!$C$676)</f>
        <v>0</v>
      </c>
      <c r="H669" s="9">
        <f>IF(AND($F669&lt;&gt;"",ISNUMBER(SEARCH('Nr rejestracyjny'!$F$5,$F669))),COUNT($H$1:H668)+1,"")</f>
        <v>0</v>
      </c>
      <c r="I669" s="9">
        <f>IF(AND($G669&lt;&gt;"",ISNUMBER(SEARCH('Nr rejestracyjny'!$F$5,$G669))),COUNT($I$1:I668)+1,"")</f>
        <v>0</v>
      </c>
    </row>
    <row r="670" spans="6:9">
      <c r="F670" s="7">
        <f>IF('W rejestracji'!$C$677="","",'W rejestracji'!$C$677)</f>
        <v>0</v>
      </c>
      <c r="G670" s="7">
        <f>IF(Zarejestrowane!$C$677="","",Zarejestrowane!$C$677)</f>
        <v>0</v>
      </c>
      <c r="H670" s="9">
        <f>IF(AND($F670&lt;&gt;"",ISNUMBER(SEARCH('Nr rejestracyjny'!$F$5,$F670))),COUNT($H$1:H669)+1,"")</f>
        <v>0</v>
      </c>
      <c r="I670" s="9">
        <f>IF(AND($G670&lt;&gt;"",ISNUMBER(SEARCH('Nr rejestracyjny'!$F$5,$G670))),COUNT($I$1:I669)+1,"")</f>
        <v>0</v>
      </c>
    </row>
    <row r="671" spans="6:9">
      <c r="F671" s="7">
        <f>IF('W rejestracji'!$C$678="","",'W rejestracji'!$C$678)</f>
        <v>0</v>
      </c>
      <c r="G671" s="7">
        <f>IF(Zarejestrowane!$C$678="","",Zarejestrowane!$C$678)</f>
        <v>0</v>
      </c>
      <c r="H671" s="9">
        <f>IF(AND($F671&lt;&gt;"",ISNUMBER(SEARCH('Nr rejestracyjny'!$F$5,$F671))),COUNT($H$1:H670)+1,"")</f>
        <v>0</v>
      </c>
      <c r="I671" s="9">
        <f>IF(AND($G671&lt;&gt;"",ISNUMBER(SEARCH('Nr rejestracyjny'!$F$5,$G671))),COUNT($I$1:I670)+1,"")</f>
        <v>0</v>
      </c>
    </row>
    <row r="672" spans="6:9">
      <c r="F672" s="7">
        <f>IF('W rejestracji'!$C$679="","",'W rejestracji'!$C$679)</f>
        <v>0</v>
      </c>
      <c r="G672" s="7">
        <f>IF(Zarejestrowane!$C$679="","",Zarejestrowane!$C$679)</f>
        <v>0</v>
      </c>
      <c r="H672" s="9">
        <f>IF(AND($F672&lt;&gt;"",ISNUMBER(SEARCH('Nr rejestracyjny'!$F$5,$F672))),COUNT($H$1:H671)+1,"")</f>
        <v>0</v>
      </c>
      <c r="I672" s="9">
        <f>IF(AND($G672&lt;&gt;"",ISNUMBER(SEARCH('Nr rejestracyjny'!$F$5,$G672))),COUNT($I$1:I671)+1,"")</f>
        <v>0</v>
      </c>
    </row>
    <row r="673" spans="6:9">
      <c r="F673" s="7">
        <f>IF('W rejestracji'!$C$680="","",'W rejestracji'!$C$680)</f>
        <v>0</v>
      </c>
      <c r="G673" s="7">
        <f>IF(Zarejestrowane!$C$680="","",Zarejestrowane!$C$680)</f>
        <v>0</v>
      </c>
      <c r="H673" s="9">
        <f>IF(AND($F673&lt;&gt;"",ISNUMBER(SEARCH('Nr rejestracyjny'!$F$5,$F673))),COUNT($H$1:H672)+1,"")</f>
        <v>0</v>
      </c>
      <c r="I673" s="9">
        <f>IF(AND($G673&lt;&gt;"",ISNUMBER(SEARCH('Nr rejestracyjny'!$F$5,$G673))),COUNT($I$1:I672)+1,"")</f>
        <v>0</v>
      </c>
    </row>
    <row r="674" spans="6:9">
      <c r="F674" s="7">
        <f>IF('W rejestracji'!$C$681="","",'W rejestracji'!$C$681)</f>
        <v>0</v>
      </c>
      <c r="G674" s="7">
        <f>IF(Zarejestrowane!$C$681="","",Zarejestrowane!$C$681)</f>
        <v>0</v>
      </c>
      <c r="H674" s="9">
        <f>IF(AND($F674&lt;&gt;"",ISNUMBER(SEARCH('Nr rejestracyjny'!$F$5,$F674))),COUNT($H$1:H673)+1,"")</f>
        <v>0</v>
      </c>
      <c r="I674" s="9">
        <f>IF(AND($G674&lt;&gt;"",ISNUMBER(SEARCH('Nr rejestracyjny'!$F$5,$G674))),COUNT($I$1:I673)+1,"")</f>
        <v>0</v>
      </c>
    </row>
    <row r="675" spans="6:9">
      <c r="F675" s="7">
        <f>IF('W rejestracji'!$C$682="","",'W rejestracji'!$C$682)</f>
        <v>0</v>
      </c>
      <c r="G675" s="7">
        <f>IF(Zarejestrowane!$C$682="","",Zarejestrowane!$C$682)</f>
        <v>0</v>
      </c>
      <c r="H675" s="9">
        <f>IF(AND($F675&lt;&gt;"",ISNUMBER(SEARCH('Nr rejestracyjny'!$F$5,$F675))),COUNT($H$1:H674)+1,"")</f>
        <v>0</v>
      </c>
      <c r="I675" s="9">
        <f>IF(AND($G675&lt;&gt;"",ISNUMBER(SEARCH('Nr rejestracyjny'!$F$5,$G675))),COUNT($I$1:I674)+1,"")</f>
        <v>0</v>
      </c>
    </row>
    <row r="676" spans="6:9">
      <c r="F676" s="7">
        <f>IF('W rejestracji'!$C$683="","",'W rejestracji'!$C$683)</f>
        <v>0</v>
      </c>
      <c r="G676" s="7">
        <f>IF(Zarejestrowane!$C$683="","",Zarejestrowane!$C$683)</f>
        <v>0</v>
      </c>
      <c r="H676" s="9">
        <f>IF(AND($F676&lt;&gt;"",ISNUMBER(SEARCH('Nr rejestracyjny'!$F$5,$F676))),COUNT($H$1:H675)+1,"")</f>
        <v>0</v>
      </c>
      <c r="I676" s="9">
        <f>IF(AND($G676&lt;&gt;"",ISNUMBER(SEARCH('Nr rejestracyjny'!$F$5,$G676))),COUNT($I$1:I675)+1,"")</f>
        <v>0</v>
      </c>
    </row>
    <row r="677" spans="6:9">
      <c r="F677" s="7">
        <f>IF('W rejestracji'!$C$684="","",'W rejestracji'!$C$684)</f>
        <v>0</v>
      </c>
      <c r="G677" s="7">
        <f>IF(Zarejestrowane!$C$684="","",Zarejestrowane!$C$684)</f>
        <v>0</v>
      </c>
      <c r="H677" s="9">
        <f>IF(AND($F677&lt;&gt;"",ISNUMBER(SEARCH('Nr rejestracyjny'!$F$5,$F677))),COUNT($H$1:H676)+1,"")</f>
        <v>0</v>
      </c>
      <c r="I677" s="9">
        <f>IF(AND($G677&lt;&gt;"",ISNUMBER(SEARCH('Nr rejestracyjny'!$F$5,$G677))),COUNT($I$1:I676)+1,"")</f>
        <v>0</v>
      </c>
    </row>
    <row r="678" spans="6:9">
      <c r="F678" s="7">
        <f>IF('W rejestracji'!$C$685="","",'W rejestracji'!$C$685)</f>
        <v>0</v>
      </c>
      <c r="G678" s="7">
        <f>IF(Zarejestrowane!$C$685="","",Zarejestrowane!$C$685)</f>
        <v>0</v>
      </c>
      <c r="H678" s="9">
        <f>IF(AND($F678&lt;&gt;"",ISNUMBER(SEARCH('Nr rejestracyjny'!$F$5,$F678))),COUNT($H$1:H677)+1,"")</f>
        <v>0</v>
      </c>
      <c r="I678" s="9">
        <f>IF(AND($G678&lt;&gt;"",ISNUMBER(SEARCH('Nr rejestracyjny'!$F$5,$G678))),COUNT($I$1:I677)+1,"")</f>
        <v>0</v>
      </c>
    </row>
    <row r="679" spans="6:9">
      <c r="F679" s="7">
        <f>IF('W rejestracji'!$C$686="","",'W rejestracji'!$C$686)</f>
        <v>0</v>
      </c>
      <c r="G679" s="7">
        <f>IF(Zarejestrowane!$C$686="","",Zarejestrowane!$C$686)</f>
        <v>0</v>
      </c>
      <c r="H679" s="9">
        <f>IF(AND($F679&lt;&gt;"",ISNUMBER(SEARCH('Nr rejestracyjny'!$F$5,$F679))),COUNT($H$1:H678)+1,"")</f>
        <v>0</v>
      </c>
      <c r="I679" s="9">
        <f>IF(AND($G679&lt;&gt;"",ISNUMBER(SEARCH('Nr rejestracyjny'!$F$5,$G679))),COUNT($I$1:I678)+1,"")</f>
        <v>0</v>
      </c>
    </row>
    <row r="680" spans="6:9">
      <c r="F680" s="7">
        <f>IF('W rejestracji'!$C$687="","",'W rejestracji'!$C$687)</f>
        <v>0</v>
      </c>
      <c r="G680" s="7">
        <f>IF(Zarejestrowane!$C$687="","",Zarejestrowane!$C$687)</f>
        <v>0</v>
      </c>
      <c r="H680" s="9">
        <f>IF(AND($F680&lt;&gt;"",ISNUMBER(SEARCH('Nr rejestracyjny'!$F$5,$F680))),COUNT($H$1:H679)+1,"")</f>
        <v>0</v>
      </c>
      <c r="I680" s="9">
        <f>IF(AND($G680&lt;&gt;"",ISNUMBER(SEARCH('Nr rejestracyjny'!$F$5,$G680))),COUNT($I$1:I679)+1,"")</f>
        <v>0</v>
      </c>
    </row>
    <row r="681" spans="6:9">
      <c r="F681" s="7">
        <f>IF('W rejestracji'!$C$688="","",'W rejestracji'!$C$688)</f>
        <v>0</v>
      </c>
      <c r="G681" s="7">
        <f>IF(Zarejestrowane!$C$688="","",Zarejestrowane!$C$688)</f>
        <v>0</v>
      </c>
      <c r="H681" s="9">
        <f>IF(AND($F681&lt;&gt;"",ISNUMBER(SEARCH('Nr rejestracyjny'!$F$5,$F681))),COUNT($H$1:H680)+1,"")</f>
        <v>0</v>
      </c>
      <c r="I681" s="9">
        <f>IF(AND($G681&lt;&gt;"",ISNUMBER(SEARCH('Nr rejestracyjny'!$F$5,$G681))),COUNT($I$1:I680)+1,"")</f>
        <v>0</v>
      </c>
    </row>
    <row r="682" spans="6:9">
      <c r="F682" s="7">
        <f>IF('W rejestracji'!$C$689="","",'W rejestracji'!$C$689)</f>
        <v>0</v>
      </c>
      <c r="G682" s="7">
        <f>IF(Zarejestrowane!$C$689="","",Zarejestrowane!$C$689)</f>
        <v>0</v>
      </c>
      <c r="H682" s="9">
        <f>IF(AND($F682&lt;&gt;"",ISNUMBER(SEARCH('Nr rejestracyjny'!$F$5,$F682))),COUNT($H$1:H681)+1,"")</f>
        <v>0</v>
      </c>
      <c r="I682" s="9">
        <f>IF(AND($G682&lt;&gt;"",ISNUMBER(SEARCH('Nr rejestracyjny'!$F$5,$G682))),COUNT($I$1:I681)+1,"")</f>
        <v>0</v>
      </c>
    </row>
    <row r="683" spans="6:9">
      <c r="F683" s="7">
        <f>IF('W rejestracji'!$C$690="","",'W rejestracji'!$C$690)</f>
        <v>0</v>
      </c>
      <c r="G683" s="7">
        <f>IF(Zarejestrowane!$C$690="","",Zarejestrowane!$C$690)</f>
        <v>0</v>
      </c>
      <c r="H683" s="9">
        <f>IF(AND($F683&lt;&gt;"",ISNUMBER(SEARCH('Nr rejestracyjny'!$F$5,$F683))),COUNT($H$1:H682)+1,"")</f>
        <v>0</v>
      </c>
      <c r="I683" s="9">
        <f>IF(AND($G683&lt;&gt;"",ISNUMBER(SEARCH('Nr rejestracyjny'!$F$5,$G683))),COUNT($I$1:I682)+1,"")</f>
        <v>0</v>
      </c>
    </row>
    <row r="684" spans="6:9">
      <c r="F684" s="7">
        <f>IF('W rejestracji'!$C$691="","",'W rejestracji'!$C$691)</f>
        <v>0</v>
      </c>
      <c r="G684" s="7">
        <f>IF(Zarejestrowane!$C$691="","",Zarejestrowane!$C$691)</f>
        <v>0</v>
      </c>
      <c r="H684" s="9">
        <f>IF(AND($F684&lt;&gt;"",ISNUMBER(SEARCH('Nr rejestracyjny'!$F$5,$F684))),COUNT($H$1:H683)+1,"")</f>
        <v>0</v>
      </c>
      <c r="I684" s="9">
        <f>IF(AND($G684&lt;&gt;"",ISNUMBER(SEARCH('Nr rejestracyjny'!$F$5,$G684))),COUNT($I$1:I683)+1,"")</f>
        <v>0</v>
      </c>
    </row>
    <row r="685" spans="6:9">
      <c r="F685" s="7">
        <f>IF('W rejestracji'!$C$692="","",'W rejestracji'!$C$692)</f>
        <v>0</v>
      </c>
      <c r="G685" s="7">
        <f>IF(Zarejestrowane!$C$692="","",Zarejestrowane!$C$692)</f>
        <v>0</v>
      </c>
      <c r="H685" s="9">
        <f>IF(AND($F685&lt;&gt;"",ISNUMBER(SEARCH('Nr rejestracyjny'!$F$5,$F685))),COUNT($H$1:H684)+1,"")</f>
        <v>0</v>
      </c>
      <c r="I685" s="9">
        <f>IF(AND($G685&lt;&gt;"",ISNUMBER(SEARCH('Nr rejestracyjny'!$F$5,$G685))),COUNT($I$1:I684)+1,"")</f>
        <v>0</v>
      </c>
    </row>
    <row r="686" spans="6:9">
      <c r="F686" s="7">
        <f>IF('W rejestracji'!$C$693="","",'W rejestracji'!$C$693)</f>
        <v>0</v>
      </c>
      <c r="G686" s="7">
        <f>IF(Zarejestrowane!$C$693="","",Zarejestrowane!$C$693)</f>
        <v>0</v>
      </c>
      <c r="H686" s="9">
        <f>IF(AND($F686&lt;&gt;"",ISNUMBER(SEARCH('Nr rejestracyjny'!$F$5,$F686))),COUNT($H$1:H685)+1,"")</f>
        <v>0</v>
      </c>
      <c r="I686" s="9">
        <f>IF(AND($G686&lt;&gt;"",ISNUMBER(SEARCH('Nr rejestracyjny'!$F$5,$G686))),COUNT($I$1:I685)+1,"")</f>
        <v>0</v>
      </c>
    </row>
    <row r="687" spans="6:9">
      <c r="F687" s="7">
        <f>IF('W rejestracji'!$C$694="","",'W rejestracji'!$C$694)</f>
        <v>0</v>
      </c>
      <c r="G687" s="7">
        <f>IF(Zarejestrowane!$C$694="","",Zarejestrowane!$C$694)</f>
        <v>0</v>
      </c>
      <c r="H687" s="9">
        <f>IF(AND($F687&lt;&gt;"",ISNUMBER(SEARCH('Nr rejestracyjny'!$F$5,$F687))),COUNT($H$1:H686)+1,"")</f>
        <v>0</v>
      </c>
      <c r="I687" s="9">
        <f>IF(AND($G687&lt;&gt;"",ISNUMBER(SEARCH('Nr rejestracyjny'!$F$5,$G687))),COUNT($I$1:I686)+1,"")</f>
        <v>0</v>
      </c>
    </row>
    <row r="688" spans="6:9">
      <c r="F688" s="7">
        <f>IF('W rejestracji'!$C$695="","",'W rejestracji'!$C$695)</f>
        <v>0</v>
      </c>
      <c r="G688" s="7">
        <f>IF(Zarejestrowane!$C$695="","",Zarejestrowane!$C$695)</f>
        <v>0</v>
      </c>
      <c r="H688" s="9">
        <f>IF(AND($F688&lt;&gt;"",ISNUMBER(SEARCH('Nr rejestracyjny'!$F$5,$F688))),COUNT($H$1:H687)+1,"")</f>
        <v>0</v>
      </c>
      <c r="I688" s="9">
        <f>IF(AND($G688&lt;&gt;"",ISNUMBER(SEARCH('Nr rejestracyjny'!$F$5,$G688))),COUNT($I$1:I687)+1,"")</f>
        <v>0</v>
      </c>
    </row>
    <row r="689" spans="6:9">
      <c r="F689" s="7">
        <f>IF('W rejestracji'!$C$696="","",'W rejestracji'!$C$696)</f>
        <v>0</v>
      </c>
      <c r="G689" s="7">
        <f>IF(Zarejestrowane!$C$696="","",Zarejestrowane!$C$696)</f>
        <v>0</v>
      </c>
      <c r="H689" s="9">
        <f>IF(AND($F689&lt;&gt;"",ISNUMBER(SEARCH('Nr rejestracyjny'!$F$5,$F689))),COUNT($H$1:H688)+1,"")</f>
        <v>0</v>
      </c>
      <c r="I689" s="9">
        <f>IF(AND($G689&lt;&gt;"",ISNUMBER(SEARCH('Nr rejestracyjny'!$F$5,$G689))),COUNT($I$1:I688)+1,"")</f>
        <v>0</v>
      </c>
    </row>
    <row r="690" spans="6:9">
      <c r="F690" s="7">
        <f>IF('W rejestracji'!$C$697="","",'W rejestracji'!$C$697)</f>
        <v>0</v>
      </c>
      <c r="G690" s="7">
        <f>IF(Zarejestrowane!$C$697="","",Zarejestrowane!$C$697)</f>
        <v>0</v>
      </c>
      <c r="H690" s="9">
        <f>IF(AND($F690&lt;&gt;"",ISNUMBER(SEARCH('Nr rejestracyjny'!$F$5,$F690))),COUNT($H$1:H689)+1,"")</f>
        <v>0</v>
      </c>
      <c r="I690" s="9">
        <f>IF(AND($G690&lt;&gt;"",ISNUMBER(SEARCH('Nr rejestracyjny'!$F$5,$G690))),COUNT($I$1:I689)+1,"")</f>
        <v>0</v>
      </c>
    </row>
    <row r="691" spans="6:9">
      <c r="F691" s="7">
        <f>IF('W rejestracji'!$C$698="","",'W rejestracji'!$C$698)</f>
        <v>0</v>
      </c>
      <c r="G691" s="7">
        <f>IF(Zarejestrowane!$C$698="","",Zarejestrowane!$C$698)</f>
        <v>0</v>
      </c>
      <c r="H691" s="9">
        <f>IF(AND($F691&lt;&gt;"",ISNUMBER(SEARCH('Nr rejestracyjny'!$F$5,$F691))),COUNT($H$1:H690)+1,"")</f>
        <v>0</v>
      </c>
      <c r="I691" s="9">
        <f>IF(AND($G691&lt;&gt;"",ISNUMBER(SEARCH('Nr rejestracyjny'!$F$5,$G691))),COUNT($I$1:I690)+1,"")</f>
        <v>0</v>
      </c>
    </row>
    <row r="692" spans="6:9">
      <c r="F692" s="7">
        <f>IF('W rejestracji'!$C$699="","",'W rejestracji'!$C$699)</f>
        <v>0</v>
      </c>
      <c r="G692" s="7">
        <f>IF(Zarejestrowane!$C$699="","",Zarejestrowane!$C$699)</f>
        <v>0</v>
      </c>
      <c r="H692" s="9">
        <f>IF(AND($F692&lt;&gt;"",ISNUMBER(SEARCH('Nr rejestracyjny'!$F$5,$F692))),COUNT($H$1:H691)+1,"")</f>
        <v>0</v>
      </c>
      <c r="I692" s="9">
        <f>IF(AND($G692&lt;&gt;"",ISNUMBER(SEARCH('Nr rejestracyjny'!$F$5,$G692))),COUNT($I$1:I691)+1,"")</f>
        <v>0</v>
      </c>
    </row>
    <row r="693" spans="6:9">
      <c r="F693" s="7">
        <f>IF('W rejestracji'!$C$700="","",'W rejestracji'!$C$700)</f>
        <v>0</v>
      </c>
      <c r="G693" s="7">
        <f>IF(Zarejestrowane!$C$700="","",Zarejestrowane!$C$700)</f>
        <v>0</v>
      </c>
      <c r="H693" s="9">
        <f>IF(AND($F693&lt;&gt;"",ISNUMBER(SEARCH('Nr rejestracyjny'!$F$5,$F693))),COUNT($H$1:H692)+1,"")</f>
        <v>0</v>
      </c>
      <c r="I693" s="9">
        <f>IF(AND($G693&lt;&gt;"",ISNUMBER(SEARCH('Nr rejestracyjny'!$F$5,$G693))),COUNT($I$1:I692)+1,"")</f>
        <v>0</v>
      </c>
    </row>
    <row r="694" spans="6:9">
      <c r="F694" s="7">
        <f>IF('W rejestracji'!$C$701="","",'W rejestracji'!$C$701)</f>
        <v>0</v>
      </c>
      <c r="G694" s="7">
        <f>IF(Zarejestrowane!$C$701="","",Zarejestrowane!$C$701)</f>
        <v>0</v>
      </c>
      <c r="H694" s="9">
        <f>IF(AND($F694&lt;&gt;"",ISNUMBER(SEARCH('Nr rejestracyjny'!$F$5,$F694))),COUNT($H$1:H693)+1,"")</f>
        <v>0</v>
      </c>
      <c r="I694" s="9">
        <f>IF(AND($G694&lt;&gt;"",ISNUMBER(SEARCH('Nr rejestracyjny'!$F$5,$G694))),COUNT($I$1:I693)+1,"")</f>
        <v>0</v>
      </c>
    </row>
    <row r="695" spans="6:9">
      <c r="F695" s="7">
        <f>IF('W rejestracji'!$C$702="","",'W rejestracji'!$C$702)</f>
        <v>0</v>
      </c>
      <c r="G695" s="7">
        <f>IF(Zarejestrowane!$C$702="","",Zarejestrowane!$C$702)</f>
        <v>0</v>
      </c>
      <c r="H695" s="9">
        <f>IF(AND($F695&lt;&gt;"",ISNUMBER(SEARCH('Nr rejestracyjny'!$F$5,$F695))),COUNT($H$1:H694)+1,"")</f>
        <v>0</v>
      </c>
      <c r="I695" s="9">
        <f>IF(AND($G695&lt;&gt;"",ISNUMBER(SEARCH('Nr rejestracyjny'!$F$5,$G695))),COUNT($I$1:I694)+1,"")</f>
        <v>0</v>
      </c>
    </row>
    <row r="696" spans="6:9">
      <c r="F696" s="7">
        <f>IF('W rejestracji'!$C$703="","",'W rejestracji'!$C$703)</f>
        <v>0</v>
      </c>
      <c r="G696" s="7">
        <f>IF(Zarejestrowane!$C$703="","",Zarejestrowane!$C$703)</f>
        <v>0</v>
      </c>
      <c r="H696" s="9">
        <f>IF(AND($F696&lt;&gt;"",ISNUMBER(SEARCH('Nr rejestracyjny'!$F$5,$F696))),COUNT($H$1:H695)+1,"")</f>
        <v>0</v>
      </c>
      <c r="I696" s="9">
        <f>IF(AND($G696&lt;&gt;"",ISNUMBER(SEARCH('Nr rejestracyjny'!$F$5,$G696))),COUNT($I$1:I695)+1,"")</f>
        <v>0</v>
      </c>
    </row>
    <row r="697" spans="6:9">
      <c r="F697" s="7">
        <f>IF('W rejestracji'!$C$704="","",'W rejestracji'!$C$704)</f>
        <v>0</v>
      </c>
      <c r="G697" s="7">
        <f>IF(Zarejestrowane!$C$704="","",Zarejestrowane!$C$704)</f>
        <v>0</v>
      </c>
      <c r="H697" s="9">
        <f>IF(AND($F697&lt;&gt;"",ISNUMBER(SEARCH('Nr rejestracyjny'!$F$5,$F697))),COUNT($H$1:H696)+1,"")</f>
        <v>0</v>
      </c>
      <c r="I697" s="9">
        <f>IF(AND($G697&lt;&gt;"",ISNUMBER(SEARCH('Nr rejestracyjny'!$F$5,$G697))),COUNT($I$1:I696)+1,"")</f>
        <v>0</v>
      </c>
    </row>
    <row r="698" spans="6:9">
      <c r="F698" s="7">
        <f>IF('W rejestracji'!$C$705="","",'W rejestracji'!$C$705)</f>
        <v>0</v>
      </c>
      <c r="G698" s="7">
        <f>IF(Zarejestrowane!$C$705="","",Zarejestrowane!$C$705)</f>
        <v>0</v>
      </c>
      <c r="H698" s="9">
        <f>IF(AND($F698&lt;&gt;"",ISNUMBER(SEARCH('Nr rejestracyjny'!$F$5,$F698))),COUNT($H$1:H697)+1,"")</f>
        <v>0</v>
      </c>
      <c r="I698" s="9">
        <f>IF(AND($G698&lt;&gt;"",ISNUMBER(SEARCH('Nr rejestracyjny'!$F$5,$G698))),COUNT($I$1:I697)+1,"")</f>
        <v>0</v>
      </c>
    </row>
    <row r="699" spans="6:9">
      <c r="F699" s="7">
        <f>IF('W rejestracji'!$C$706="","",'W rejestracji'!$C$706)</f>
        <v>0</v>
      </c>
      <c r="G699" s="7">
        <f>IF(Zarejestrowane!$C$706="","",Zarejestrowane!$C$706)</f>
        <v>0</v>
      </c>
      <c r="H699" s="9">
        <f>IF(AND($F699&lt;&gt;"",ISNUMBER(SEARCH('Nr rejestracyjny'!$F$5,$F699))),COUNT($H$1:H698)+1,"")</f>
        <v>0</v>
      </c>
      <c r="I699" s="9">
        <f>IF(AND($G699&lt;&gt;"",ISNUMBER(SEARCH('Nr rejestracyjny'!$F$5,$G699))),COUNT($I$1:I698)+1,"")</f>
        <v>0</v>
      </c>
    </row>
    <row r="700" spans="6:9">
      <c r="F700" s="7">
        <f>IF('W rejestracji'!$C$707="","",'W rejestracji'!$C$707)</f>
        <v>0</v>
      </c>
      <c r="G700" s="7">
        <f>IF(Zarejestrowane!$C$707="","",Zarejestrowane!$C$707)</f>
        <v>0</v>
      </c>
      <c r="H700" s="9">
        <f>IF(AND($F700&lt;&gt;"",ISNUMBER(SEARCH('Nr rejestracyjny'!$F$5,$F700))),COUNT($H$1:H699)+1,"")</f>
        <v>0</v>
      </c>
      <c r="I700" s="9">
        <f>IF(AND($G700&lt;&gt;"",ISNUMBER(SEARCH('Nr rejestracyjny'!$F$5,$G700))),COUNT($I$1:I699)+1,"")</f>
        <v>0</v>
      </c>
    </row>
    <row r="701" spans="6:9">
      <c r="F701" s="7">
        <f>IF('W rejestracji'!$C$708="","",'W rejestracji'!$C$708)</f>
        <v>0</v>
      </c>
      <c r="G701" s="7">
        <f>IF(Zarejestrowane!$C$708="","",Zarejestrowane!$C$708)</f>
        <v>0</v>
      </c>
      <c r="H701" s="9">
        <f>IF(AND($F701&lt;&gt;"",ISNUMBER(SEARCH('Nr rejestracyjny'!$F$5,$F701))),COUNT($H$1:H700)+1,"")</f>
        <v>0</v>
      </c>
      <c r="I701" s="9">
        <f>IF(AND($G701&lt;&gt;"",ISNUMBER(SEARCH('Nr rejestracyjny'!$F$5,$G701))),COUNT($I$1:I700)+1,"")</f>
        <v>0</v>
      </c>
    </row>
    <row r="702" spans="6:9">
      <c r="F702" s="7">
        <f>IF('W rejestracji'!$C$709="","",'W rejestracji'!$C$709)</f>
        <v>0</v>
      </c>
      <c r="G702" s="7">
        <f>IF(Zarejestrowane!$C$709="","",Zarejestrowane!$C$709)</f>
        <v>0</v>
      </c>
      <c r="H702" s="9">
        <f>IF(AND($F702&lt;&gt;"",ISNUMBER(SEARCH('Nr rejestracyjny'!$F$5,$F702))),COUNT($H$1:H701)+1,"")</f>
        <v>0</v>
      </c>
      <c r="I702" s="9">
        <f>IF(AND($G702&lt;&gt;"",ISNUMBER(SEARCH('Nr rejestracyjny'!$F$5,$G702))),COUNT($I$1:I701)+1,"")</f>
        <v>0</v>
      </c>
    </row>
    <row r="703" spans="6:9">
      <c r="F703" s="7">
        <f>IF('W rejestracji'!$C$710="","",'W rejestracji'!$C$710)</f>
        <v>0</v>
      </c>
      <c r="G703" s="7">
        <f>IF(Zarejestrowane!$C$710="","",Zarejestrowane!$C$710)</f>
        <v>0</v>
      </c>
      <c r="H703" s="9">
        <f>IF(AND($F703&lt;&gt;"",ISNUMBER(SEARCH('Nr rejestracyjny'!$F$5,$F703))),COUNT($H$1:H702)+1,"")</f>
        <v>0</v>
      </c>
      <c r="I703" s="9">
        <f>IF(AND($G703&lt;&gt;"",ISNUMBER(SEARCH('Nr rejestracyjny'!$F$5,$G703))),COUNT($I$1:I702)+1,"")</f>
        <v>0</v>
      </c>
    </row>
    <row r="704" spans="6:9">
      <c r="F704" s="7">
        <f>IF('W rejestracji'!$C$711="","",'W rejestracji'!$C$711)</f>
        <v>0</v>
      </c>
      <c r="G704" s="7">
        <f>IF(Zarejestrowane!$C$711="","",Zarejestrowane!$C$711)</f>
        <v>0</v>
      </c>
      <c r="H704" s="9">
        <f>IF(AND($F704&lt;&gt;"",ISNUMBER(SEARCH('Nr rejestracyjny'!$F$5,$F704))),COUNT($H$1:H703)+1,"")</f>
        <v>0</v>
      </c>
      <c r="I704" s="9">
        <f>IF(AND($G704&lt;&gt;"",ISNUMBER(SEARCH('Nr rejestracyjny'!$F$5,$G704))),COUNT($I$1:I703)+1,"")</f>
        <v>0</v>
      </c>
    </row>
    <row r="705" spans="6:9">
      <c r="F705" s="7">
        <f>IF('W rejestracji'!$C$712="","",'W rejestracji'!$C$712)</f>
        <v>0</v>
      </c>
      <c r="G705" s="7">
        <f>IF(Zarejestrowane!$C$712="","",Zarejestrowane!$C$712)</f>
        <v>0</v>
      </c>
      <c r="H705" s="9">
        <f>IF(AND($F705&lt;&gt;"",ISNUMBER(SEARCH('Nr rejestracyjny'!$F$5,$F705))),COUNT($H$1:H704)+1,"")</f>
        <v>0</v>
      </c>
      <c r="I705" s="9">
        <f>IF(AND($G705&lt;&gt;"",ISNUMBER(SEARCH('Nr rejestracyjny'!$F$5,$G705))),COUNT($I$1:I704)+1,"")</f>
        <v>0</v>
      </c>
    </row>
    <row r="706" spans="6:9">
      <c r="F706" s="7">
        <f>IF('W rejestracji'!$C$713="","",'W rejestracji'!$C$713)</f>
        <v>0</v>
      </c>
      <c r="G706" s="7">
        <f>IF(Zarejestrowane!$C$713="","",Zarejestrowane!$C$713)</f>
        <v>0</v>
      </c>
      <c r="H706" s="9">
        <f>IF(AND($F706&lt;&gt;"",ISNUMBER(SEARCH('Nr rejestracyjny'!$F$5,$F706))),COUNT($H$1:H705)+1,"")</f>
        <v>0</v>
      </c>
      <c r="I706" s="9">
        <f>IF(AND($G706&lt;&gt;"",ISNUMBER(SEARCH('Nr rejestracyjny'!$F$5,$G706))),COUNT($I$1:I705)+1,"")</f>
        <v>0</v>
      </c>
    </row>
    <row r="707" spans="6:9">
      <c r="F707" s="7">
        <f>IF('W rejestracji'!$C$714="","",'W rejestracji'!$C$714)</f>
        <v>0</v>
      </c>
      <c r="G707" s="7">
        <f>IF(Zarejestrowane!$C$714="","",Zarejestrowane!$C$714)</f>
        <v>0</v>
      </c>
      <c r="H707" s="9">
        <f>IF(AND($F707&lt;&gt;"",ISNUMBER(SEARCH('Nr rejestracyjny'!$F$5,$F707))),COUNT($H$1:H706)+1,"")</f>
        <v>0</v>
      </c>
      <c r="I707" s="9">
        <f>IF(AND($G707&lt;&gt;"",ISNUMBER(SEARCH('Nr rejestracyjny'!$F$5,$G707))),COUNT($I$1:I706)+1,"")</f>
        <v>0</v>
      </c>
    </row>
    <row r="708" spans="6:9">
      <c r="F708" s="7">
        <f>IF('W rejestracji'!$C$715="","",'W rejestracji'!$C$715)</f>
        <v>0</v>
      </c>
      <c r="G708" s="7">
        <f>IF(Zarejestrowane!$C$715="","",Zarejestrowane!$C$715)</f>
        <v>0</v>
      </c>
      <c r="H708" s="9">
        <f>IF(AND($F708&lt;&gt;"",ISNUMBER(SEARCH('Nr rejestracyjny'!$F$5,$F708))),COUNT($H$1:H707)+1,"")</f>
        <v>0</v>
      </c>
      <c r="I708" s="9">
        <f>IF(AND($G708&lt;&gt;"",ISNUMBER(SEARCH('Nr rejestracyjny'!$F$5,$G708))),COUNT($I$1:I707)+1,"")</f>
        <v>0</v>
      </c>
    </row>
    <row r="709" spans="6:9">
      <c r="F709" s="7">
        <f>IF('W rejestracji'!$C$716="","",'W rejestracji'!$C$716)</f>
        <v>0</v>
      </c>
      <c r="G709" s="7">
        <f>IF(Zarejestrowane!$C$716="","",Zarejestrowane!$C$716)</f>
        <v>0</v>
      </c>
      <c r="H709" s="9">
        <f>IF(AND($F709&lt;&gt;"",ISNUMBER(SEARCH('Nr rejestracyjny'!$F$5,$F709))),COUNT($H$1:H708)+1,"")</f>
        <v>0</v>
      </c>
      <c r="I709" s="9">
        <f>IF(AND($G709&lt;&gt;"",ISNUMBER(SEARCH('Nr rejestracyjny'!$F$5,$G709))),COUNT($I$1:I708)+1,"")</f>
        <v>0</v>
      </c>
    </row>
    <row r="710" spans="6:9">
      <c r="F710" s="7">
        <f>IF('W rejestracji'!$C$717="","",'W rejestracji'!$C$717)</f>
        <v>0</v>
      </c>
      <c r="G710" s="7">
        <f>IF(Zarejestrowane!$C$717="","",Zarejestrowane!$C$717)</f>
        <v>0</v>
      </c>
      <c r="H710" s="9">
        <f>IF(AND($F710&lt;&gt;"",ISNUMBER(SEARCH('Nr rejestracyjny'!$F$5,$F710))),COUNT($H$1:H709)+1,"")</f>
        <v>0</v>
      </c>
      <c r="I710" s="9">
        <f>IF(AND($G710&lt;&gt;"",ISNUMBER(SEARCH('Nr rejestracyjny'!$F$5,$G710))),COUNT($I$1:I709)+1,"")</f>
        <v>0</v>
      </c>
    </row>
    <row r="711" spans="6:9">
      <c r="F711" s="7">
        <f>IF('W rejestracji'!$C$718="","",'W rejestracji'!$C$718)</f>
        <v>0</v>
      </c>
      <c r="G711" s="7">
        <f>IF(Zarejestrowane!$C$718="","",Zarejestrowane!$C$718)</f>
        <v>0</v>
      </c>
      <c r="H711" s="9">
        <f>IF(AND($F711&lt;&gt;"",ISNUMBER(SEARCH('Nr rejestracyjny'!$F$5,$F711))),COUNT($H$1:H710)+1,"")</f>
        <v>0</v>
      </c>
      <c r="I711" s="9">
        <f>IF(AND($G711&lt;&gt;"",ISNUMBER(SEARCH('Nr rejestracyjny'!$F$5,$G711))),COUNT($I$1:I710)+1,"")</f>
        <v>0</v>
      </c>
    </row>
    <row r="712" spans="6:9">
      <c r="F712" s="7">
        <f>IF('W rejestracji'!$C$719="","",'W rejestracji'!$C$719)</f>
        <v>0</v>
      </c>
      <c r="G712" s="7">
        <f>IF(Zarejestrowane!$C$719="","",Zarejestrowane!$C$719)</f>
        <v>0</v>
      </c>
      <c r="H712" s="9">
        <f>IF(AND($F712&lt;&gt;"",ISNUMBER(SEARCH('Nr rejestracyjny'!$F$5,$F712))),COUNT($H$1:H711)+1,"")</f>
        <v>0</v>
      </c>
      <c r="I712" s="9">
        <f>IF(AND($G712&lt;&gt;"",ISNUMBER(SEARCH('Nr rejestracyjny'!$F$5,$G712))),COUNT($I$1:I711)+1,"")</f>
        <v>0</v>
      </c>
    </row>
    <row r="713" spans="6:9">
      <c r="F713" s="7">
        <f>IF('W rejestracji'!$C$720="","",'W rejestracji'!$C$720)</f>
        <v>0</v>
      </c>
      <c r="G713" s="7">
        <f>IF(Zarejestrowane!$C$720="","",Zarejestrowane!$C$720)</f>
        <v>0</v>
      </c>
      <c r="H713" s="9">
        <f>IF(AND($F713&lt;&gt;"",ISNUMBER(SEARCH('Nr rejestracyjny'!$F$5,$F713))),COUNT($H$1:H712)+1,"")</f>
        <v>0</v>
      </c>
      <c r="I713" s="9">
        <f>IF(AND($G713&lt;&gt;"",ISNUMBER(SEARCH('Nr rejestracyjny'!$F$5,$G713))),COUNT($I$1:I712)+1,"")</f>
        <v>0</v>
      </c>
    </row>
    <row r="714" spans="6:9">
      <c r="F714" s="7">
        <f>IF('W rejestracji'!$C$721="","",'W rejestracji'!$C$721)</f>
        <v>0</v>
      </c>
      <c r="G714" s="7">
        <f>IF(Zarejestrowane!$C$721="","",Zarejestrowane!$C$721)</f>
        <v>0</v>
      </c>
      <c r="H714" s="9">
        <f>IF(AND($F714&lt;&gt;"",ISNUMBER(SEARCH('Nr rejestracyjny'!$F$5,$F714))),COUNT($H$1:H713)+1,"")</f>
        <v>0</v>
      </c>
      <c r="I714" s="9">
        <f>IF(AND($G714&lt;&gt;"",ISNUMBER(SEARCH('Nr rejestracyjny'!$F$5,$G714))),COUNT($I$1:I713)+1,"")</f>
        <v>0</v>
      </c>
    </row>
    <row r="715" spans="6:9">
      <c r="F715" s="7">
        <f>IF('W rejestracji'!$C$722="","",'W rejestracji'!$C$722)</f>
        <v>0</v>
      </c>
      <c r="G715" s="7">
        <f>IF(Zarejestrowane!$C$722="","",Zarejestrowane!$C$722)</f>
        <v>0</v>
      </c>
      <c r="H715" s="9">
        <f>IF(AND($F715&lt;&gt;"",ISNUMBER(SEARCH('Nr rejestracyjny'!$F$5,$F715))),COUNT($H$1:H714)+1,"")</f>
        <v>0</v>
      </c>
      <c r="I715" s="9">
        <f>IF(AND($G715&lt;&gt;"",ISNUMBER(SEARCH('Nr rejestracyjny'!$F$5,$G715))),COUNT($I$1:I714)+1,"")</f>
        <v>0</v>
      </c>
    </row>
    <row r="716" spans="6:9">
      <c r="F716" s="7">
        <f>IF('W rejestracji'!$C$723="","",'W rejestracji'!$C$723)</f>
        <v>0</v>
      </c>
      <c r="G716" s="7">
        <f>IF(Zarejestrowane!$C$723="","",Zarejestrowane!$C$723)</f>
        <v>0</v>
      </c>
      <c r="H716" s="9">
        <f>IF(AND($F716&lt;&gt;"",ISNUMBER(SEARCH('Nr rejestracyjny'!$F$5,$F716))),COUNT($H$1:H715)+1,"")</f>
        <v>0</v>
      </c>
      <c r="I716" s="9">
        <f>IF(AND($G716&lt;&gt;"",ISNUMBER(SEARCH('Nr rejestracyjny'!$F$5,$G716))),COUNT($I$1:I715)+1,"")</f>
        <v>0</v>
      </c>
    </row>
    <row r="717" spans="6:9">
      <c r="F717" s="7">
        <f>IF('W rejestracji'!$C$724="","",'W rejestracji'!$C$724)</f>
        <v>0</v>
      </c>
      <c r="G717" s="7">
        <f>IF(Zarejestrowane!$C$724="","",Zarejestrowane!$C$724)</f>
        <v>0</v>
      </c>
      <c r="H717" s="9">
        <f>IF(AND($F717&lt;&gt;"",ISNUMBER(SEARCH('Nr rejestracyjny'!$F$5,$F717))),COUNT($H$1:H716)+1,"")</f>
        <v>0</v>
      </c>
      <c r="I717" s="9">
        <f>IF(AND($G717&lt;&gt;"",ISNUMBER(SEARCH('Nr rejestracyjny'!$F$5,$G717))),COUNT($I$1:I716)+1,"")</f>
        <v>0</v>
      </c>
    </row>
    <row r="718" spans="6:9">
      <c r="F718" s="7">
        <f>IF('W rejestracji'!$C$725="","",'W rejestracji'!$C$725)</f>
        <v>0</v>
      </c>
      <c r="G718" s="7">
        <f>IF(Zarejestrowane!$C$725="","",Zarejestrowane!$C$725)</f>
        <v>0</v>
      </c>
      <c r="H718" s="9">
        <f>IF(AND($F718&lt;&gt;"",ISNUMBER(SEARCH('Nr rejestracyjny'!$F$5,$F718))),COUNT($H$1:H717)+1,"")</f>
        <v>0</v>
      </c>
      <c r="I718" s="9">
        <f>IF(AND($G718&lt;&gt;"",ISNUMBER(SEARCH('Nr rejestracyjny'!$F$5,$G718))),COUNT($I$1:I717)+1,"")</f>
        <v>0</v>
      </c>
    </row>
    <row r="719" spans="6:9">
      <c r="F719" s="7">
        <f>IF('W rejestracji'!$C$726="","",'W rejestracji'!$C$726)</f>
        <v>0</v>
      </c>
      <c r="G719" s="7">
        <f>IF(Zarejestrowane!$C$726="","",Zarejestrowane!$C$726)</f>
        <v>0</v>
      </c>
      <c r="H719" s="9">
        <f>IF(AND($F719&lt;&gt;"",ISNUMBER(SEARCH('Nr rejestracyjny'!$F$5,$F719))),COUNT($H$1:H718)+1,"")</f>
        <v>0</v>
      </c>
      <c r="I719" s="9">
        <f>IF(AND($G719&lt;&gt;"",ISNUMBER(SEARCH('Nr rejestracyjny'!$F$5,$G719))),COUNT($I$1:I718)+1,"")</f>
        <v>0</v>
      </c>
    </row>
    <row r="720" spans="6:9">
      <c r="F720" s="7">
        <f>IF('W rejestracji'!$C$727="","",'W rejestracji'!$C$727)</f>
        <v>0</v>
      </c>
      <c r="G720" s="7">
        <f>IF(Zarejestrowane!$C$727="","",Zarejestrowane!$C$727)</f>
        <v>0</v>
      </c>
      <c r="H720" s="9">
        <f>IF(AND($F720&lt;&gt;"",ISNUMBER(SEARCH('Nr rejestracyjny'!$F$5,$F720))),COUNT($H$1:H719)+1,"")</f>
        <v>0</v>
      </c>
      <c r="I720" s="9">
        <f>IF(AND($G720&lt;&gt;"",ISNUMBER(SEARCH('Nr rejestracyjny'!$F$5,$G720))),COUNT($I$1:I719)+1,"")</f>
        <v>0</v>
      </c>
    </row>
    <row r="721" spans="6:9">
      <c r="F721" s="7">
        <f>IF('W rejestracji'!$C$728="","",'W rejestracji'!$C$728)</f>
        <v>0</v>
      </c>
      <c r="G721" s="7">
        <f>IF(Zarejestrowane!$C$728="","",Zarejestrowane!$C$728)</f>
        <v>0</v>
      </c>
      <c r="H721" s="9">
        <f>IF(AND($F721&lt;&gt;"",ISNUMBER(SEARCH('Nr rejestracyjny'!$F$5,$F721))),COUNT($H$1:H720)+1,"")</f>
        <v>0</v>
      </c>
      <c r="I721" s="9">
        <f>IF(AND($G721&lt;&gt;"",ISNUMBER(SEARCH('Nr rejestracyjny'!$F$5,$G721))),COUNT($I$1:I720)+1,"")</f>
        <v>0</v>
      </c>
    </row>
    <row r="722" spans="6:9">
      <c r="F722" s="7">
        <f>IF('W rejestracji'!$C$729="","",'W rejestracji'!$C$729)</f>
        <v>0</v>
      </c>
      <c r="G722" s="7">
        <f>IF(Zarejestrowane!$C$729="","",Zarejestrowane!$C$729)</f>
        <v>0</v>
      </c>
      <c r="H722" s="9">
        <f>IF(AND($F722&lt;&gt;"",ISNUMBER(SEARCH('Nr rejestracyjny'!$F$5,$F722))),COUNT($H$1:H721)+1,"")</f>
        <v>0</v>
      </c>
      <c r="I722" s="9">
        <f>IF(AND($G722&lt;&gt;"",ISNUMBER(SEARCH('Nr rejestracyjny'!$F$5,$G722))),COUNT($I$1:I721)+1,"")</f>
        <v>0</v>
      </c>
    </row>
    <row r="723" spans="6:9">
      <c r="F723" s="7">
        <f>IF('W rejestracji'!$C$730="","",'W rejestracji'!$C$730)</f>
        <v>0</v>
      </c>
      <c r="G723" s="7">
        <f>IF(Zarejestrowane!$C$730="","",Zarejestrowane!$C$730)</f>
        <v>0</v>
      </c>
      <c r="H723" s="9">
        <f>IF(AND($F723&lt;&gt;"",ISNUMBER(SEARCH('Nr rejestracyjny'!$F$5,$F723))),COUNT($H$1:H722)+1,"")</f>
        <v>0</v>
      </c>
      <c r="I723" s="9">
        <f>IF(AND($G723&lt;&gt;"",ISNUMBER(SEARCH('Nr rejestracyjny'!$F$5,$G723))),COUNT($I$1:I722)+1,"")</f>
        <v>0</v>
      </c>
    </row>
    <row r="724" spans="6:9">
      <c r="F724" s="7">
        <f>IF('W rejestracji'!$C$731="","",'W rejestracji'!$C$731)</f>
        <v>0</v>
      </c>
      <c r="G724" s="7">
        <f>IF(Zarejestrowane!$C$731="","",Zarejestrowane!$C$731)</f>
        <v>0</v>
      </c>
      <c r="H724" s="9">
        <f>IF(AND($F724&lt;&gt;"",ISNUMBER(SEARCH('Nr rejestracyjny'!$F$5,$F724))),COUNT($H$1:H723)+1,"")</f>
        <v>0</v>
      </c>
      <c r="I724" s="9">
        <f>IF(AND($G724&lt;&gt;"",ISNUMBER(SEARCH('Nr rejestracyjny'!$F$5,$G724))),COUNT($I$1:I723)+1,"")</f>
        <v>0</v>
      </c>
    </row>
    <row r="725" spans="6:9">
      <c r="F725" s="7">
        <f>IF('W rejestracji'!$C$732="","",'W rejestracji'!$C$732)</f>
        <v>0</v>
      </c>
      <c r="G725" s="7">
        <f>IF(Zarejestrowane!$C$732="","",Zarejestrowane!$C$732)</f>
        <v>0</v>
      </c>
      <c r="H725" s="9">
        <f>IF(AND($F725&lt;&gt;"",ISNUMBER(SEARCH('Nr rejestracyjny'!$F$5,$F725))),COUNT($H$1:H724)+1,"")</f>
        <v>0</v>
      </c>
      <c r="I725" s="9">
        <f>IF(AND($G725&lt;&gt;"",ISNUMBER(SEARCH('Nr rejestracyjny'!$F$5,$G725))),COUNT($I$1:I724)+1,"")</f>
        <v>0</v>
      </c>
    </row>
    <row r="726" spans="6:9">
      <c r="F726" s="7">
        <f>IF('W rejestracji'!$C$733="","",'W rejestracji'!$C$733)</f>
        <v>0</v>
      </c>
      <c r="G726" s="7">
        <f>IF(Zarejestrowane!$C$733="","",Zarejestrowane!$C$733)</f>
        <v>0</v>
      </c>
      <c r="H726" s="9">
        <f>IF(AND($F726&lt;&gt;"",ISNUMBER(SEARCH('Nr rejestracyjny'!$F$5,$F726))),COUNT($H$1:H725)+1,"")</f>
        <v>0</v>
      </c>
      <c r="I726" s="9">
        <f>IF(AND($G726&lt;&gt;"",ISNUMBER(SEARCH('Nr rejestracyjny'!$F$5,$G726))),COUNT($I$1:I725)+1,"")</f>
        <v>0</v>
      </c>
    </row>
    <row r="727" spans="6:9">
      <c r="F727" s="7">
        <f>IF('W rejestracji'!$C$734="","",'W rejestracji'!$C$734)</f>
        <v>0</v>
      </c>
      <c r="G727" s="7">
        <f>IF(Zarejestrowane!$C$734="","",Zarejestrowane!$C$734)</f>
        <v>0</v>
      </c>
      <c r="H727" s="9">
        <f>IF(AND($F727&lt;&gt;"",ISNUMBER(SEARCH('Nr rejestracyjny'!$F$5,$F727))),COUNT($H$1:H726)+1,"")</f>
        <v>0</v>
      </c>
      <c r="I727" s="9">
        <f>IF(AND($G727&lt;&gt;"",ISNUMBER(SEARCH('Nr rejestracyjny'!$F$5,$G727))),COUNT($I$1:I726)+1,"")</f>
        <v>0</v>
      </c>
    </row>
    <row r="728" spans="6:9">
      <c r="F728" s="7">
        <f>IF('W rejestracji'!$C$735="","",'W rejestracji'!$C$735)</f>
        <v>0</v>
      </c>
      <c r="G728" s="7">
        <f>IF(Zarejestrowane!$C$735="","",Zarejestrowane!$C$735)</f>
        <v>0</v>
      </c>
      <c r="H728" s="9">
        <f>IF(AND($F728&lt;&gt;"",ISNUMBER(SEARCH('Nr rejestracyjny'!$F$5,$F728))),COUNT($H$1:H727)+1,"")</f>
        <v>0</v>
      </c>
      <c r="I728" s="9">
        <f>IF(AND($G728&lt;&gt;"",ISNUMBER(SEARCH('Nr rejestracyjny'!$F$5,$G728))),COUNT($I$1:I727)+1,"")</f>
        <v>0</v>
      </c>
    </row>
    <row r="729" spans="6:9">
      <c r="F729" s="7">
        <f>IF('W rejestracji'!$C$736="","",'W rejestracji'!$C$736)</f>
        <v>0</v>
      </c>
      <c r="G729" s="7">
        <f>IF(Zarejestrowane!$C$736="","",Zarejestrowane!$C$736)</f>
        <v>0</v>
      </c>
      <c r="H729" s="9">
        <f>IF(AND($F729&lt;&gt;"",ISNUMBER(SEARCH('Nr rejestracyjny'!$F$5,$F729))),COUNT($H$1:H728)+1,"")</f>
        <v>0</v>
      </c>
      <c r="I729" s="9">
        <f>IF(AND($G729&lt;&gt;"",ISNUMBER(SEARCH('Nr rejestracyjny'!$F$5,$G729))),COUNT($I$1:I728)+1,"")</f>
        <v>0</v>
      </c>
    </row>
    <row r="730" spans="6:9">
      <c r="F730" s="7">
        <f>IF('W rejestracji'!$C$737="","",'W rejestracji'!$C$737)</f>
        <v>0</v>
      </c>
      <c r="G730" s="7">
        <f>IF(Zarejestrowane!$C$737="","",Zarejestrowane!$C$737)</f>
        <v>0</v>
      </c>
      <c r="H730" s="9">
        <f>IF(AND($F730&lt;&gt;"",ISNUMBER(SEARCH('Nr rejestracyjny'!$F$5,$F730))),COUNT($H$1:H729)+1,"")</f>
        <v>0</v>
      </c>
      <c r="I730" s="9">
        <f>IF(AND($G730&lt;&gt;"",ISNUMBER(SEARCH('Nr rejestracyjny'!$F$5,$G730))),COUNT($I$1:I729)+1,"")</f>
        <v>0</v>
      </c>
    </row>
    <row r="731" spans="6:9">
      <c r="F731" s="7">
        <f>IF('W rejestracji'!$C$738="","",'W rejestracji'!$C$738)</f>
        <v>0</v>
      </c>
      <c r="G731" s="7">
        <f>IF(Zarejestrowane!$C$738="","",Zarejestrowane!$C$738)</f>
        <v>0</v>
      </c>
      <c r="H731" s="9">
        <f>IF(AND($F731&lt;&gt;"",ISNUMBER(SEARCH('Nr rejestracyjny'!$F$5,$F731))),COUNT($H$1:H730)+1,"")</f>
        <v>0</v>
      </c>
      <c r="I731" s="9">
        <f>IF(AND($G731&lt;&gt;"",ISNUMBER(SEARCH('Nr rejestracyjny'!$F$5,$G731))),COUNT($I$1:I730)+1,"")</f>
        <v>0</v>
      </c>
    </row>
    <row r="732" spans="6:9">
      <c r="F732" s="7">
        <f>IF('W rejestracji'!$C$739="","",'W rejestracji'!$C$739)</f>
        <v>0</v>
      </c>
      <c r="G732" s="7">
        <f>IF(Zarejestrowane!$C$739="","",Zarejestrowane!$C$739)</f>
        <v>0</v>
      </c>
      <c r="H732" s="9">
        <f>IF(AND($F732&lt;&gt;"",ISNUMBER(SEARCH('Nr rejestracyjny'!$F$5,$F732))),COUNT($H$1:H731)+1,"")</f>
        <v>0</v>
      </c>
      <c r="I732" s="9">
        <f>IF(AND($G732&lt;&gt;"",ISNUMBER(SEARCH('Nr rejestracyjny'!$F$5,$G732))),COUNT($I$1:I731)+1,"")</f>
        <v>0</v>
      </c>
    </row>
    <row r="733" spans="6:9">
      <c r="F733" s="7">
        <f>IF('W rejestracji'!$C$740="","",'W rejestracji'!$C$740)</f>
        <v>0</v>
      </c>
      <c r="G733" s="7">
        <f>IF(Zarejestrowane!$C$740="","",Zarejestrowane!$C$740)</f>
        <v>0</v>
      </c>
      <c r="H733" s="9">
        <f>IF(AND($F733&lt;&gt;"",ISNUMBER(SEARCH('Nr rejestracyjny'!$F$5,$F733))),COUNT($H$1:H732)+1,"")</f>
        <v>0</v>
      </c>
      <c r="I733" s="9">
        <f>IF(AND($G733&lt;&gt;"",ISNUMBER(SEARCH('Nr rejestracyjny'!$F$5,$G733))),COUNT($I$1:I732)+1,"")</f>
        <v>0</v>
      </c>
    </row>
    <row r="734" spans="6:9">
      <c r="F734" s="7">
        <f>IF('W rejestracji'!$C$741="","",'W rejestracji'!$C$741)</f>
        <v>0</v>
      </c>
      <c r="G734" s="7">
        <f>IF(Zarejestrowane!$C$741="","",Zarejestrowane!$C$741)</f>
        <v>0</v>
      </c>
      <c r="H734" s="9">
        <f>IF(AND($F734&lt;&gt;"",ISNUMBER(SEARCH('Nr rejestracyjny'!$F$5,$F734))),COUNT($H$1:H733)+1,"")</f>
        <v>0</v>
      </c>
      <c r="I734" s="9">
        <f>IF(AND($G734&lt;&gt;"",ISNUMBER(SEARCH('Nr rejestracyjny'!$F$5,$G734))),COUNT($I$1:I733)+1,"")</f>
        <v>0</v>
      </c>
    </row>
    <row r="735" spans="6:9">
      <c r="F735" s="7">
        <f>IF('W rejestracji'!$C$742="","",'W rejestracji'!$C$742)</f>
        <v>0</v>
      </c>
      <c r="G735" s="7">
        <f>IF(Zarejestrowane!$C$742="","",Zarejestrowane!$C$742)</f>
        <v>0</v>
      </c>
      <c r="H735" s="9">
        <f>IF(AND($F735&lt;&gt;"",ISNUMBER(SEARCH('Nr rejestracyjny'!$F$5,$F735))),COUNT($H$1:H734)+1,"")</f>
        <v>0</v>
      </c>
      <c r="I735" s="9">
        <f>IF(AND($G735&lt;&gt;"",ISNUMBER(SEARCH('Nr rejestracyjny'!$F$5,$G735))),COUNT($I$1:I734)+1,"")</f>
        <v>0</v>
      </c>
    </row>
    <row r="736" spans="6:9">
      <c r="F736" s="7">
        <f>IF('W rejestracji'!$C$743="","",'W rejestracji'!$C$743)</f>
        <v>0</v>
      </c>
      <c r="G736" s="7">
        <f>IF(Zarejestrowane!$C$743="","",Zarejestrowane!$C$743)</f>
        <v>0</v>
      </c>
      <c r="H736" s="9">
        <f>IF(AND($F736&lt;&gt;"",ISNUMBER(SEARCH('Nr rejestracyjny'!$F$5,$F736))),COUNT($H$1:H735)+1,"")</f>
        <v>0</v>
      </c>
      <c r="I736" s="9">
        <f>IF(AND($G736&lt;&gt;"",ISNUMBER(SEARCH('Nr rejestracyjny'!$F$5,$G736))),COUNT($I$1:I735)+1,"")</f>
        <v>0</v>
      </c>
    </row>
    <row r="737" spans="6:9">
      <c r="F737" s="7">
        <f>IF('W rejestracji'!$C$744="","",'W rejestracji'!$C$744)</f>
        <v>0</v>
      </c>
      <c r="G737" s="7">
        <f>IF(Zarejestrowane!$C$744="","",Zarejestrowane!$C$744)</f>
        <v>0</v>
      </c>
      <c r="H737" s="9">
        <f>IF(AND($F737&lt;&gt;"",ISNUMBER(SEARCH('Nr rejestracyjny'!$F$5,$F737))),COUNT($H$1:H736)+1,"")</f>
        <v>0</v>
      </c>
      <c r="I737" s="9">
        <f>IF(AND($G737&lt;&gt;"",ISNUMBER(SEARCH('Nr rejestracyjny'!$F$5,$G737))),COUNT($I$1:I736)+1,"")</f>
        <v>0</v>
      </c>
    </row>
    <row r="738" spans="6:9">
      <c r="F738" s="7">
        <f>IF('W rejestracji'!$C$745="","",'W rejestracji'!$C$745)</f>
        <v>0</v>
      </c>
      <c r="G738" s="7">
        <f>IF(Zarejestrowane!$C$745="","",Zarejestrowane!$C$745)</f>
        <v>0</v>
      </c>
      <c r="H738" s="9">
        <f>IF(AND($F738&lt;&gt;"",ISNUMBER(SEARCH('Nr rejestracyjny'!$F$5,$F738))),COUNT($H$1:H737)+1,"")</f>
        <v>0</v>
      </c>
      <c r="I738" s="9">
        <f>IF(AND($G738&lt;&gt;"",ISNUMBER(SEARCH('Nr rejestracyjny'!$F$5,$G738))),COUNT($I$1:I737)+1,"")</f>
        <v>0</v>
      </c>
    </row>
    <row r="739" spans="6:9">
      <c r="F739" s="7">
        <f>IF('W rejestracji'!$C$746="","",'W rejestracji'!$C$746)</f>
        <v>0</v>
      </c>
      <c r="G739" s="7">
        <f>IF(Zarejestrowane!$C$746="","",Zarejestrowane!$C$746)</f>
        <v>0</v>
      </c>
      <c r="H739" s="9">
        <f>IF(AND($F739&lt;&gt;"",ISNUMBER(SEARCH('Nr rejestracyjny'!$F$5,$F739))),COUNT($H$1:H738)+1,"")</f>
        <v>0</v>
      </c>
      <c r="I739" s="9">
        <f>IF(AND($G739&lt;&gt;"",ISNUMBER(SEARCH('Nr rejestracyjny'!$F$5,$G739))),COUNT($I$1:I738)+1,"")</f>
        <v>0</v>
      </c>
    </row>
    <row r="740" spans="6:9">
      <c r="F740" s="7">
        <f>IF('W rejestracji'!$C$747="","",'W rejestracji'!$C$747)</f>
        <v>0</v>
      </c>
      <c r="G740" s="7">
        <f>IF(Zarejestrowane!$C$747="","",Zarejestrowane!$C$747)</f>
        <v>0</v>
      </c>
      <c r="H740" s="9">
        <f>IF(AND($F740&lt;&gt;"",ISNUMBER(SEARCH('Nr rejestracyjny'!$F$5,$F740))),COUNT($H$1:H739)+1,"")</f>
        <v>0</v>
      </c>
      <c r="I740" s="9">
        <f>IF(AND($G740&lt;&gt;"",ISNUMBER(SEARCH('Nr rejestracyjny'!$F$5,$G740))),COUNT($I$1:I739)+1,"")</f>
        <v>0</v>
      </c>
    </row>
    <row r="741" spans="6:9">
      <c r="F741" s="7">
        <f>IF('W rejestracji'!$C$748="","",'W rejestracji'!$C$748)</f>
        <v>0</v>
      </c>
      <c r="G741" s="7">
        <f>IF(Zarejestrowane!$C$748="","",Zarejestrowane!$C$748)</f>
        <v>0</v>
      </c>
      <c r="H741" s="9">
        <f>IF(AND($F741&lt;&gt;"",ISNUMBER(SEARCH('Nr rejestracyjny'!$F$5,$F741))),COUNT($H$1:H740)+1,"")</f>
        <v>0</v>
      </c>
      <c r="I741" s="9">
        <f>IF(AND($G741&lt;&gt;"",ISNUMBER(SEARCH('Nr rejestracyjny'!$F$5,$G741))),COUNT($I$1:I740)+1,"")</f>
        <v>0</v>
      </c>
    </row>
    <row r="742" spans="6:9">
      <c r="F742" s="7">
        <f>IF('W rejestracji'!$C$749="","",'W rejestracji'!$C$749)</f>
        <v>0</v>
      </c>
      <c r="G742" s="7">
        <f>IF(Zarejestrowane!$C$749="","",Zarejestrowane!$C$749)</f>
        <v>0</v>
      </c>
      <c r="H742" s="9">
        <f>IF(AND($F742&lt;&gt;"",ISNUMBER(SEARCH('Nr rejestracyjny'!$F$5,$F742))),COUNT($H$1:H741)+1,"")</f>
        <v>0</v>
      </c>
      <c r="I742" s="9">
        <f>IF(AND($G742&lt;&gt;"",ISNUMBER(SEARCH('Nr rejestracyjny'!$F$5,$G742))),COUNT($I$1:I741)+1,"")</f>
        <v>0</v>
      </c>
    </row>
    <row r="743" spans="6:9">
      <c r="F743" s="7">
        <f>IF('W rejestracji'!$C$750="","",'W rejestracji'!$C$750)</f>
        <v>0</v>
      </c>
      <c r="G743" s="7">
        <f>IF(Zarejestrowane!$C$750="","",Zarejestrowane!$C$750)</f>
        <v>0</v>
      </c>
      <c r="H743" s="9">
        <f>IF(AND($F743&lt;&gt;"",ISNUMBER(SEARCH('Nr rejestracyjny'!$F$5,$F743))),COUNT($H$1:H742)+1,"")</f>
        <v>0</v>
      </c>
      <c r="I743" s="9">
        <f>IF(AND($G743&lt;&gt;"",ISNUMBER(SEARCH('Nr rejestracyjny'!$F$5,$G743))),COUNT($I$1:I742)+1,"")</f>
        <v>0</v>
      </c>
    </row>
    <row r="744" spans="6:9">
      <c r="F744" s="7">
        <f>IF('W rejestracji'!$C$751="","",'W rejestracji'!$C$751)</f>
        <v>0</v>
      </c>
      <c r="G744" s="7">
        <f>IF(Zarejestrowane!$C$751="","",Zarejestrowane!$C$751)</f>
        <v>0</v>
      </c>
      <c r="H744" s="9">
        <f>IF(AND($F744&lt;&gt;"",ISNUMBER(SEARCH('Nr rejestracyjny'!$F$5,$F744))),COUNT($H$1:H743)+1,"")</f>
        <v>0</v>
      </c>
      <c r="I744" s="9">
        <f>IF(AND($G744&lt;&gt;"",ISNUMBER(SEARCH('Nr rejestracyjny'!$F$5,$G744))),COUNT($I$1:I743)+1,"")</f>
        <v>0</v>
      </c>
    </row>
    <row r="745" spans="6:9">
      <c r="F745" s="7">
        <f>IF('W rejestracji'!$C$752="","",'W rejestracji'!$C$752)</f>
        <v>0</v>
      </c>
      <c r="G745" s="7">
        <f>IF(Zarejestrowane!$C$752="","",Zarejestrowane!$C$752)</f>
        <v>0</v>
      </c>
      <c r="H745" s="9">
        <f>IF(AND($F745&lt;&gt;"",ISNUMBER(SEARCH('Nr rejestracyjny'!$F$5,$F745))),COUNT($H$1:H744)+1,"")</f>
        <v>0</v>
      </c>
      <c r="I745" s="9">
        <f>IF(AND($G745&lt;&gt;"",ISNUMBER(SEARCH('Nr rejestracyjny'!$F$5,$G745))),COUNT($I$1:I744)+1,"")</f>
        <v>0</v>
      </c>
    </row>
    <row r="746" spans="6:9">
      <c r="F746" s="7">
        <f>IF('W rejestracji'!$C$753="","",'W rejestracji'!$C$753)</f>
        <v>0</v>
      </c>
      <c r="G746" s="7">
        <f>IF(Zarejestrowane!$C$753="","",Zarejestrowane!$C$753)</f>
        <v>0</v>
      </c>
      <c r="H746" s="9">
        <f>IF(AND($F746&lt;&gt;"",ISNUMBER(SEARCH('Nr rejestracyjny'!$F$5,$F746))),COUNT($H$1:H745)+1,"")</f>
        <v>0</v>
      </c>
      <c r="I746" s="9">
        <f>IF(AND($G746&lt;&gt;"",ISNUMBER(SEARCH('Nr rejestracyjny'!$F$5,$G746))),COUNT($I$1:I745)+1,"")</f>
        <v>0</v>
      </c>
    </row>
    <row r="747" spans="6:9">
      <c r="F747" s="7">
        <f>IF('W rejestracji'!$C$754="","",'W rejestracji'!$C$754)</f>
        <v>0</v>
      </c>
      <c r="G747" s="7">
        <f>IF(Zarejestrowane!$C$754="","",Zarejestrowane!$C$754)</f>
        <v>0</v>
      </c>
      <c r="H747" s="9">
        <f>IF(AND($F747&lt;&gt;"",ISNUMBER(SEARCH('Nr rejestracyjny'!$F$5,$F747))),COUNT($H$1:H746)+1,"")</f>
        <v>0</v>
      </c>
      <c r="I747" s="9">
        <f>IF(AND($G747&lt;&gt;"",ISNUMBER(SEARCH('Nr rejestracyjny'!$F$5,$G747))),COUNT($I$1:I746)+1,"")</f>
        <v>0</v>
      </c>
    </row>
    <row r="748" spans="6:9">
      <c r="F748" s="7">
        <f>IF('W rejestracji'!$C$755="","",'W rejestracji'!$C$755)</f>
        <v>0</v>
      </c>
      <c r="G748" s="7">
        <f>IF(Zarejestrowane!$C$755="","",Zarejestrowane!$C$755)</f>
        <v>0</v>
      </c>
      <c r="H748" s="9">
        <f>IF(AND($F748&lt;&gt;"",ISNUMBER(SEARCH('Nr rejestracyjny'!$F$5,$F748))),COUNT($H$1:H747)+1,"")</f>
        <v>0</v>
      </c>
      <c r="I748" s="9">
        <f>IF(AND($G748&lt;&gt;"",ISNUMBER(SEARCH('Nr rejestracyjny'!$F$5,$G748))),COUNT($I$1:I747)+1,"")</f>
        <v>0</v>
      </c>
    </row>
    <row r="749" spans="6:9">
      <c r="F749" s="7">
        <f>IF('W rejestracji'!$C$756="","",'W rejestracji'!$C$756)</f>
        <v>0</v>
      </c>
      <c r="G749" s="7">
        <f>IF(Zarejestrowane!$C$756="","",Zarejestrowane!$C$756)</f>
        <v>0</v>
      </c>
      <c r="H749" s="9">
        <f>IF(AND($F749&lt;&gt;"",ISNUMBER(SEARCH('Nr rejestracyjny'!$F$5,$F749))),COUNT($H$1:H748)+1,"")</f>
        <v>0</v>
      </c>
      <c r="I749" s="9">
        <f>IF(AND($G749&lt;&gt;"",ISNUMBER(SEARCH('Nr rejestracyjny'!$F$5,$G749))),COUNT($I$1:I748)+1,"")</f>
        <v>0</v>
      </c>
    </row>
    <row r="750" spans="6:9">
      <c r="F750" s="7">
        <f>IF('W rejestracji'!$C$757="","",'W rejestracji'!$C$757)</f>
        <v>0</v>
      </c>
      <c r="G750" s="7">
        <f>IF(Zarejestrowane!$C$757="","",Zarejestrowane!$C$757)</f>
        <v>0</v>
      </c>
      <c r="H750" s="9">
        <f>IF(AND($F750&lt;&gt;"",ISNUMBER(SEARCH('Nr rejestracyjny'!$F$5,$F750))),COUNT($H$1:H749)+1,"")</f>
        <v>0</v>
      </c>
      <c r="I750" s="9">
        <f>IF(AND($G750&lt;&gt;"",ISNUMBER(SEARCH('Nr rejestracyjny'!$F$5,$G750))),COUNT($I$1:I749)+1,"")</f>
        <v>0</v>
      </c>
    </row>
    <row r="751" spans="6:9">
      <c r="F751" s="7">
        <f>IF('W rejestracji'!$C$758="","",'W rejestracji'!$C$758)</f>
        <v>0</v>
      </c>
      <c r="G751" s="7">
        <f>IF(Zarejestrowane!$C$758="","",Zarejestrowane!$C$758)</f>
        <v>0</v>
      </c>
      <c r="H751" s="9">
        <f>IF(AND($F751&lt;&gt;"",ISNUMBER(SEARCH('Nr rejestracyjny'!$F$5,$F751))),COUNT($H$1:H750)+1,"")</f>
        <v>0</v>
      </c>
      <c r="I751" s="9">
        <f>IF(AND($G751&lt;&gt;"",ISNUMBER(SEARCH('Nr rejestracyjny'!$F$5,$G751))),COUNT($I$1:I750)+1,"")</f>
        <v>0</v>
      </c>
    </row>
    <row r="752" spans="6:9">
      <c r="F752" s="7">
        <f>IF('W rejestracji'!$C$759="","",'W rejestracji'!$C$759)</f>
        <v>0</v>
      </c>
      <c r="G752" s="7">
        <f>IF(Zarejestrowane!$C$759="","",Zarejestrowane!$C$759)</f>
        <v>0</v>
      </c>
      <c r="H752" s="9">
        <f>IF(AND($F752&lt;&gt;"",ISNUMBER(SEARCH('Nr rejestracyjny'!$F$5,$F752))),COUNT($H$1:H751)+1,"")</f>
        <v>0</v>
      </c>
      <c r="I752" s="9">
        <f>IF(AND($G752&lt;&gt;"",ISNUMBER(SEARCH('Nr rejestracyjny'!$F$5,$G752))),COUNT($I$1:I751)+1,"")</f>
        <v>0</v>
      </c>
    </row>
    <row r="753" spans="6:9">
      <c r="F753" s="7">
        <f>IF('W rejestracji'!$C$760="","",'W rejestracji'!$C$760)</f>
        <v>0</v>
      </c>
      <c r="G753" s="7">
        <f>IF(Zarejestrowane!$C$760="","",Zarejestrowane!$C$760)</f>
        <v>0</v>
      </c>
      <c r="H753" s="9">
        <f>IF(AND($F753&lt;&gt;"",ISNUMBER(SEARCH('Nr rejestracyjny'!$F$5,$F753))),COUNT($H$1:H752)+1,"")</f>
        <v>0</v>
      </c>
      <c r="I753" s="9">
        <f>IF(AND($G753&lt;&gt;"",ISNUMBER(SEARCH('Nr rejestracyjny'!$F$5,$G753))),COUNT($I$1:I752)+1,"")</f>
        <v>0</v>
      </c>
    </row>
    <row r="754" spans="6:9">
      <c r="F754" s="7">
        <f>IF('W rejestracji'!$C$761="","",'W rejestracji'!$C$761)</f>
        <v>0</v>
      </c>
      <c r="G754" s="7">
        <f>IF(Zarejestrowane!$C$761="","",Zarejestrowane!$C$761)</f>
        <v>0</v>
      </c>
      <c r="H754" s="9">
        <f>IF(AND($F754&lt;&gt;"",ISNUMBER(SEARCH('Nr rejestracyjny'!$F$5,$F754))),COUNT($H$1:H753)+1,"")</f>
        <v>0</v>
      </c>
      <c r="I754" s="9">
        <f>IF(AND($G754&lt;&gt;"",ISNUMBER(SEARCH('Nr rejestracyjny'!$F$5,$G754))),COUNT($I$1:I753)+1,"")</f>
        <v>0</v>
      </c>
    </row>
    <row r="755" spans="6:9">
      <c r="F755" s="7">
        <f>IF('W rejestracji'!$C$762="","",'W rejestracji'!$C$762)</f>
        <v>0</v>
      </c>
      <c r="G755" s="7">
        <f>IF(Zarejestrowane!$C$762="","",Zarejestrowane!$C$762)</f>
        <v>0</v>
      </c>
      <c r="H755" s="9">
        <f>IF(AND($F755&lt;&gt;"",ISNUMBER(SEARCH('Nr rejestracyjny'!$F$5,$F755))),COUNT($H$1:H754)+1,"")</f>
        <v>0</v>
      </c>
      <c r="I755" s="9">
        <f>IF(AND($G755&lt;&gt;"",ISNUMBER(SEARCH('Nr rejestracyjny'!$F$5,$G755))),COUNT($I$1:I754)+1,"")</f>
        <v>0</v>
      </c>
    </row>
    <row r="756" spans="6:9">
      <c r="F756" s="7">
        <f>IF('W rejestracji'!$C$763="","",'W rejestracji'!$C$763)</f>
        <v>0</v>
      </c>
      <c r="G756" s="7">
        <f>IF(Zarejestrowane!$C$763="","",Zarejestrowane!$C$763)</f>
        <v>0</v>
      </c>
      <c r="H756" s="9">
        <f>IF(AND($F756&lt;&gt;"",ISNUMBER(SEARCH('Nr rejestracyjny'!$F$5,$F756))),COUNT($H$1:H755)+1,"")</f>
        <v>0</v>
      </c>
      <c r="I756" s="9">
        <f>IF(AND($G756&lt;&gt;"",ISNUMBER(SEARCH('Nr rejestracyjny'!$F$5,$G756))),COUNT($I$1:I755)+1,"")</f>
        <v>0</v>
      </c>
    </row>
    <row r="757" spans="6:9">
      <c r="F757" s="7">
        <f>IF('W rejestracji'!$C$764="","",'W rejestracji'!$C$764)</f>
        <v>0</v>
      </c>
      <c r="G757" s="7">
        <f>IF(Zarejestrowane!$C$764="","",Zarejestrowane!$C$764)</f>
        <v>0</v>
      </c>
      <c r="H757" s="9">
        <f>IF(AND($F757&lt;&gt;"",ISNUMBER(SEARCH('Nr rejestracyjny'!$F$5,$F757))),COUNT($H$1:H756)+1,"")</f>
        <v>0</v>
      </c>
      <c r="I757" s="9">
        <f>IF(AND($G757&lt;&gt;"",ISNUMBER(SEARCH('Nr rejestracyjny'!$F$5,$G757))),COUNT($I$1:I756)+1,"")</f>
        <v>0</v>
      </c>
    </row>
    <row r="758" spans="6:9">
      <c r="F758" s="7">
        <f>IF('W rejestracji'!$C$765="","",'W rejestracji'!$C$765)</f>
        <v>0</v>
      </c>
      <c r="G758" s="7">
        <f>IF(Zarejestrowane!$C$765="","",Zarejestrowane!$C$765)</f>
        <v>0</v>
      </c>
      <c r="H758" s="9">
        <f>IF(AND($F758&lt;&gt;"",ISNUMBER(SEARCH('Nr rejestracyjny'!$F$5,$F758))),COUNT($H$1:H757)+1,"")</f>
        <v>0</v>
      </c>
      <c r="I758" s="9">
        <f>IF(AND($G758&lt;&gt;"",ISNUMBER(SEARCH('Nr rejestracyjny'!$F$5,$G758))),COUNT($I$1:I757)+1,"")</f>
        <v>0</v>
      </c>
    </row>
    <row r="759" spans="6:9">
      <c r="F759" s="7">
        <f>IF('W rejestracji'!$C$766="","",'W rejestracji'!$C$766)</f>
        <v>0</v>
      </c>
      <c r="G759" s="7">
        <f>IF(Zarejestrowane!$C$766="","",Zarejestrowane!$C$766)</f>
        <v>0</v>
      </c>
      <c r="H759" s="9">
        <f>IF(AND($F759&lt;&gt;"",ISNUMBER(SEARCH('Nr rejestracyjny'!$F$5,$F759))),COUNT($H$1:H758)+1,"")</f>
        <v>0</v>
      </c>
      <c r="I759" s="9">
        <f>IF(AND($G759&lt;&gt;"",ISNUMBER(SEARCH('Nr rejestracyjny'!$F$5,$G759))),COUNT($I$1:I758)+1,"")</f>
        <v>0</v>
      </c>
    </row>
    <row r="760" spans="6:9">
      <c r="F760" s="7">
        <f>IF('W rejestracji'!$C$767="","",'W rejestracji'!$C$767)</f>
        <v>0</v>
      </c>
      <c r="G760" s="7">
        <f>IF(Zarejestrowane!$C$767="","",Zarejestrowane!$C$767)</f>
        <v>0</v>
      </c>
      <c r="H760" s="9">
        <f>IF(AND($F760&lt;&gt;"",ISNUMBER(SEARCH('Nr rejestracyjny'!$F$5,$F760))),COUNT($H$1:H759)+1,"")</f>
        <v>0</v>
      </c>
      <c r="I760" s="9">
        <f>IF(AND($G760&lt;&gt;"",ISNUMBER(SEARCH('Nr rejestracyjny'!$F$5,$G760))),COUNT($I$1:I759)+1,"")</f>
        <v>0</v>
      </c>
    </row>
    <row r="761" spans="6:9">
      <c r="F761" s="7">
        <f>IF('W rejestracji'!$C$768="","",'W rejestracji'!$C$768)</f>
        <v>0</v>
      </c>
      <c r="G761" s="7">
        <f>IF(Zarejestrowane!$C$768="","",Zarejestrowane!$C$768)</f>
        <v>0</v>
      </c>
      <c r="H761" s="9">
        <f>IF(AND($F761&lt;&gt;"",ISNUMBER(SEARCH('Nr rejestracyjny'!$F$5,$F761))),COUNT($H$1:H760)+1,"")</f>
        <v>0</v>
      </c>
      <c r="I761" s="9">
        <f>IF(AND($G761&lt;&gt;"",ISNUMBER(SEARCH('Nr rejestracyjny'!$F$5,$G761))),COUNT($I$1:I760)+1,"")</f>
        <v>0</v>
      </c>
    </row>
    <row r="762" spans="6:9">
      <c r="F762" s="7">
        <f>IF('W rejestracji'!$C$769="","",'W rejestracji'!$C$769)</f>
        <v>0</v>
      </c>
      <c r="G762" s="7">
        <f>IF(Zarejestrowane!$C$769="","",Zarejestrowane!$C$769)</f>
        <v>0</v>
      </c>
      <c r="H762" s="9">
        <f>IF(AND($F762&lt;&gt;"",ISNUMBER(SEARCH('Nr rejestracyjny'!$F$5,$F762))),COUNT($H$1:H761)+1,"")</f>
        <v>0</v>
      </c>
      <c r="I762" s="9">
        <f>IF(AND($G762&lt;&gt;"",ISNUMBER(SEARCH('Nr rejestracyjny'!$F$5,$G762))),COUNT($I$1:I761)+1,"")</f>
        <v>0</v>
      </c>
    </row>
    <row r="763" spans="6:9">
      <c r="F763" s="7">
        <f>IF('W rejestracji'!$C$770="","",'W rejestracji'!$C$770)</f>
        <v>0</v>
      </c>
      <c r="G763" s="7">
        <f>IF(Zarejestrowane!$C$770="","",Zarejestrowane!$C$770)</f>
        <v>0</v>
      </c>
      <c r="H763" s="9">
        <f>IF(AND($F763&lt;&gt;"",ISNUMBER(SEARCH('Nr rejestracyjny'!$F$5,$F763))),COUNT($H$1:H762)+1,"")</f>
        <v>0</v>
      </c>
      <c r="I763" s="9">
        <f>IF(AND($G763&lt;&gt;"",ISNUMBER(SEARCH('Nr rejestracyjny'!$F$5,$G763))),COUNT($I$1:I762)+1,"")</f>
        <v>0</v>
      </c>
    </row>
    <row r="764" spans="6:9">
      <c r="F764" s="7">
        <f>IF('W rejestracji'!$C$771="","",'W rejestracji'!$C$771)</f>
        <v>0</v>
      </c>
      <c r="G764" s="7">
        <f>IF(Zarejestrowane!$C$771="","",Zarejestrowane!$C$771)</f>
        <v>0</v>
      </c>
      <c r="H764" s="9">
        <f>IF(AND($F764&lt;&gt;"",ISNUMBER(SEARCH('Nr rejestracyjny'!$F$5,$F764))),COUNT($H$1:H763)+1,"")</f>
        <v>0</v>
      </c>
      <c r="I764" s="9">
        <f>IF(AND($G764&lt;&gt;"",ISNUMBER(SEARCH('Nr rejestracyjny'!$F$5,$G764))),COUNT($I$1:I763)+1,"")</f>
        <v>0</v>
      </c>
    </row>
    <row r="765" spans="6:9">
      <c r="F765" s="7">
        <f>IF('W rejestracji'!$C$772="","",'W rejestracji'!$C$772)</f>
        <v>0</v>
      </c>
      <c r="G765" s="7">
        <f>IF(Zarejestrowane!$C$772="","",Zarejestrowane!$C$772)</f>
        <v>0</v>
      </c>
      <c r="H765" s="9">
        <f>IF(AND($F765&lt;&gt;"",ISNUMBER(SEARCH('Nr rejestracyjny'!$F$5,$F765))),COUNT($H$1:H764)+1,"")</f>
        <v>0</v>
      </c>
      <c r="I765" s="9">
        <f>IF(AND($G765&lt;&gt;"",ISNUMBER(SEARCH('Nr rejestracyjny'!$F$5,$G765))),COUNT($I$1:I764)+1,"")</f>
        <v>0</v>
      </c>
    </row>
    <row r="766" spans="6:9">
      <c r="F766" s="7">
        <f>IF('W rejestracji'!$C$773="","",'W rejestracji'!$C$773)</f>
        <v>0</v>
      </c>
      <c r="G766" s="7">
        <f>IF(Zarejestrowane!$C$773="","",Zarejestrowane!$C$773)</f>
        <v>0</v>
      </c>
      <c r="H766" s="9">
        <f>IF(AND($F766&lt;&gt;"",ISNUMBER(SEARCH('Nr rejestracyjny'!$F$5,$F766))),COUNT($H$1:H765)+1,"")</f>
        <v>0</v>
      </c>
      <c r="I766" s="9">
        <f>IF(AND($G766&lt;&gt;"",ISNUMBER(SEARCH('Nr rejestracyjny'!$F$5,$G766))),COUNT($I$1:I765)+1,"")</f>
        <v>0</v>
      </c>
    </row>
    <row r="767" spans="6:9">
      <c r="F767" s="7">
        <f>IF('W rejestracji'!$C$774="","",'W rejestracji'!$C$774)</f>
        <v>0</v>
      </c>
      <c r="G767" s="7">
        <f>IF(Zarejestrowane!$C$774="","",Zarejestrowane!$C$774)</f>
        <v>0</v>
      </c>
      <c r="H767" s="9">
        <f>IF(AND($F767&lt;&gt;"",ISNUMBER(SEARCH('Nr rejestracyjny'!$F$5,$F767))),COUNT($H$1:H766)+1,"")</f>
        <v>0</v>
      </c>
      <c r="I767" s="9">
        <f>IF(AND($G767&lt;&gt;"",ISNUMBER(SEARCH('Nr rejestracyjny'!$F$5,$G767))),COUNT($I$1:I766)+1,"")</f>
        <v>0</v>
      </c>
    </row>
    <row r="768" spans="6:9">
      <c r="F768" s="7">
        <f>IF('W rejestracji'!$C$775="","",'W rejestracji'!$C$775)</f>
        <v>0</v>
      </c>
      <c r="G768" s="7">
        <f>IF(Zarejestrowane!$C$775="","",Zarejestrowane!$C$775)</f>
        <v>0</v>
      </c>
      <c r="H768" s="9">
        <f>IF(AND($F768&lt;&gt;"",ISNUMBER(SEARCH('Nr rejestracyjny'!$F$5,$F768))),COUNT($H$1:H767)+1,"")</f>
        <v>0</v>
      </c>
      <c r="I768" s="9">
        <f>IF(AND($G768&lt;&gt;"",ISNUMBER(SEARCH('Nr rejestracyjny'!$F$5,$G768))),COUNT($I$1:I767)+1,"")</f>
        <v>0</v>
      </c>
    </row>
    <row r="769" spans="6:9">
      <c r="F769" s="7">
        <f>IF('W rejestracji'!$C$776="","",'W rejestracji'!$C$776)</f>
        <v>0</v>
      </c>
      <c r="G769" s="7">
        <f>IF(Zarejestrowane!$C$776="","",Zarejestrowane!$C$776)</f>
        <v>0</v>
      </c>
      <c r="H769" s="9">
        <f>IF(AND($F769&lt;&gt;"",ISNUMBER(SEARCH('Nr rejestracyjny'!$F$5,$F769))),COUNT($H$1:H768)+1,"")</f>
        <v>0</v>
      </c>
      <c r="I769" s="9">
        <f>IF(AND($G769&lt;&gt;"",ISNUMBER(SEARCH('Nr rejestracyjny'!$F$5,$G769))),COUNT($I$1:I768)+1,"")</f>
        <v>0</v>
      </c>
    </row>
    <row r="770" spans="6:9">
      <c r="F770" s="7">
        <f>IF('W rejestracji'!$C$777="","",'W rejestracji'!$C$777)</f>
        <v>0</v>
      </c>
      <c r="G770" s="7">
        <f>IF(Zarejestrowane!$C$777="","",Zarejestrowane!$C$777)</f>
        <v>0</v>
      </c>
      <c r="H770" s="9">
        <f>IF(AND($F770&lt;&gt;"",ISNUMBER(SEARCH('Nr rejestracyjny'!$F$5,$F770))),COUNT($H$1:H769)+1,"")</f>
        <v>0</v>
      </c>
      <c r="I770" s="9">
        <f>IF(AND($G770&lt;&gt;"",ISNUMBER(SEARCH('Nr rejestracyjny'!$F$5,$G770))),COUNT($I$1:I769)+1,"")</f>
        <v>0</v>
      </c>
    </row>
    <row r="771" spans="6:9">
      <c r="F771" s="7">
        <f>IF('W rejestracji'!$C$778="","",'W rejestracji'!$C$778)</f>
        <v>0</v>
      </c>
      <c r="G771" s="7">
        <f>IF(Zarejestrowane!$C$778="","",Zarejestrowane!$C$778)</f>
        <v>0</v>
      </c>
      <c r="H771" s="9">
        <f>IF(AND($F771&lt;&gt;"",ISNUMBER(SEARCH('Nr rejestracyjny'!$F$5,$F771))),COUNT($H$1:H770)+1,"")</f>
        <v>0</v>
      </c>
      <c r="I771" s="9">
        <f>IF(AND($G771&lt;&gt;"",ISNUMBER(SEARCH('Nr rejestracyjny'!$F$5,$G771))),COUNT($I$1:I770)+1,"")</f>
        <v>0</v>
      </c>
    </row>
    <row r="772" spans="6:9">
      <c r="F772" s="7">
        <f>IF('W rejestracji'!$C$779="","",'W rejestracji'!$C$779)</f>
        <v>0</v>
      </c>
      <c r="G772" s="7">
        <f>IF(Zarejestrowane!$C$779="","",Zarejestrowane!$C$779)</f>
        <v>0</v>
      </c>
      <c r="H772" s="9">
        <f>IF(AND($F772&lt;&gt;"",ISNUMBER(SEARCH('Nr rejestracyjny'!$F$5,$F772))),COUNT($H$1:H771)+1,"")</f>
        <v>0</v>
      </c>
      <c r="I772" s="9">
        <f>IF(AND($G772&lt;&gt;"",ISNUMBER(SEARCH('Nr rejestracyjny'!$F$5,$G772))),COUNT($I$1:I771)+1,"")</f>
        <v>0</v>
      </c>
    </row>
    <row r="773" spans="6:9">
      <c r="F773" s="7">
        <f>IF('W rejestracji'!$C$780="","",'W rejestracji'!$C$780)</f>
        <v>0</v>
      </c>
      <c r="G773" s="7">
        <f>IF(Zarejestrowane!$C$780="","",Zarejestrowane!$C$780)</f>
        <v>0</v>
      </c>
      <c r="H773" s="9">
        <f>IF(AND($F773&lt;&gt;"",ISNUMBER(SEARCH('Nr rejestracyjny'!$F$5,$F773))),COUNT($H$1:H772)+1,"")</f>
        <v>0</v>
      </c>
      <c r="I773" s="9">
        <f>IF(AND($G773&lt;&gt;"",ISNUMBER(SEARCH('Nr rejestracyjny'!$F$5,$G773))),COUNT($I$1:I772)+1,"")</f>
        <v>0</v>
      </c>
    </row>
    <row r="774" spans="6:9">
      <c r="F774" s="7">
        <f>IF('W rejestracji'!$C$781="","",'W rejestracji'!$C$781)</f>
        <v>0</v>
      </c>
      <c r="G774" s="7">
        <f>IF(Zarejestrowane!$C$781="","",Zarejestrowane!$C$781)</f>
        <v>0</v>
      </c>
      <c r="H774" s="9">
        <f>IF(AND($F774&lt;&gt;"",ISNUMBER(SEARCH('Nr rejestracyjny'!$F$5,$F774))),COUNT($H$1:H773)+1,"")</f>
        <v>0</v>
      </c>
      <c r="I774" s="9">
        <f>IF(AND($G774&lt;&gt;"",ISNUMBER(SEARCH('Nr rejestracyjny'!$F$5,$G774))),COUNT($I$1:I773)+1,"")</f>
        <v>0</v>
      </c>
    </row>
    <row r="775" spans="6:9">
      <c r="F775" s="7">
        <f>IF('W rejestracji'!$C$782="","",'W rejestracji'!$C$782)</f>
        <v>0</v>
      </c>
      <c r="G775" s="7">
        <f>IF(Zarejestrowane!$C$782="","",Zarejestrowane!$C$782)</f>
        <v>0</v>
      </c>
      <c r="H775" s="9">
        <f>IF(AND($F775&lt;&gt;"",ISNUMBER(SEARCH('Nr rejestracyjny'!$F$5,$F775))),COUNT($H$1:H774)+1,"")</f>
        <v>0</v>
      </c>
      <c r="I775" s="9">
        <f>IF(AND($G775&lt;&gt;"",ISNUMBER(SEARCH('Nr rejestracyjny'!$F$5,$G775))),COUNT($I$1:I774)+1,"")</f>
        <v>0</v>
      </c>
    </row>
    <row r="776" spans="6:9">
      <c r="F776" s="7">
        <f>IF('W rejestracji'!$C$783="","",'W rejestracji'!$C$783)</f>
        <v>0</v>
      </c>
      <c r="G776" s="7">
        <f>IF(Zarejestrowane!$C$783="","",Zarejestrowane!$C$783)</f>
        <v>0</v>
      </c>
      <c r="H776" s="9">
        <f>IF(AND($F776&lt;&gt;"",ISNUMBER(SEARCH('Nr rejestracyjny'!$F$5,$F776))),COUNT($H$1:H775)+1,"")</f>
        <v>0</v>
      </c>
      <c r="I776" s="9">
        <f>IF(AND($G776&lt;&gt;"",ISNUMBER(SEARCH('Nr rejestracyjny'!$F$5,$G776))),COUNT($I$1:I775)+1,"")</f>
        <v>0</v>
      </c>
    </row>
    <row r="777" spans="6:9">
      <c r="F777" s="7">
        <f>IF('W rejestracji'!$C$784="","",'W rejestracji'!$C$784)</f>
        <v>0</v>
      </c>
      <c r="G777" s="7">
        <f>IF(Zarejestrowane!$C$784="","",Zarejestrowane!$C$784)</f>
        <v>0</v>
      </c>
      <c r="H777" s="9">
        <f>IF(AND($F777&lt;&gt;"",ISNUMBER(SEARCH('Nr rejestracyjny'!$F$5,$F777))),COUNT($H$1:H776)+1,"")</f>
        <v>0</v>
      </c>
      <c r="I777" s="9">
        <f>IF(AND($G777&lt;&gt;"",ISNUMBER(SEARCH('Nr rejestracyjny'!$F$5,$G777))),COUNT($I$1:I776)+1,"")</f>
        <v>0</v>
      </c>
    </row>
    <row r="778" spans="6:9">
      <c r="F778" s="7">
        <f>IF('W rejestracji'!$C$785="","",'W rejestracji'!$C$785)</f>
        <v>0</v>
      </c>
      <c r="G778" s="7">
        <f>IF(Zarejestrowane!$C$785="","",Zarejestrowane!$C$785)</f>
        <v>0</v>
      </c>
      <c r="H778" s="9">
        <f>IF(AND($F778&lt;&gt;"",ISNUMBER(SEARCH('Nr rejestracyjny'!$F$5,$F778))),COUNT($H$1:H777)+1,"")</f>
        <v>0</v>
      </c>
      <c r="I778" s="9">
        <f>IF(AND($G778&lt;&gt;"",ISNUMBER(SEARCH('Nr rejestracyjny'!$F$5,$G778))),COUNT($I$1:I777)+1,"")</f>
        <v>0</v>
      </c>
    </row>
    <row r="779" spans="6:9">
      <c r="F779" s="7">
        <f>IF('W rejestracji'!$C$786="","",'W rejestracji'!$C$786)</f>
        <v>0</v>
      </c>
      <c r="G779" s="7">
        <f>IF(Zarejestrowane!$C$786="","",Zarejestrowane!$C$786)</f>
        <v>0</v>
      </c>
      <c r="H779" s="9">
        <f>IF(AND($F779&lt;&gt;"",ISNUMBER(SEARCH('Nr rejestracyjny'!$F$5,$F779))),COUNT($H$1:H778)+1,"")</f>
        <v>0</v>
      </c>
      <c r="I779" s="9">
        <f>IF(AND($G779&lt;&gt;"",ISNUMBER(SEARCH('Nr rejestracyjny'!$F$5,$G779))),COUNT($I$1:I778)+1,"")</f>
        <v>0</v>
      </c>
    </row>
    <row r="780" spans="6:9">
      <c r="F780" s="7">
        <f>IF('W rejestracji'!$C$787="","",'W rejestracji'!$C$787)</f>
        <v>0</v>
      </c>
      <c r="G780" s="7">
        <f>IF(Zarejestrowane!$C$787="","",Zarejestrowane!$C$787)</f>
        <v>0</v>
      </c>
      <c r="H780" s="9">
        <f>IF(AND($F780&lt;&gt;"",ISNUMBER(SEARCH('Nr rejestracyjny'!$F$5,$F780))),COUNT($H$1:H779)+1,"")</f>
        <v>0</v>
      </c>
      <c r="I780" s="9">
        <f>IF(AND($G780&lt;&gt;"",ISNUMBER(SEARCH('Nr rejestracyjny'!$F$5,$G780))),COUNT($I$1:I779)+1,"")</f>
        <v>0</v>
      </c>
    </row>
    <row r="781" spans="6:9">
      <c r="F781" s="7">
        <f>IF('W rejestracji'!$C$788="","",'W rejestracji'!$C$788)</f>
        <v>0</v>
      </c>
      <c r="G781" s="7">
        <f>IF(Zarejestrowane!$C$788="","",Zarejestrowane!$C$788)</f>
        <v>0</v>
      </c>
      <c r="H781" s="9">
        <f>IF(AND($F781&lt;&gt;"",ISNUMBER(SEARCH('Nr rejestracyjny'!$F$5,$F781))),COUNT($H$1:H780)+1,"")</f>
        <v>0</v>
      </c>
      <c r="I781" s="9">
        <f>IF(AND($G781&lt;&gt;"",ISNUMBER(SEARCH('Nr rejestracyjny'!$F$5,$G781))),COUNT($I$1:I780)+1,"")</f>
        <v>0</v>
      </c>
    </row>
    <row r="782" spans="6:9">
      <c r="F782" s="7">
        <f>IF('W rejestracji'!$C$789="","",'W rejestracji'!$C$789)</f>
        <v>0</v>
      </c>
      <c r="G782" s="7">
        <f>IF(Zarejestrowane!$C$789="","",Zarejestrowane!$C$789)</f>
        <v>0</v>
      </c>
      <c r="H782" s="9">
        <f>IF(AND($F782&lt;&gt;"",ISNUMBER(SEARCH('Nr rejestracyjny'!$F$5,$F782))),COUNT($H$1:H781)+1,"")</f>
        <v>0</v>
      </c>
      <c r="I782" s="9">
        <f>IF(AND($G782&lt;&gt;"",ISNUMBER(SEARCH('Nr rejestracyjny'!$F$5,$G782))),COUNT($I$1:I781)+1,"")</f>
        <v>0</v>
      </c>
    </row>
    <row r="783" spans="6:9">
      <c r="F783" s="7">
        <f>IF('W rejestracji'!$C$790="","",'W rejestracji'!$C$790)</f>
        <v>0</v>
      </c>
      <c r="G783" s="7">
        <f>IF(Zarejestrowane!$C$790="","",Zarejestrowane!$C$790)</f>
        <v>0</v>
      </c>
      <c r="H783" s="9">
        <f>IF(AND($F783&lt;&gt;"",ISNUMBER(SEARCH('Nr rejestracyjny'!$F$5,$F783))),COUNT($H$1:H782)+1,"")</f>
        <v>0</v>
      </c>
      <c r="I783" s="9">
        <f>IF(AND($G783&lt;&gt;"",ISNUMBER(SEARCH('Nr rejestracyjny'!$F$5,$G783))),COUNT($I$1:I782)+1,"")</f>
        <v>0</v>
      </c>
    </row>
    <row r="784" spans="6:9">
      <c r="F784" s="7">
        <f>IF('W rejestracji'!$C$791="","",'W rejestracji'!$C$791)</f>
        <v>0</v>
      </c>
      <c r="G784" s="7">
        <f>IF(Zarejestrowane!$C$791="","",Zarejestrowane!$C$791)</f>
        <v>0</v>
      </c>
      <c r="H784" s="9">
        <f>IF(AND($F784&lt;&gt;"",ISNUMBER(SEARCH('Nr rejestracyjny'!$F$5,$F784))),COUNT($H$1:H783)+1,"")</f>
        <v>0</v>
      </c>
      <c r="I784" s="9">
        <f>IF(AND($G784&lt;&gt;"",ISNUMBER(SEARCH('Nr rejestracyjny'!$F$5,$G784))),COUNT($I$1:I783)+1,"")</f>
        <v>0</v>
      </c>
    </row>
    <row r="785" spans="6:9">
      <c r="F785" s="7">
        <f>IF('W rejestracji'!$C$792="","",'W rejestracji'!$C$792)</f>
        <v>0</v>
      </c>
      <c r="G785" s="7">
        <f>IF(Zarejestrowane!$C$792="","",Zarejestrowane!$C$792)</f>
        <v>0</v>
      </c>
      <c r="H785" s="9">
        <f>IF(AND($F785&lt;&gt;"",ISNUMBER(SEARCH('Nr rejestracyjny'!$F$5,$F785))),COUNT($H$1:H784)+1,"")</f>
        <v>0</v>
      </c>
      <c r="I785" s="9">
        <f>IF(AND($G785&lt;&gt;"",ISNUMBER(SEARCH('Nr rejestracyjny'!$F$5,$G785))),COUNT($I$1:I784)+1,"")</f>
        <v>0</v>
      </c>
    </row>
    <row r="786" spans="6:9">
      <c r="F786" s="7">
        <f>IF('W rejestracji'!$C$793="","",'W rejestracji'!$C$793)</f>
        <v>0</v>
      </c>
      <c r="G786" s="7">
        <f>IF(Zarejestrowane!$C$793="","",Zarejestrowane!$C$793)</f>
        <v>0</v>
      </c>
      <c r="H786" s="9">
        <f>IF(AND($F786&lt;&gt;"",ISNUMBER(SEARCH('Nr rejestracyjny'!$F$5,$F786))),COUNT($H$1:H785)+1,"")</f>
        <v>0</v>
      </c>
      <c r="I786" s="9">
        <f>IF(AND($G786&lt;&gt;"",ISNUMBER(SEARCH('Nr rejestracyjny'!$F$5,$G786))),COUNT($I$1:I785)+1,"")</f>
        <v>0</v>
      </c>
    </row>
    <row r="787" spans="6:9">
      <c r="F787" s="7">
        <f>IF('W rejestracji'!$C$794="","",'W rejestracji'!$C$794)</f>
        <v>0</v>
      </c>
      <c r="G787" s="7">
        <f>IF(Zarejestrowane!$C$794="","",Zarejestrowane!$C$794)</f>
        <v>0</v>
      </c>
      <c r="H787" s="9">
        <f>IF(AND($F787&lt;&gt;"",ISNUMBER(SEARCH('Nr rejestracyjny'!$F$5,$F787))),COUNT($H$1:H786)+1,"")</f>
        <v>0</v>
      </c>
      <c r="I787" s="9">
        <f>IF(AND($G787&lt;&gt;"",ISNUMBER(SEARCH('Nr rejestracyjny'!$F$5,$G787))),COUNT($I$1:I786)+1,"")</f>
        <v>0</v>
      </c>
    </row>
    <row r="788" spans="6:9">
      <c r="F788" s="7">
        <f>IF('W rejestracji'!$C$795="","",'W rejestracji'!$C$795)</f>
        <v>0</v>
      </c>
      <c r="G788" s="7">
        <f>IF(Zarejestrowane!$C$795="","",Zarejestrowane!$C$795)</f>
        <v>0</v>
      </c>
      <c r="H788" s="9">
        <f>IF(AND($F788&lt;&gt;"",ISNUMBER(SEARCH('Nr rejestracyjny'!$F$5,$F788))),COUNT($H$1:H787)+1,"")</f>
        <v>0</v>
      </c>
      <c r="I788" s="9">
        <f>IF(AND($G788&lt;&gt;"",ISNUMBER(SEARCH('Nr rejestracyjny'!$F$5,$G788))),COUNT($I$1:I787)+1,"")</f>
        <v>0</v>
      </c>
    </row>
    <row r="789" spans="6:9">
      <c r="F789" s="7">
        <f>IF('W rejestracji'!$C$796="","",'W rejestracji'!$C$796)</f>
        <v>0</v>
      </c>
      <c r="G789" s="7">
        <f>IF(Zarejestrowane!$C$796="","",Zarejestrowane!$C$796)</f>
        <v>0</v>
      </c>
      <c r="H789" s="9">
        <f>IF(AND($F789&lt;&gt;"",ISNUMBER(SEARCH('Nr rejestracyjny'!$F$5,$F789))),COUNT($H$1:H788)+1,"")</f>
        <v>0</v>
      </c>
      <c r="I789" s="9">
        <f>IF(AND($G789&lt;&gt;"",ISNUMBER(SEARCH('Nr rejestracyjny'!$F$5,$G789))),COUNT($I$1:I788)+1,"")</f>
        <v>0</v>
      </c>
    </row>
    <row r="790" spans="6:9">
      <c r="F790" s="7">
        <f>IF('W rejestracji'!$C$797="","",'W rejestracji'!$C$797)</f>
        <v>0</v>
      </c>
      <c r="G790" s="7">
        <f>IF(Zarejestrowane!$C$797="","",Zarejestrowane!$C$797)</f>
        <v>0</v>
      </c>
      <c r="H790" s="9">
        <f>IF(AND($F790&lt;&gt;"",ISNUMBER(SEARCH('Nr rejestracyjny'!$F$5,$F790))),COUNT($H$1:H789)+1,"")</f>
        <v>0</v>
      </c>
      <c r="I790" s="9">
        <f>IF(AND($G790&lt;&gt;"",ISNUMBER(SEARCH('Nr rejestracyjny'!$F$5,$G790))),COUNT($I$1:I789)+1,"")</f>
        <v>0</v>
      </c>
    </row>
    <row r="791" spans="6:9">
      <c r="F791" s="7">
        <f>IF('W rejestracji'!$C$798="","",'W rejestracji'!$C$798)</f>
        <v>0</v>
      </c>
      <c r="G791" s="7">
        <f>IF(Zarejestrowane!$C$798="","",Zarejestrowane!$C$798)</f>
        <v>0</v>
      </c>
      <c r="H791" s="9">
        <f>IF(AND($F791&lt;&gt;"",ISNUMBER(SEARCH('Nr rejestracyjny'!$F$5,$F791))),COUNT($H$1:H790)+1,"")</f>
        <v>0</v>
      </c>
      <c r="I791" s="9">
        <f>IF(AND($G791&lt;&gt;"",ISNUMBER(SEARCH('Nr rejestracyjny'!$F$5,$G791))),COUNT($I$1:I790)+1,"")</f>
        <v>0</v>
      </c>
    </row>
    <row r="792" spans="6:9">
      <c r="F792" s="7">
        <f>IF('W rejestracji'!$C$799="","",'W rejestracji'!$C$799)</f>
        <v>0</v>
      </c>
      <c r="G792" s="7">
        <f>IF(Zarejestrowane!$C$799="","",Zarejestrowane!$C$799)</f>
        <v>0</v>
      </c>
      <c r="H792" s="9">
        <f>IF(AND($F792&lt;&gt;"",ISNUMBER(SEARCH('Nr rejestracyjny'!$F$5,$F792))),COUNT($H$1:H791)+1,"")</f>
        <v>0</v>
      </c>
      <c r="I792" s="9">
        <f>IF(AND($G792&lt;&gt;"",ISNUMBER(SEARCH('Nr rejestracyjny'!$F$5,$G792))),COUNT($I$1:I791)+1,"")</f>
        <v>0</v>
      </c>
    </row>
    <row r="793" spans="6:9">
      <c r="F793" s="7">
        <f>IF('W rejestracji'!$C$800="","",'W rejestracji'!$C$800)</f>
        <v>0</v>
      </c>
      <c r="G793" s="7">
        <f>IF(Zarejestrowane!$C$800="","",Zarejestrowane!$C$800)</f>
        <v>0</v>
      </c>
      <c r="H793" s="9">
        <f>IF(AND($F793&lt;&gt;"",ISNUMBER(SEARCH('Nr rejestracyjny'!$F$5,$F793))),COUNT($H$1:H792)+1,"")</f>
        <v>0</v>
      </c>
      <c r="I793" s="9">
        <f>IF(AND($G793&lt;&gt;"",ISNUMBER(SEARCH('Nr rejestracyjny'!$F$5,$G793))),COUNT($I$1:I792)+1,"")</f>
        <v>0</v>
      </c>
    </row>
    <row r="794" spans="6:9">
      <c r="F794" s="7">
        <f>IF('W rejestracji'!$C$801="","",'W rejestracji'!$C$801)</f>
        <v>0</v>
      </c>
      <c r="G794" s="7">
        <f>IF(Zarejestrowane!$C$801="","",Zarejestrowane!$C$801)</f>
        <v>0</v>
      </c>
      <c r="H794" s="9">
        <f>IF(AND($F794&lt;&gt;"",ISNUMBER(SEARCH('Nr rejestracyjny'!$F$5,$F794))),COUNT($H$1:H793)+1,"")</f>
        <v>0</v>
      </c>
      <c r="I794" s="9">
        <f>IF(AND($G794&lt;&gt;"",ISNUMBER(SEARCH('Nr rejestracyjny'!$F$5,$G794))),COUNT($I$1:I793)+1,"")</f>
        <v>0</v>
      </c>
    </row>
    <row r="795" spans="6:9">
      <c r="F795" s="7">
        <f>IF('W rejestracji'!$C$802="","",'W rejestracji'!$C$802)</f>
        <v>0</v>
      </c>
      <c r="G795" s="7">
        <f>IF(Zarejestrowane!$C$802="","",Zarejestrowane!$C$802)</f>
        <v>0</v>
      </c>
      <c r="H795" s="9">
        <f>IF(AND($F795&lt;&gt;"",ISNUMBER(SEARCH('Nr rejestracyjny'!$F$5,$F795))),COUNT($H$1:H794)+1,"")</f>
        <v>0</v>
      </c>
      <c r="I795" s="9">
        <f>IF(AND($G795&lt;&gt;"",ISNUMBER(SEARCH('Nr rejestracyjny'!$F$5,$G795))),COUNT($I$1:I794)+1,"")</f>
        <v>0</v>
      </c>
    </row>
    <row r="796" spans="6:9">
      <c r="F796" s="7">
        <f>IF('W rejestracji'!$C$803="","",'W rejestracji'!$C$803)</f>
        <v>0</v>
      </c>
      <c r="G796" s="7">
        <f>IF(Zarejestrowane!$C$803="","",Zarejestrowane!$C$803)</f>
        <v>0</v>
      </c>
      <c r="H796" s="9">
        <f>IF(AND($F796&lt;&gt;"",ISNUMBER(SEARCH('Nr rejestracyjny'!$F$5,$F796))),COUNT($H$1:H795)+1,"")</f>
        <v>0</v>
      </c>
      <c r="I796" s="9">
        <f>IF(AND($G796&lt;&gt;"",ISNUMBER(SEARCH('Nr rejestracyjny'!$F$5,$G796))),COUNT($I$1:I795)+1,"")</f>
        <v>0</v>
      </c>
    </row>
    <row r="797" spans="6:9">
      <c r="F797" s="7">
        <f>IF('W rejestracji'!$C$804="","",'W rejestracji'!$C$804)</f>
        <v>0</v>
      </c>
      <c r="G797" s="7">
        <f>IF(Zarejestrowane!$C$804="","",Zarejestrowane!$C$804)</f>
        <v>0</v>
      </c>
      <c r="H797" s="9">
        <f>IF(AND($F797&lt;&gt;"",ISNUMBER(SEARCH('Nr rejestracyjny'!$F$5,$F797))),COUNT($H$1:H796)+1,"")</f>
        <v>0</v>
      </c>
      <c r="I797" s="9">
        <f>IF(AND($G797&lt;&gt;"",ISNUMBER(SEARCH('Nr rejestracyjny'!$F$5,$G797))),COUNT($I$1:I796)+1,"")</f>
        <v>0</v>
      </c>
    </row>
    <row r="798" spans="6:9">
      <c r="F798" s="7">
        <f>IF('W rejestracji'!$C$805="","",'W rejestracji'!$C$805)</f>
        <v>0</v>
      </c>
      <c r="G798" s="7">
        <f>IF(Zarejestrowane!$C$805="","",Zarejestrowane!$C$805)</f>
        <v>0</v>
      </c>
      <c r="H798" s="9">
        <f>IF(AND($F798&lt;&gt;"",ISNUMBER(SEARCH('Nr rejestracyjny'!$F$5,$F798))),COUNT($H$1:H797)+1,"")</f>
        <v>0</v>
      </c>
      <c r="I798" s="9">
        <f>IF(AND($G798&lt;&gt;"",ISNUMBER(SEARCH('Nr rejestracyjny'!$F$5,$G798))),COUNT($I$1:I797)+1,"")</f>
        <v>0</v>
      </c>
    </row>
    <row r="799" spans="6:9">
      <c r="F799" s="7">
        <f>IF('W rejestracji'!$C$806="","",'W rejestracji'!$C$806)</f>
        <v>0</v>
      </c>
      <c r="G799" s="7">
        <f>IF(Zarejestrowane!$C$806="","",Zarejestrowane!$C$806)</f>
        <v>0</v>
      </c>
      <c r="H799" s="9">
        <f>IF(AND($F799&lt;&gt;"",ISNUMBER(SEARCH('Nr rejestracyjny'!$F$5,$F799))),COUNT($H$1:H798)+1,"")</f>
        <v>0</v>
      </c>
      <c r="I799" s="9">
        <f>IF(AND($G799&lt;&gt;"",ISNUMBER(SEARCH('Nr rejestracyjny'!$F$5,$G799))),COUNT($I$1:I798)+1,"")</f>
        <v>0</v>
      </c>
    </row>
    <row r="800" spans="6:9">
      <c r="F800" s="7">
        <f>IF('W rejestracji'!$C$807="","",'W rejestracji'!$C$807)</f>
        <v>0</v>
      </c>
      <c r="G800" s="7">
        <f>IF(Zarejestrowane!$C$807="","",Zarejestrowane!$C$807)</f>
        <v>0</v>
      </c>
      <c r="H800" s="9">
        <f>IF(AND($F800&lt;&gt;"",ISNUMBER(SEARCH('Nr rejestracyjny'!$F$5,$F800))),COUNT($H$1:H799)+1,"")</f>
        <v>0</v>
      </c>
      <c r="I800" s="9">
        <f>IF(AND($G800&lt;&gt;"",ISNUMBER(SEARCH('Nr rejestracyjny'!$F$5,$G800))),COUNT($I$1:I799)+1,"")</f>
        <v>0</v>
      </c>
    </row>
    <row r="801" spans="6:9">
      <c r="F801" s="7">
        <f>IF('W rejestracji'!$C$808="","",'W rejestracji'!$C$808)</f>
        <v>0</v>
      </c>
      <c r="G801" s="7">
        <f>IF(Zarejestrowane!$C$808="","",Zarejestrowane!$C$808)</f>
        <v>0</v>
      </c>
      <c r="H801" s="9">
        <f>IF(AND($F801&lt;&gt;"",ISNUMBER(SEARCH('Nr rejestracyjny'!$F$5,$F801))),COUNT($H$1:H800)+1,"")</f>
        <v>0</v>
      </c>
      <c r="I801" s="9">
        <f>IF(AND($G801&lt;&gt;"",ISNUMBER(SEARCH('Nr rejestracyjny'!$F$5,$G801))),COUNT($I$1:I800)+1,"")</f>
        <v>0</v>
      </c>
    </row>
    <row r="802" spans="6:9">
      <c r="F802" s="7">
        <f>IF('W rejestracji'!$C$809="","",'W rejestracji'!$C$809)</f>
        <v>0</v>
      </c>
      <c r="G802" s="7">
        <f>IF(Zarejestrowane!$C$809="","",Zarejestrowane!$C$809)</f>
        <v>0</v>
      </c>
      <c r="H802" s="9">
        <f>IF(AND($F802&lt;&gt;"",ISNUMBER(SEARCH('Nr rejestracyjny'!$F$5,$F802))),COUNT($H$1:H801)+1,"")</f>
        <v>0</v>
      </c>
      <c r="I802" s="9">
        <f>IF(AND($G802&lt;&gt;"",ISNUMBER(SEARCH('Nr rejestracyjny'!$F$5,$G802))),COUNT($I$1:I801)+1,"")</f>
        <v>0</v>
      </c>
    </row>
    <row r="803" spans="6:9">
      <c r="F803" s="7">
        <f>IF('W rejestracji'!$C$810="","",'W rejestracji'!$C$810)</f>
        <v>0</v>
      </c>
      <c r="G803" s="7">
        <f>IF(Zarejestrowane!$C$810="","",Zarejestrowane!$C$810)</f>
        <v>0</v>
      </c>
      <c r="H803" s="9">
        <f>IF(AND($F803&lt;&gt;"",ISNUMBER(SEARCH('Nr rejestracyjny'!$F$5,$F803))),COUNT($H$1:H802)+1,"")</f>
        <v>0</v>
      </c>
      <c r="I803" s="9">
        <f>IF(AND($G803&lt;&gt;"",ISNUMBER(SEARCH('Nr rejestracyjny'!$F$5,$G803))),COUNT($I$1:I802)+1,"")</f>
        <v>0</v>
      </c>
    </row>
    <row r="804" spans="6:9">
      <c r="F804" s="7">
        <f>IF('W rejestracji'!$C$811="","",'W rejestracji'!$C$811)</f>
        <v>0</v>
      </c>
      <c r="G804" s="7">
        <f>IF(Zarejestrowane!$C$811="","",Zarejestrowane!$C$811)</f>
        <v>0</v>
      </c>
      <c r="H804" s="9">
        <f>IF(AND($F804&lt;&gt;"",ISNUMBER(SEARCH('Nr rejestracyjny'!$F$5,$F804))),COUNT($H$1:H803)+1,"")</f>
        <v>0</v>
      </c>
      <c r="I804" s="9">
        <f>IF(AND($G804&lt;&gt;"",ISNUMBER(SEARCH('Nr rejestracyjny'!$F$5,$G804))),COUNT($I$1:I803)+1,"")</f>
        <v>0</v>
      </c>
    </row>
    <row r="805" spans="6:9">
      <c r="F805" s="7">
        <f>IF('W rejestracji'!$C$812="","",'W rejestracji'!$C$812)</f>
        <v>0</v>
      </c>
      <c r="G805" s="7">
        <f>IF(Zarejestrowane!$C$812="","",Zarejestrowane!$C$812)</f>
        <v>0</v>
      </c>
      <c r="H805" s="9">
        <f>IF(AND($F805&lt;&gt;"",ISNUMBER(SEARCH('Nr rejestracyjny'!$F$5,$F805))),COUNT($H$1:H804)+1,"")</f>
        <v>0</v>
      </c>
      <c r="I805" s="9">
        <f>IF(AND($G805&lt;&gt;"",ISNUMBER(SEARCH('Nr rejestracyjny'!$F$5,$G805))),COUNT($I$1:I804)+1,"")</f>
        <v>0</v>
      </c>
    </row>
    <row r="806" spans="6:9">
      <c r="F806" s="7">
        <f>IF('W rejestracji'!$C$813="","",'W rejestracji'!$C$813)</f>
        <v>0</v>
      </c>
      <c r="G806" s="7">
        <f>IF(Zarejestrowane!$C$813="","",Zarejestrowane!$C$813)</f>
        <v>0</v>
      </c>
      <c r="H806" s="9">
        <f>IF(AND($F806&lt;&gt;"",ISNUMBER(SEARCH('Nr rejestracyjny'!$F$5,$F806))),COUNT($H$1:H805)+1,"")</f>
        <v>0</v>
      </c>
      <c r="I806" s="9">
        <f>IF(AND($G806&lt;&gt;"",ISNUMBER(SEARCH('Nr rejestracyjny'!$F$5,$G806))),COUNT($I$1:I805)+1,"")</f>
        <v>0</v>
      </c>
    </row>
    <row r="807" spans="6:9">
      <c r="F807" s="7">
        <f>IF('W rejestracji'!$C$814="","",'W rejestracji'!$C$814)</f>
        <v>0</v>
      </c>
      <c r="G807" s="7">
        <f>IF(Zarejestrowane!$C$814="","",Zarejestrowane!$C$814)</f>
        <v>0</v>
      </c>
      <c r="H807" s="9">
        <f>IF(AND($F807&lt;&gt;"",ISNUMBER(SEARCH('Nr rejestracyjny'!$F$5,$F807))),COUNT($H$1:H806)+1,"")</f>
        <v>0</v>
      </c>
      <c r="I807" s="9">
        <f>IF(AND($G807&lt;&gt;"",ISNUMBER(SEARCH('Nr rejestracyjny'!$F$5,$G807))),COUNT($I$1:I806)+1,"")</f>
        <v>0</v>
      </c>
    </row>
    <row r="808" spans="6:9">
      <c r="F808" s="7">
        <f>IF('W rejestracji'!$C$815="","",'W rejestracji'!$C$815)</f>
        <v>0</v>
      </c>
      <c r="G808" s="7">
        <f>IF(Zarejestrowane!$C$815="","",Zarejestrowane!$C$815)</f>
        <v>0</v>
      </c>
      <c r="H808" s="9">
        <f>IF(AND($F808&lt;&gt;"",ISNUMBER(SEARCH('Nr rejestracyjny'!$F$5,$F808))),COUNT($H$1:H807)+1,"")</f>
        <v>0</v>
      </c>
      <c r="I808" s="9">
        <f>IF(AND($G808&lt;&gt;"",ISNUMBER(SEARCH('Nr rejestracyjny'!$F$5,$G808))),COUNT($I$1:I807)+1,"")</f>
        <v>0</v>
      </c>
    </row>
    <row r="809" spans="6:9">
      <c r="F809" s="7">
        <f>IF('W rejestracji'!$C$816="","",'W rejestracji'!$C$816)</f>
        <v>0</v>
      </c>
      <c r="G809" s="7">
        <f>IF(Zarejestrowane!$C$816="","",Zarejestrowane!$C$816)</f>
        <v>0</v>
      </c>
      <c r="H809" s="9">
        <f>IF(AND($F809&lt;&gt;"",ISNUMBER(SEARCH('Nr rejestracyjny'!$F$5,$F809))),COUNT($H$1:H808)+1,"")</f>
        <v>0</v>
      </c>
      <c r="I809" s="9">
        <f>IF(AND($G809&lt;&gt;"",ISNUMBER(SEARCH('Nr rejestracyjny'!$F$5,$G809))),COUNT($I$1:I808)+1,"")</f>
        <v>0</v>
      </c>
    </row>
    <row r="810" spans="6:9">
      <c r="F810" s="7">
        <f>IF('W rejestracji'!$C$817="","",'W rejestracji'!$C$817)</f>
        <v>0</v>
      </c>
      <c r="G810" s="7">
        <f>IF(Zarejestrowane!$C$817="","",Zarejestrowane!$C$817)</f>
        <v>0</v>
      </c>
      <c r="H810" s="9">
        <f>IF(AND($F810&lt;&gt;"",ISNUMBER(SEARCH('Nr rejestracyjny'!$F$5,$F810))),COUNT($H$1:H809)+1,"")</f>
        <v>0</v>
      </c>
      <c r="I810" s="9">
        <f>IF(AND($G810&lt;&gt;"",ISNUMBER(SEARCH('Nr rejestracyjny'!$F$5,$G810))),COUNT($I$1:I809)+1,"")</f>
        <v>0</v>
      </c>
    </row>
    <row r="811" spans="6:9">
      <c r="F811" s="7">
        <f>IF('W rejestracji'!$C$818="","",'W rejestracji'!$C$818)</f>
        <v>0</v>
      </c>
      <c r="G811" s="7">
        <f>IF(Zarejestrowane!$C$818="","",Zarejestrowane!$C$818)</f>
        <v>0</v>
      </c>
      <c r="H811" s="9">
        <f>IF(AND($F811&lt;&gt;"",ISNUMBER(SEARCH('Nr rejestracyjny'!$F$5,$F811))),COUNT($H$1:H810)+1,"")</f>
        <v>0</v>
      </c>
      <c r="I811" s="9">
        <f>IF(AND($G811&lt;&gt;"",ISNUMBER(SEARCH('Nr rejestracyjny'!$F$5,$G811))),COUNT($I$1:I810)+1,"")</f>
        <v>0</v>
      </c>
    </row>
    <row r="812" spans="6:9">
      <c r="F812" s="7">
        <f>IF('W rejestracji'!$C$819="","",'W rejestracji'!$C$819)</f>
        <v>0</v>
      </c>
      <c r="G812" s="7">
        <f>IF(Zarejestrowane!$C$819="","",Zarejestrowane!$C$819)</f>
        <v>0</v>
      </c>
      <c r="H812" s="9">
        <f>IF(AND($F812&lt;&gt;"",ISNUMBER(SEARCH('Nr rejestracyjny'!$F$5,$F812))),COUNT($H$1:H811)+1,"")</f>
        <v>0</v>
      </c>
      <c r="I812" s="9">
        <f>IF(AND($G812&lt;&gt;"",ISNUMBER(SEARCH('Nr rejestracyjny'!$F$5,$G812))),COUNT($I$1:I811)+1,"")</f>
        <v>0</v>
      </c>
    </row>
    <row r="813" spans="6:9">
      <c r="F813" s="7">
        <f>IF('W rejestracji'!$C$820="","",'W rejestracji'!$C$820)</f>
        <v>0</v>
      </c>
      <c r="G813" s="7">
        <f>IF(Zarejestrowane!$C$820="","",Zarejestrowane!$C$820)</f>
        <v>0</v>
      </c>
      <c r="H813" s="9">
        <f>IF(AND($F813&lt;&gt;"",ISNUMBER(SEARCH('Nr rejestracyjny'!$F$5,$F813))),COUNT($H$1:H812)+1,"")</f>
        <v>0</v>
      </c>
      <c r="I813" s="9">
        <f>IF(AND($G813&lt;&gt;"",ISNUMBER(SEARCH('Nr rejestracyjny'!$F$5,$G813))),COUNT($I$1:I812)+1,"")</f>
        <v>0</v>
      </c>
    </row>
    <row r="814" spans="6:9">
      <c r="F814" s="7">
        <f>IF('W rejestracji'!$C$821="","",'W rejestracji'!$C$821)</f>
        <v>0</v>
      </c>
      <c r="G814" s="7">
        <f>IF(Zarejestrowane!$C$821="","",Zarejestrowane!$C$821)</f>
        <v>0</v>
      </c>
      <c r="H814" s="9">
        <f>IF(AND($F814&lt;&gt;"",ISNUMBER(SEARCH('Nr rejestracyjny'!$F$5,$F814))),COUNT($H$1:H813)+1,"")</f>
        <v>0</v>
      </c>
      <c r="I814" s="9">
        <f>IF(AND($G814&lt;&gt;"",ISNUMBER(SEARCH('Nr rejestracyjny'!$F$5,$G814))),COUNT($I$1:I813)+1,"")</f>
        <v>0</v>
      </c>
    </row>
    <row r="815" spans="6:9">
      <c r="F815" s="7">
        <f>IF('W rejestracji'!$C$822="","",'W rejestracji'!$C$822)</f>
        <v>0</v>
      </c>
      <c r="G815" s="7">
        <f>IF(Zarejestrowane!$C$822="","",Zarejestrowane!$C$822)</f>
        <v>0</v>
      </c>
      <c r="H815" s="9">
        <f>IF(AND($F815&lt;&gt;"",ISNUMBER(SEARCH('Nr rejestracyjny'!$F$5,$F815))),COUNT($H$1:H814)+1,"")</f>
        <v>0</v>
      </c>
      <c r="I815" s="9">
        <f>IF(AND($G815&lt;&gt;"",ISNUMBER(SEARCH('Nr rejestracyjny'!$F$5,$G815))),COUNT($I$1:I814)+1,"")</f>
        <v>0</v>
      </c>
    </row>
    <row r="816" spans="6:9">
      <c r="F816" s="7">
        <f>IF('W rejestracji'!$C$823="","",'W rejestracji'!$C$823)</f>
        <v>0</v>
      </c>
      <c r="G816" s="7">
        <f>IF(Zarejestrowane!$C$823="","",Zarejestrowane!$C$823)</f>
        <v>0</v>
      </c>
      <c r="H816" s="9">
        <f>IF(AND($F816&lt;&gt;"",ISNUMBER(SEARCH('Nr rejestracyjny'!$F$5,$F816))),COUNT($H$1:H815)+1,"")</f>
        <v>0</v>
      </c>
      <c r="I816" s="9">
        <f>IF(AND($G816&lt;&gt;"",ISNUMBER(SEARCH('Nr rejestracyjny'!$F$5,$G816))),COUNT($I$1:I815)+1,"")</f>
        <v>0</v>
      </c>
    </row>
    <row r="817" spans="6:9">
      <c r="F817" s="7">
        <f>IF('W rejestracji'!$C$824="","",'W rejestracji'!$C$824)</f>
        <v>0</v>
      </c>
      <c r="G817" s="7">
        <f>IF(Zarejestrowane!$C$824="","",Zarejestrowane!$C$824)</f>
        <v>0</v>
      </c>
      <c r="H817" s="9">
        <f>IF(AND($F817&lt;&gt;"",ISNUMBER(SEARCH('Nr rejestracyjny'!$F$5,$F817))),COUNT($H$1:H816)+1,"")</f>
        <v>0</v>
      </c>
      <c r="I817" s="9">
        <f>IF(AND($G817&lt;&gt;"",ISNUMBER(SEARCH('Nr rejestracyjny'!$F$5,$G817))),COUNT($I$1:I816)+1,"")</f>
        <v>0</v>
      </c>
    </row>
    <row r="818" spans="6:9">
      <c r="F818" s="7">
        <f>IF('W rejestracji'!$C$825="","",'W rejestracji'!$C$825)</f>
        <v>0</v>
      </c>
      <c r="G818" s="7">
        <f>IF(Zarejestrowane!$C$825="","",Zarejestrowane!$C$825)</f>
        <v>0</v>
      </c>
      <c r="H818" s="9">
        <f>IF(AND($F818&lt;&gt;"",ISNUMBER(SEARCH('Nr rejestracyjny'!$F$5,$F818))),COUNT($H$1:H817)+1,"")</f>
        <v>0</v>
      </c>
      <c r="I818" s="9">
        <f>IF(AND($G818&lt;&gt;"",ISNUMBER(SEARCH('Nr rejestracyjny'!$F$5,$G818))),COUNT($I$1:I817)+1,"")</f>
        <v>0</v>
      </c>
    </row>
    <row r="819" spans="6:9">
      <c r="F819" s="7">
        <f>IF('W rejestracji'!$C$826="","",'W rejestracji'!$C$826)</f>
        <v>0</v>
      </c>
      <c r="G819" s="7">
        <f>IF(Zarejestrowane!$C$826="","",Zarejestrowane!$C$826)</f>
        <v>0</v>
      </c>
      <c r="H819" s="9">
        <f>IF(AND($F819&lt;&gt;"",ISNUMBER(SEARCH('Nr rejestracyjny'!$F$5,$F819))),COUNT($H$1:H818)+1,"")</f>
        <v>0</v>
      </c>
      <c r="I819" s="9">
        <f>IF(AND($G819&lt;&gt;"",ISNUMBER(SEARCH('Nr rejestracyjny'!$F$5,$G819))),COUNT($I$1:I818)+1,"")</f>
        <v>0</v>
      </c>
    </row>
    <row r="820" spans="6:9">
      <c r="F820" s="7">
        <f>IF('W rejestracji'!$C$827="","",'W rejestracji'!$C$827)</f>
        <v>0</v>
      </c>
      <c r="G820" s="7">
        <f>IF(Zarejestrowane!$C$827="","",Zarejestrowane!$C$827)</f>
        <v>0</v>
      </c>
      <c r="H820" s="9">
        <f>IF(AND($F820&lt;&gt;"",ISNUMBER(SEARCH('Nr rejestracyjny'!$F$5,$F820))),COUNT($H$1:H819)+1,"")</f>
        <v>0</v>
      </c>
      <c r="I820" s="9">
        <f>IF(AND($G820&lt;&gt;"",ISNUMBER(SEARCH('Nr rejestracyjny'!$F$5,$G820))),COUNT($I$1:I819)+1,"")</f>
        <v>0</v>
      </c>
    </row>
    <row r="821" spans="6:9">
      <c r="F821" s="7">
        <f>IF('W rejestracji'!$C$828="","",'W rejestracji'!$C$828)</f>
        <v>0</v>
      </c>
      <c r="G821" s="7">
        <f>IF(Zarejestrowane!$C$828="","",Zarejestrowane!$C$828)</f>
        <v>0</v>
      </c>
      <c r="H821" s="9">
        <f>IF(AND($F821&lt;&gt;"",ISNUMBER(SEARCH('Nr rejestracyjny'!$F$5,$F821))),COUNT($H$1:H820)+1,"")</f>
        <v>0</v>
      </c>
      <c r="I821" s="9">
        <f>IF(AND($G821&lt;&gt;"",ISNUMBER(SEARCH('Nr rejestracyjny'!$F$5,$G821))),COUNT($I$1:I820)+1,"")</f>
        <v>0</v>
      </c>
    </row>
    <row r="822" spans="6:9">
      <c r="F822" s="7">
        <f>IF('W rejestracji'!$C$829="","",'W rejestracji'!$C$829)</f>
        <v>0</v>
      </c>
      <c r="G822" s="7">
        <f>IF(Zarejestrowane!$C$829="","",Zarejestrowane!$C$829)</f>
        <v>0</v>
      </c>
      <c r="H822" s="9">
        <f>IF(AND($F822&lt;&gt;"",ISNUMBER(SEARCH('Nr rejestracyjny'!$F$5,$F822))),COUNT($H$1:H821)+1,"")</f>
        <v>0</v>
      </c>
      <c r="I822" s="9">
        <f>IF(AND($G822&lt;&gt;"",ISNUMBER(SEARCH('Nr rejestracyjny'!$F$5,$G822))),COUNT($I$1:I821)+1,"")</f>
        <v>0</v>
      </c>
    </row>
    <row r="823" spans="6:9">
      <c r="F823" s="7">
        <f>IF('W rejestracji'!$C$830="","",'W rejestracji'!$C$830)</f>
        <v>0</v>
      </c>
      <c r="G823" s="7">
        <f>IF(Zarejestrowane!$C$830="","",Zarejestrowane!$C$830)</f>
        <v>0</v>
      </c>
      <c r="H823" s="9">
        <f>IF(AND($F823&lt;&gt;"",ISNUMBER(SEARCH('Nr rejestracyjny'!$F$5,$F823))),COUNT($H$1:H822)+1,"")</f>
        <v>0</v>
      </c>
      <c r="I823" s="9">
        <f>IF(AND($G823&lt;&gt;"",ISNUMBER(SEARCH('Nr rejestracyjny'!$F$5,$G823))),COUNT($I$1:I822)+1,"")</f>
        <v>0</v>
      </c>
    </row>
    <row r="824" spans="6:9">
      <c r="F824" s="7">
        <f>IF('W rejestracji'!$C$831="","",'W rejestracji'!$C$831)</f>
        <v>0</v>
      </c>
      <c r="G824" s="7">
        <f>IF(Zarejestrowane!$C$831="","",Zarejestrowane!$C$831)</f>
        <v>0</v>
      </c>
      <c r="H824" s="9">
        <f>IF(AND($F824&lt;&gt;"",ISNUMBER(SEARCH('Nr rejestracyjny'!$F$5,$F824))),COUNT($H$1:H823)+1,"")</f>
        <v>0</v>
      </c>
      <c r="I824" s="9">
        <f>IF(AND($G824&lt;&gt;"",ISNUMBER(SEARCH('Nr rejestracyjny'!$F$5,$G824))),COUNT($I$1:I823)+1,"")</f>
        <v>0</v>
      </c>
    </row>
    <row r="825" spans="6:9">
      <c r="F825" s="7">
        <f>IF('W rejestracji'!$C$832="","",'W rejestracji'!$C$832)</f>
        <v>0</v>
      </c>
      <c r="G825" s="7">
        <f>IF(Zarejestrowane!$C$832="","",Zarejestrowane!$C$832)</f>
        <v>0</v>
      </c>
      <c r="H825" s="9">
        <f>IF(AND($F825&lt;&gt;"",ISNUMBER(SEARCH('Nr rejestracyjny'!$F$5,$F825))),COUNT($H$1:H824)+1,"")</f>
        <v>0</v>
      </c>
      <c r="I825" s="9">
        <f>IF(AND($G825&lt;&gt;"",ISNUMBER(SEARCH('Nr rejestracyjny'!$F$5,$G825))),COUNT($I$1:I824)+1,"")</f>
        <v>0</v>
      </c>
    </row>
    <row r="826" spans="6:9">
      <c r="F826" s="7">
        <f>IF('W rejestracji'!$C$833="","",'W rejestracji'!$C$833)</f>
        <v>0</v>
      </c>
      <c r="G826" s="7">
        <f>IF(Zarejestrowane!$C$833="","",Zarejestrowane!$C$833)</f>
        <v>0</v>
      </c>
      <c r="H826" s="9">
        <f>IF(AND($F826&lt;&gt;"",ISNUMBER(SEARCH('Nr rejestracyjny'!$F$5,$F826))),COUNT($H$1:H825)+1,"")</f>
        <v>0</v>
      </c>
      <c r="I826" s="9">
        <f>IF(AND($G826&lt;&gt;"",ISNUMBER(SEARCH('Nr rejestracyjny'!$F$5,$G826))),COUNT($I$1:I825)+1,"")</f>
        <v>0</v>
      </c>
    </row>
    <row r="827" spans="6:9">
      <c r="F827" s="7">
        <f>IF('W rejestracji'!$C$834="","",'W rejestracji'!$C$834)</f>
        <v>0</v>
      </c>
      <c r="G827" s="7">
        <f>IF(Zarejestrowane!$C$834="","",Zarejestrowane!$C$834)</f>
        <v>0</v>
      </c>
      <c r="H827" s="9">
        <f>IF(AND($F827&lt;&gt;"",ISNUMBER(SEARCH('Nr rejestracyjny'!$F$5,$F827))),COUNT($H$1:H826)+1,"")</f>
        <v>0</v>
      </c>
      <c r="I827" s="9">
        <f>IF(AND($G827&lt;&gt;"",ISNUMBER(SEARCH('Nr rejestracyjny'!$F$5,$G827))),COUNT($I$1:I826)+1,"")</f>
        <v>0</v>
      </c>
    </row>
    <row r="828" spans="6:9">
      <c r="F828" s="7">
        <f>IF('W rejestracji'!$C$835="","",'W rejestracji'!$C$835)</f>
        <v>0</v>
      </c>
      <c r="G828" s="7">
        <f>IF(Zarejestrowane!$C$835="","",Zarejestrowane!$C$835)</f>
        <v>0</v>
      </c>
      <c r="H828" s="9">
        <f>IF(AND($F828&lt;&gt;"",ISNUMBER(SEARCH('Nr rejestracyjny'!$F$5,$F828))),COUNT($H$1:H827)+1,"")</f>
        <v>0</v>
      </c>
      <c r="I828" s="9">
        <f>IF(AND($G828&lt;&gt;"",ISNUMBER(SEARCH('Nr rejestracyjny'!$F$5,$G828))),COUNT($I$1:I827)+1,"")</f>
        <v>0</v>
      </c>
    </row>
    <row r="829" spans="6:9">
      <c r="F829" s="7">
        <f>IF('W rejestracji'!$C$836="","",'W rejestracji'!$C$836)</f>
        <v>0</v>
      </c>
      <c r="G829" s="7">
        <f>IF(Zarejestrowane!$C$836="","",Zarejestrowane!$C$836)</f>
        <v>0</v>
      </c>
      <c r="H829" s="9">
        <f>IF(AND($F829&lt;&gt;"",ISNUMBER(SEARCH('Nr rejestracyjny'!$F$5,$F829))),COUNT($H$1:H828)+1,"")</f>
        <v>0</v>
      </c>
      <c r="I829" s="9">
        <f>IF(AND($G829&lt;&gt;"",ISNUMBER(SEARCH('Nr rejestracyjny'!$F$5,$G829))),COUNT($I$1:I828)+1,"")</f>
        <v>0</v>
      </c>
    </row>
    <row r="830" spans="6:9">
      <c r="F830" s="7">
        <f>IF('W rejestracji'!$C$837="","",'W rejestracji'!$C$837)</f>
        <v>0</v>
      </c>
      <c r="G830" s="7">
        <f>IF(Zarejestrowane!$C$837="","",Zarejestrowane!$C$837)</f>
        <v>0</v>
      </c>
      <c r="H830" s="9">
        <f>IF(AND($F830&lt;&gt;"",ISNUMBER(SEARCH('Nr rejestracyjny'!$F$5,$F830))),COUNT($H$1:H829)+1,"")</f>
        <v>0</v>
      </c>
      <c r="I830" s="9">
        <f>IF(AND($G830&lt;&gt;"",ISNUMBER(SEARCH('Nr rejestracyjny'!$F$5,$G830))),COUNT($I$1:I829)+1,"")</f>
        <v>0</v>
      </c>
    </row>
    <row r="831" spans="6:9">
      <c r="F831" s="7">
        <f>IF('W rejestracji'!$C$838="","",'W rejestracji'!$C$838)</f>
        <v>0</v>
      </c>
      <c r="G831" s="7">
        <f>IF(Zarejestrowane!$C$838="","",Zarejestrowane!$C$838)</f>
        <v>0</v>
      </c>
      <c r="H831" s="9">
        <f>IF(AND($F831&lt;&gt;"",ISNUMBER(SEARCH('Nr rejestracyjny'!$F$5,$F831))),COUNT($H$1:H830)+1,"")</f>
        <v>0</v>
      </c>
      <c r="I831" s="9">
        <f>IF(AND($G831&lt;&gt;"",ISNUMBER(SEARCH('Nr rejestracyjny'!$F$5,$G831))),COUNT($I$1:I830)+1,"")</f>
        <v>0</v>
      </c>
    </row>
    <row r="832" spans="6:9">
      <c r="F832" s="7">
        <f>IF('W rejestracji'!$C$839="","",'W rejestracji'!$C$839)</f>
        <v>0</v>
      </c>
      <c r="G832" s="7">
        <f>IF(Zarejestrowane!$C$839="","",Zarejestrowane!$C$839)</f>
        <v>0</v>
      </c>
      <c r="H832" s="9">
        <f>IF(AND($F832&lt;&gt;"",ISNUMBER(SEARCH('Nr rejestracyjny'!$F$5,$F832))),COUNT($H$1:H831)+1,"")</f>
        <v>0</v>
      </c>
      <c r="I832" s="9">
        <f>IF(AND($G832&lt;&gt;"",ISNUMBER(SEARCH('Nr rejestracyjny'!$F$5,$G832))),COUNT($I$1:I831)+1,"")</f>
        <v>0</v>
      </c>
    </row>
    <row r="833" spans="6:9">
      <c r="F833" s="7">
        <f>IF('W rejestracji'!$C$840="","",'W rejestracji'!$C$840)</f>
        <v>0</v>
      </c>
      <c r="G833" s="7">
        <f>IF(Zarejestrowane!$C$840="","",Zarejestrowane!$C$840)</f>
        <v>0</v>
      </c>
      <c r="H833" s="9">
        <f>IF(AND($F833&lt;&gt;"",ISNUMBER(SEARCH('Nr rejestracyjny'!$F$5,$F833))),COUNT($H$1:H832)+1,"")</f>
        <v>0</v>
      </c>
      <c r="I833" s="9">
        <f>IF(AND($G833&lt;&gt;"",ISNUMBER(SEARCH('Nr rejestracyjny'!$F$5,$G833))),COUNT($I$1:I832)+1,"")</f>
        <v>0</v>
      </c>
    </row>
    <row r="834" spans="6:9">
      <c r="F834" s="7">
        <f>IF('W rejestracji'!$C$841="","",'W rejestracji'!$C$841)</f>
        <v>0</v>
      </c>
      <c r="G834" s="7">
        <f>IF(Zarejestrowane!$C$841="","",Zarejestrowane!$C$841)</f>
        <v>0</v>
      </c>
      <c r="H834" s="9">
        <f>IF(AND($F834&lt;&gt;"",ISNUMBER(SEARCH('Nr rejestracyjny'!$F$5,$F834))),COUNT($H$1:H833)+1,"")</f>
        <v>0</v>
      </c>
      <c r="I834" s="9">
        <f>IF(AND($G834&lt;&gt;"",ISNUMBER(SEARCH('Nr rejestracyjny'!$F$5,$G834))),COUNT($I$1:I833)+1,"")</f>
        <v>0</v>
      </c>
    </row>
    <row r="835" spans="6:9">
      <c r="F835" s="7">
        <f>IF('W rejestracji'!$C$842="","",'W rejestracji'!$C$842)</f>
        <v>0</v>
      </c>
      <c r="G835" s="7">
        <f>IF(Zarejestrowane!$C$842="","",Zarejestrowane!$C$842)</f>
        <v>0</v>
      </c>
      <c r="H835" s="9">
        <f>IF(AND($F835&lt;&gt;"",ISNUMBER(SEARCH('Nr rejestracyjny'!$F$5,$F835))),COUNT($H$1:H834)+1,"")</f>
        <v>0</v>
      </c>
      <c r="I835" s="9">
        <f>IF(AND($G835&lt;&gt;"",ISNUMBER(SEARCH('Nr rejestracyjny'!$F$5,$G835))),COUNT($I$1:I834)+1,"")</f>
        <v>0</v>
      </c>
    </row>
    <row r="836" spans="6:9">
      <c r="F836" s="7">
        <f>IF('W rejestracji'!$C$843="","",'W rejestracji'!$C$843)</f>
        <v>0</v>
      </c>
      <c r="G836" s="7">
        <f>IF(Zarejestrowane!$C$843="","",Zarejestrowane!$C$843)</f>
        <v>0</v>
      </c>
      <c r="H836" s="9">
        <f>IF(AND($F836&lt;&gt;"",ISNUMBER(SEARCH('Nr rejestracyjny'!$F$5,$F836))),COUNT($H$1:H835)+1,"")</f>
        <v>0</v>
      </c>
      <c r="I836" s="9">
        <f>IF(AND($G836&lt;&gt;"",ISNUMBER(SEARCH('Nr rejestracyjny'!$F$5,$G836))),COUNT($I$1:I835)+1,"")</f>
        <v>0</v>
      </c>
    </row>
    <row r="837" spans="6:9">
      <c r="F837" s="7">
        <f>IF('W rejestracji'!$C$844="","",'W rejestracji'!$C$844)</f>
        <v>0</v>
      </c>
      <c r="G837" s="7">
        <f>IF(Zarejestrowane!$C$844="","",Zarejestrowane!$C$844)</f>
        <v>0</v>
      </c>
      <c r="H837" s="9">
        <f>IF(AND($F837&lt;&gt;"",ISNUMBER(SEARCH('Nr rejestracyjny'!$F$5,$F837))),COUNT($H$1:H836)+1,"")</f>
        <v>0</v>
      </c>
      <c r="I837" s="9">
        <f>IF(AND($G837&lt;&gt;"",ISNUMBER(SEARCH('Nr rejestracyjny'!$F$5,$G837))),COUNT($I$1:I836)+1,"")</f>
        <v>0</v>
      </c>
    </row>
    <row r="838" spans="6:9">
      <c r="F838" s="7">
        <f>IF('W rejestracji'!$C$845="","",'W rejestracji'!$C$845)</f>
        <v>0</v>
      </c>
      <c r="G838" s="7">
        <f>IF(Zarejestrowane!$C$845="","",Zarejestrowane!$C$845)</f>
        <v>0</v>
      </c>
      <c r="H838" s="9">
        <f>IF(AND($F838&lt;&gt;"",ISNUMBER(SEARCH('Nr rejestracyjny'!$F$5,$F838))),COUNT($H$1:H837)+1,"")</f>
        <v>0</v>
      </c>
      <c r="I838" s="9">
        <f>IF(AND($G838&lt;&gt;"",ISNUMBER(SEARCH('Nr rejestracyjny'!$F$5,$G838))),COUNT($I$1:I837)+1,"")</f>
        <v>0</v>
      </c>
    </row>
    <row r="839" spans="6:9">
      <c r="F839" s="7">
        <f>IF('W rejestracji'!$C$846="","",'W rejestracji'!$C$846)</f>
        <v>0</v>
      </c>
      <c r="G839" s="7">
        <f>IF(Zarejestrowane!$C$846="","",Zarejestrowane!$C$846)</f>
        <v>0</v>
      </c>
      <c r="H839" s="9">
        <f>IF(AND($F839&lt;&gt;"",ISNUMBER(SEARCH('Nr rejestracyjny'!$F$5,$F839))),COUNT($H$1:H838)+1,"")</f>
        <v>0</v>
      </c>
      <c r="I839" s="9">
        <f>IF(AND($G839&lt;&gt;"",ISNUMBER(SEARCH('Nr rejestracyjny'!$F$5,$G839))),COUNT($I$1:I838)+1,"")</f>
        <v>0</v>
      </c>
    </row>
    <row r="840" spans="6:9">
      <c r="F840" s="7">
        <f>IF('W rejestracji'!$C$847="","",'W rejestracji'!$C$847)</f>
        <v>0</v>
      </c>
      <c r="G840" s="7">
        <f>IF(Zarejestrowane!$C$847="","",Zarejestrowane!$C$847)</f>
        <v>0</v>
      </c>
      <c r="H840" s="9">
        <f>IF(AND($F840&lt;&gt;"",ISNUMBER(SEARCH('Nr rejestracyjny'!$F$5,$F840))),COUNT($H$1:H839)+1,"")</f>
        <v>0</v>
      </c>
      <c r="I840" s="9">
        <f>IF(AND($G840&lt;&gt;"",ISNUMBER(SEARCH('Nr rejestracyjny'!$F$5,$G840))),COUNT($I$1:I839)+1,"")</f>
        <v>0</v>
      </c>
    </row>
    <row r="841" spans="6:9">
      <c r="F841" s="7">
        <f>IF('W rejestracji'!$C$848="","",'W rejestracji'!$C$848)</f>
        <v>0</v>
      </c>
      <c r="G841" s="7">
        <f>IF(Zarejestrowane!$C$848="","",Zarejestrowane!$C$848)</f>
        <v>0</v>
      </c>
      <c r="H841" s="9">
        <f>IF(AND($F841&lt;&gt;"",ISNUMBER(SEARCH('Nr rejestracyjny'!$F$5,$F841))),COUNT($H$1:H840)+1,"")</f>
        <v>0</v>
      </c>
      <c r="I841" s="9">
        <f>IF(AND($G841&lt;&gt;"",ISNUMBER(SEARCH('Nr rejestracyjny'!$F$5,$G841))),COUNT($I$1:I840)+1,"")</f>
        <v>0</v>
      </c>
    </row>
    <row r="842" spans="6:9">
      <c r="F842" s="7">
        <f>IF('W rejestracji'!$C$849="","",'W rejestracji'!$C$849)</f>
        <v>0</v>
      </c>
      <c r="G842" s="7">
        <f>IF(Zarejestrowane!$C$849="","",Zarejestrowane!$C$849)</f>
        <v>0</v>
      </c>
      <c r="H842" s="9">
        <f>IF(AND($F842&lt;&gt;"",ISNUMBER(SEARCH('Nr rejestracyjny'!$F$5,$F842))),COUNT($H$1:H841)+1,"")</f>
        <v>0</v>
      </c>
      <c r="I842" s="9">
        <f>IF(AND($G842&lt;&gt;"",ISNUMBER(SEARCH('Nr rejestracyjny'!$F$5,$G842))),COUNT($I$1:I841)+1,"")</f>
        <v>0</v>
      </c>
    </row>
    <row r="843" spans="6:9">
      <c r="F843" s="7">
        <f>IF('W rejestracji'!$C$850="","",'W rejestracji'!$C$850)</f>
        <v>0</v>
      </c>
      <c r="G843" s="7">
        <f>IF(Zarejestrowane!$C$850="","",Zarejestrowane!$C$850)</f>
        <v>0</v>
      </c>
      <c r="H843" s="9">
        <f>IF(AND($F843&lt;&gt;"",ISNUMBER(SEARCH('Nr rejestracyjny'!$F$5,$F843))),COUNT($H$1:H842)+1,"")</f>
        <v>0</v>
      </c>
      <c r="I843" s="9">
        <f>IF(AND($G843&lt;&gt;"",ISNUMBER(SEARCH('Nr rejestracyjny'!$F$5,$G843))),COUNT($I$1:I842)+1,"")</f>
        <v>0</v>
      </c>
    </row>
    <row r="844" spans="6:9">
      <c r="F844" s="7">
        <f>IF('W rejestracji'!$C$851="","",'W rejestracji'!$C$851)</f>
        <v>0</v>
      </c>
      <c r="G844" s="7">
        <f>IF(Zarejestrowane!$C$851="","",Zarejestrowane!$C$851)</f>
        <v>0</v>
      </c>
      <c r="H844" s="9">
        <f>IF(AND($F844&lt;&gt;"",ISNUMBER(SEARCH('Nr rejestracyjny'!$F$5,$F844))),COUNT($H$1:H843)+1,"")</f>
        <v>0</v>
      </c>
      <c r="I844" s="9">
        <f>IF(AND($G844&lt;&gt;"",ISNUMBER(SEARCH('Nr rejestracyjny'!$F$5,$G844))),COUNT($I$1:I843)+1,"")</f>
        <v>0</v>
      </c>
    </row>
    <row r="845" spans="6:9">
      <c r="F845" s="7">
        <f>IF('W rejestracji'!$C$852="","",'W rejestracji'!$C$852)</f>
        <v>0</v>
      </c>
      <c r="G845" s="7">
        <f>IF(Zarejestrowane!$C$852="","",Zarejestrowane!$C$852)</f>
        <v>0</v>
      </c>
      <c r="H845" s="9">
        <f>IF(AND($F845&lt;&gt;"",ISNUMBER(SEARCH('Nr rejestracyjny'!$F$5,$F845))),COUNT($H$1:H844)+1,"")</f>
        <v>0</v>
      </c>
      <c r="I845" s="9">
        <f>IF(AND($G845&lt;&gt;"",ISNUMBER(SEARCH('Nr rejestracyjny'!$F$5,$G845))),COUNT($I$1:I844)+1,"")</f>
        <v>0</v>
      </c>
    </row>
    <row r="846" spans="6:9">
      <c r="F846" s="7">
        <f>IF('W rejestracji'!$C$853="","",'W rejestracji'!$C$853)</f>
        <v>0</v>
      </c>
      <c r="G846" s="7">
        <f>IF(Zarejestrowane!$C$853="","",Zarejestrowane!$C$853)</f>
        <v>0</v>
      </c>
      <c r="H846" s="9">
        <f>IF(AND($F846&lt;&gt;"",ISNUMBER(SEARCH('Nr rejestracyjny'!$F$5,$F846))),COUNT($H$1:H845)+1,"")</f>
        <v>0</v>
      </c>
      <c r="I846" s="9">
        <f>IF(AND($G846&lt;&gt;"",ISNUMBER(SEARCH('Nr rejestracyjny'!$F$5,$G846))),COUNT($I$1:I845)+1,"")</f>
        <v>0</v>
      </c>
    </row>
    <row r="847" spans="6:9">
      <c r="F847" s="7">
        <f>IF('W rejestracji'!$C$854="","",'W rejestracji'!$C$854)</f>
        <v>0</v>
      </c>
      <c r="G847" s="7">
        <f>IF(Zarejestrowane!$C$854="","",Zarejestrowane!$C$854)</f>
        <v>0</v>
      </c>
      <c r="H847" s="9">
        <f>IF(AND($F847&lt;&gt;"",ISNUMBER(SEARCH('Nr rejestracyjny'!$F$5,$F847))),COUNT($H$1:H846)+1,"")</f>
        <v>0</v>
      </c>
      <c r="I847" s="9">
        <f>IF(AND($G847&lt;&gt;"",ISNUMBER(SEARCH('Nr rejestracyjny'!$F$5,$G847))),COUNT($I$1:I846)+1,"")</f>
        <v>0</v>
      </c>
    </row>
    <row r="848" spans="6:9">
      <c r="F848" s="7">
        <f>IF('W rejestracji'!$C$855="","",'W rejestracji'!$C$855)</f>
        <v>0</v>
      </c>
      <c r="G848" s="7">
        <f>IF(Zarejestrowane!$C$855="","",Zarejestrowane!$C$855)</f>
        <v>0</v>
      </c>
      <c r="H848" s="9">
        <f>IF(AND($F848&lt;&gt;"",ISNUMBER(SEARCH('Nr rejestracyjny'!$F$5,$F848))),COUNT($H$1:H847)+1,"")</f>
        <v>0</v>
      </c>
      <c r="I848" s="9">
        <f>IF(AND($G848&lt;&gt;"",ISNUMBER(SEARCH('Nr rejestracyjny'!$F$5,$G848))),COUNT($I$1:I847)+1,"")</f>
        <v>0</v>
      </c>
    </row>
    <row r="849" spans="6:9">
      <c r="F849" s="7">
        <f>IF('W rejestracji'!$C$856="","",'W rejestracji'!$C$856)</f>
        <v>0</v>
      </c>
      <c r="G849" s="7">
        <f>IF(Zarejestrowane!$C$856="","",Zarejestrowane!$C$856)</f>
        <v>0</v>
      </c>
      <c r="H849" s="9">
        <f>IF(AND($F849&lt;&gt;"",ISNUMBER(SEARCH('Nr rejestracyjny'!$F$5,$F849))),COUNT($H$1:H848)+1,"")</f>
        <v>0</v>
      </c>
      <c r="I849" s="9">
        <f>IF(AND($G849&lt;&gt;"",ISNUMBER(SEARCH('Nr rejestracyjny'!$F$5,$G849))),COUNT($I$1:I848)+1,"")</f>
        <v>0</v>
      </c>
    </row>
    <row r="850" spans="6:9">
      <c r="F850" s="7">
        <f>IF('W rejestracji'!$C$857="","",'W rejestracji'!$C$857)</f>
        <v>0</v>
      </c>
      <c r="G850" s="7">
        <f>IF(Zarejestrowane!$C$857="","",Zarejestrowane!$C$857)</f>
        <v>0</v>
      </c>
      <c r="H850" s="9">
        <f>IF(AND($F850&lt;&gt;"",ISNUMBER(SEARCH('Nr rejestracyjny'!$F$5,$F850))),COUNT($H$1:H849)+1,"")</f>
        <v>0</v>
      </c>
      <c r="I850" s="9">
        <f>IF(AND($G850&lt;&gt;"",ISNUMBER(SEARCH('Nr rejestracyjny'!$F$5,$G850))),COUNT($I$1:I849)+1,"")</f>
        <v>0</v>
      </c>
    </row>
    <row r="851" spans="6:9">
      <c r="F851" s="7">
        <f>IF('W rejestracji'!$C$858="","",'W rejestracji'!$C$858)</f>
        <v>0</v>
      </c>
      <c r="G851" s="7">
        <f>IF(Zarejestrowane!$C$858="","",Zarejestrowane!$C$858)</f>
        <v>0</v>
      </c>
      <c r="H851" s="9">
        <f>IF(AND($F851&lt;&gt;"",ISNUMBER(SEARCH('Nr rejestracyjny'!$F$5,$F851))),COUNT($H$1:H850)+1,"")</f>
        <v>0</v>
      </c>
      <c r="I851" s="9">
        <f>IF(AND($G851&lt;&gt;"",ISNUMBER(SEARCH('Nr rejestracyjny'!$F$5,$G851))),COUNT($I$1:I850)+1,"")</f>
        <v>0</v>
      </c>
    </row>
    <row r="852" spans="6:9">
      <c r="F852" s="7">
        <f>IF('W rejestracji'!$C$859="","",'W rejestracji'!$C$859)</f>
        <v>0</v>
      </c>
      <c r="G852" s="7">
        <f>IF(Zarejestrowane!$C$859="","",Zarejestrowane!$C$859)</f>
        <v>0</v>
      </c>
      <c r="H852" s="9">
        <f>IF(AND($F852&lt;&gt;"",ISNUMBER(SEARCH('Nr rejestracyjny'!$F$5,$F852))),COUNT($H$1:H851)+1,"")</f>
        <v>0</v>
      </c>
      <c r="I852" s="9">
        <f>IF(AND($G852&lt;&gt;"",ISNUMBER(SEARCH('Nr rejestracyjny'!$F$5,$G852))),COUNT($I$1:I851)+1,"")</f>
        <v>0</v>
      </c>
    </row>
    <row r="853" spans="6:9">
      <c r="F853" s="7">
        <f>IF('W rejestracji'!$C$860="","",'W rejestracji'!$C$860)</f>
        <v>0</v>
      </c>
      <c r="G853" s="7">
        <f>IF(Zarejestrowane!$C$860="","",Zarejestrowane!$C$860)</f>
        <v>0</v>
      </c>
      <c r="H853" s="9">
        <f>IF(AND($F853&lt;&gt;"",ISNUMBER(SEARCH('Nr rejestracyjny'!$F$5,$F853))),COUNT($H$1:H852)+1,"")</f>
        <v>0</v>
      </c>
      <c r="I853" s="9">
        <f>IF(AND($G853&lt;&gt;"",ISNUMBER(SEARCH('Nr rejestracyjny'!$F$5,$G853))),COUNT($I$1:I852)+1,"")</f>
        <v>0</v>
      </c>
    </row>
    <row r="854" spans="6:9">
      <c r="F854" s="7">
        <f>IF('W rejestracji'!$C$861="","",'W rejestracji'!$C$861)</f>
        <v>0</v>
      </c>
      <c r="G854" s="7">
        <f>IF(Zarejestrowane!$C$861="","",Zarejestrowane!$C$861)</f>
        <v>0</v>
      </c>
      <c r="H854" s="9">
        <f>IF(AND($F854&lt;&gt;"",ISNUMBER(SEARCH('Nr rejestracyjny'!$F$5,$F854))),COUNT($H$1:H853)+1,"")</f>
        <v>0</v>
      </c>
      <c r="I854" s="9">
        <f>IF(AND($G854&lt;&gt;"",ISNUMBER(SEARCH('Nr rejestracyjny'!$F$5,$G854))),COUNT($I$1:I853)+1,"")</f>
        <v>0</v>
      </c>
    </row>
    <row r="855" spans="6:9">
      <c r="F855" s="7">
        <f>IF('W rejestracji'!$C$862="","",'W rejestracji'!$C$862)</f>
        <v>0</v>
      </c>
      <c r="G855" s="7">
        <f>IF(Zarejestrowane!$C$862="","",Zarejestrowane!$C$862)</f>
        <v>0</v>
      </c>
      <c r="H855" s="9">
        <f>IF(AND($F855&lt;&gt;"",ISNUMBER(SEARCH('Nr rejestracyjny'!$F$5,$F855))),COUNT($H$1:H854)+1,"")</f>
        <v>0</v>
      </c>
      <c r="I855" s="9">
        <f>IF(AND($G855&lt;&gt;"",ISNUMBER(SEARCH('Nr rejestracyjny'!$F$5,$G855))),COUNT($I$1:I854)+1,"")</f>
        <v>0</v>
      </c>
    </row>
    <row r="856" spans="6:9">
      <c r="F856" s="7">
        <f>IF('W rejestracji'!$C$863="","",'W rejestracji'!$C$863)</f>
        <v>0</v>
      </c>
      <c r="G856" s="7">
        <f>IF(Zarejestrowane!$C$863="","",Zarejestrowane!$C$863)</f>
        <v>0</v>
      </c>
      <c r="H856" s="9">
        <f>IF(AND($F856&lt;&gt;"",ISNUMBER(SEARCH('Nr rejestracyjny'!$F$5,$F856))),COUNT($H$1:H855)+1,"")</f>
        <v>0</v>
      </c>
      <c r="I856" s="9">
        <f>IF(AND($G856&lt;&gt;"",ISNUMBER(SEARCH('Nr rejestracyjny'!$F$5,$G856))),COUNT($I$1:I855)+1,"")</f>
        <v>0</v>
      </c>
    </row>
    <row r="857" spans="6:9">
      <c r="F857" s="7">
        <f>IF('W rejestracji'!$C$864="","",'W rejestracji'!$C$864)</f>
        <v>0</v>
      </c>
      <c r="G857" s="7">
        <f>IF(Zarejestrowane!$C$864="","",Zarejestrowane!$C$864)</f>
        <v>0</v>
      </c>
      <c r="H857" s="9">
        <f>IF(AND($F857&lt;&gt;"",ISNUMBER(SEARCH('Nr rejestracyjny'!$F$5,$F857))),COUNT($H$1:H856)+1,"")</f>
        <v>0</v>
      </c>
      <c r="I857" s="9">
        <f>IF(AND($G857&lt;&gt;"",ISNUMBER(SEARCH('Nr rejestracyjny'!$F$5,$G857))),COUNT($I$1:I856)+1,"")</f>
        <v>0</v>
      </c>
    </row>
    <row r="858" spans="6:9">
      <c r="F858" s="7">
        <f>IF('W rejestracji'!$C$865="","",'W rejestracji'!$C$865)</f>
        <v>0</v>
      </c>
      <c r="G858" s="7">
        <f>IF(Zarejestrowane!$C$865="","",Zarejestrowane!$C$865)</f>
        <v>0</v>
      </c>
      <c r="H858" s="9">
        <f>IF(AND($F858&lt;&gt;"",ISNUMBER(SEARCH('Nr rejestracyjny'!$F$5,$F858))),COUNT($H$1:H857)+1,"")</f>
        <v>0</v>
      </c>
      <c r="I858" s="9">
        <f>IF(AND($G858&lt;&gt;"",ISNUMBER(SEARCH('Nr rejestracyjny'!$F$5,$G858))),COUNT($I$1:I857)+1,"")</f>
        <v>0</v>
      </c>
    </row>
    <row r="859" spans="6:9">
      <c r="F859" s="7">
        <f>IF('W rejestracji'!$C$866="","",'W rejestracji'!$C$866)</f>
        <v>0</v>
      </c>
      <c r="G859" s="7">
        <f>IF(Zarejestrowane!$C$866="","",Zarejestrowane!$C$866)</f>
        <v>0</v>
      </c>
      <c r="H859" s="9">
        <f>IF(AND($F859&lt;&gt;"",ISNUMBER(SEARCH('Nr rejestracyjny'!$F$5,$F859))),COUNT($H$1:H858)+1,"")</f>
        <v>0</v>
      </c>
      <c r="I859" s="9">
        <f>IF(AND($G859&lt;&gt;"",ISNUMBER(SEARCH('Nr rejestracyjny'!$F$5,$G859))),COUNT($I$1:I858)+1,"")</f>
        <v>0</v>
      </c>
    </row>
    <row r="860" spans="6:9">
      <c r="F860" s="7">
        <f>IF('W rejestracji'!$C$867="","",'W rejestracji'!$C$867)</f>
        <v>0</v>
      </c>
      <c r="G860" s="7">
        <f>IF(Zarejestrowane!$C$867="","",Zarejestrowane!$C$867)</f>
        <v>0</v>
      </c>
      <c r="H860" s="9">
        <f>IF(AND($F860&lt;&gt;"",ISNUMBER(SEARCH('Nr rejestracyjny'!$F$5,$F860))),COUNT($H$1:H859)+1,"")</f>
        <v>0</v>
      </c>
      <c r="I860" s="9">
        <f>IF(AND($G860&lt;&gt;"",ISNUMBER(SEARCH('Nr rejestracyjny'!$F$5,$G860))),COUNT($I$1:I859)+1,"")</f>
        <v>0</v>
      </c>
    </row>
    <row r="861" spans="6:9">
      <c r="F861" s="7">
        <f>IF('W rejestracji'!$C$868="","",'W rejestracji'!$C$868)</f>
        <v>0</v>
      </c>
      <c r="G861" s="7">
        <f>IF(Zarejestrowane!$C$868="","",Zarejestrowane!$C$868)</f>
        <v>0</v>
      </c>
      <c r="H861" s="9">
        <f>IF(AND($F861&lt;&gt;"",ISNUMBER(SEARCH('Nr rejestracyjny'!$F$5,$F861))),COUNT($H$1:H860)+1,"")</f>
        <v>0</v>
      </c>
      <c r="I861" s="9">
        <f>IF(AND($G861&lt;&gt;"",ISNUMBER(SEARCH('Nr rejestracyjny'!$F$5,$G861))),COUNT($I$1:I860)+1,"")</f>
        <v>0</v>
      </c>
    </row>
    <row r="862" spans="6:9">
      <c r="F862" s="7">
        <f>IF('W rejestracji'!$C$869="","",'W rejestracji'!$C$869)</f>
        <v>0</v>
      </c>
      <c r="G862" s="7">
        <f>IF(Zarejestrowane!$C$869="","",Zarejestrowane!$C$869)</f>
        <v>0</v>
      </c>
      <c r="H862" s="9">
        <f>IF(AND($F862&lt;&gt;"",ISNUMBER(SEARCH('Nr rejestracyjny'!$F$5,$F862))),COUNT($H$1:H861)+1,"")</f>
        <v>0</v>
      </c>
      <c r="I862" s="9">
        <f>IF(AND($G862&lt;&gt;"",ISNUMBER(SEARCH('Nr rejestracyjny'!$F$5,$G862))),COUNT($I$1:I861)+1,"")</f>
        <v>0</v>
      </c>
    </row>
    <row r="863" spans="6:9">
      <c r="F863" s="7">
        <f>IF('W rejestracji'!$C$870="","",'W rejestracji'!$C$870)</f>
        <v>0</v>
      </c>
      <c r="G863" s="7">
        <f>IF(Zarejestrowane!$C$870="","",Zarejestrowane!$C$870)</f>
        <v>0</v>
      </c>
      <c r="H863" s="9">
        <f>IF(AND($F863&lt;&gt;"",ISNUMBER(SEARCH('Nr rejestracyjny'!$F$5,$F863))),COUNT($H$1:H862)+1,"")</f>
        <v>0</v>
      </c>
      <c r="I863" s="9">
        <f>IF(AND($G863&lt;&gt;"",ISNUMBER(SEARCH('Nr rejestracyjny'!$F$5,$G863))),COUNT($I$1:I862)+1,"")</f>
        <v>0</v>
      </c>
    </row>
    <row r="864" spans="6:9">
      <c r="F864" s="7">
        <f>IF('W rejestracji'!$C$871="","",'W rejestracji'!$C$871)</f>
        <v>0</v>
      </c>
      <c r="G864" s="7">
        <f>IF(Zarejestrowane!$C$871="","",Zarejestrowane!$C$871)</f>
        <v>0</v>
      </c>
      <c r="H864" s="9">
        <f>IF(AND($F864&lt;&gt;"",ISNUMBER(SEARCH('Nr rejestracyjny'!$F$5,$F864))),COUNT($H$1:H863)+1,"")</f>
        <v>0</v>
      </c>
      <c r="I864" s="9">
        <f>IF(AND($G864&lt;&gt;"",ISNUMBER(SEARCH('Nr rejestracyjny'!$F$5,$G864))),COUNT($I$1:I863)+1,"")</f>
        <v>0</v>
      </c>
    </row>
    <row r="865" spans="6:9">
      <c r="F865" s="7">
        <f>IF('W rejestracji'!$C$872="","",'W rejestracji'!$C$872)</f>
        <v>0</v>
      </c>
      <c r="G865" s="7">
        <f>IF(Zarejestrowane!$C$872="","",Zarejestrowane!$C$872)</f>
        <v>0</v>
      </c>
      <c r="H865" s="9">
        <f>IF(AND($F865&lt;&gt;"",ISNUMBER(SEARCH('Nr rejestracyjny'!$F$5,$F865))),COUNT($H$1:H864)+1,"")</f>
        <v>0</v>
      </c>
      <c r="I865" s="9">
        <f>IF(AND($G865&lt;&gt;"",ISNUMBER(SEARCH('Nr rejestracyjny'!$F$5,$G865))),COUNT($I$1:I864)+1,"")</f>
        <v>0</v>
      </c>
    </row>
    <row r="866" spans="6:9">
      <c r="F866" s="7">
        <f>IF('W rejestracji'!$C$873="","",'W rejestracji'!$C$873)</f>
        <v>0</v>
      </c>
      <c r="G866" s="7">
        <f>IF(Zarejestrowane!$C$873="","",Zarejestrowane!$C$873)</f>
        <v>0</v>
      </c>
      <c r="H866" s="9">
        <f>IF(AND($F866&lt;&gt;"",ISNUMBER(SEARCH('Nr rejestracyjny'!$F$5,$F866))),COUNT($H$1:H865)+1,"")</f>
        <v>0</v>
      </c>
      <c r="I866" s="9">
        <f>IF(AND($G866&lt;&gt;"",ISNUMBER(SEARCH('Nr rejestracyjny'!$F$5,$G866))),COUNT($I$1:I865)+1,"")</f>
        <v>0</v>
      </c>
    </row>
    <row r="867" spans="6:9">
      <c r="F867" s="7">
        <f>IF('W rejestracji'!$C$874="","",'W rejestracji'!$C$874)</f>
        <v>0</v>
      </c>
      <c r="G867" s="7">
        <f>IF(Zarejestrowane!$C$874="","",Zarejestrowane!$C$874)</f>
        <v>0</v>
      </c>
      <c r="H867" s="9">
        <f>IF(AND($F867&lt;&gt;"",ISNUMBER(SEARCH('Nr rejestracyjny'!$F$5,$F867))),COUNT($H$1:H866)+1,"")</f>
        <v>0</v>
      </c>
      <c r="I867" s="9">
        <f>IF(AND($G867&lt;&gt;"",ISNUMBER(SEARCH('Nr rejestracyjny'!$F$5,$G867))),COUNT($I$1:I866)+1,"")</f>
        <v>0</v>
      </c>
    </row>
    <row r="868" spans="6:9">
      <c r="F868" s="7">
        <f>IF('W rejestracji'!$C$875="","",'W rejestracji'!$C$875)</f>
        <v>0</v>
      </c>
      <c r="G868" s="7">
        <f>IF(Zarejestrowane!$C$875="","",Zarejestrowane!$C$875)</f>
        <v>0</v>
      </c>
      <c r="H868" s="9">
        <f>IF(AND($F868&lt;&gt;"",ISNUMBER(SEARCH('Nr rejestracyjny'!$F$5,$F868))),COUNT($H$1:H867)+1,"")</f>
        <v>0</v>
      </c>
      <c r="I868" s="9">
        <f>IF(AND($G868&lt;&gt;"",ISNUMBER(SEARCH('Nr rejestracyjny'!$F$5,$G868))),COUNT($I$1:I867)+1,"")</f>
        <v>0</v>
      </c>
    </row>
    <row r="869" spans="6:9">
      <c r="F869" s="7">
        <f>IF('W rejestracji'!$C$876="","",'W rejestracji'!$C$876)</f>
        <v>0</v>
      </c>
      <c r="G869" s="7">
        <f>IF(Zarejestrowane!$C$876="","",Zarejestrowane!$C$876)</f>
        <v>0</v>
      </c>
      <c r="H869" s="9">
        <f>IF(AND($F869&lt;&gt;"",ISNUMBER(SEARCH('Nr rejestracyjny'!$F$5,$F869))),COUNT($H$1:H868)+1,"")</f>
        <v>0</v>
      </c>
      <c r="I869" s="9">
        <f>IF(AND($G869&lt;&gt;"",ISNUMBER(SEARCH('Nr rejestracyjny'!$F$5,$G869))),COUNT($I$1:I868)+1,"")</f>
        <v>0</v>
      </c>
    </row>
    <row r="870" spans="6:9">
      <c r="F870" s="7">
        <f>IF('W rejestracji'!$C$877="","",'W rejestracji'!$C$877)</f>
        <v>0</v>
      </c>
      <c r="G870" s="7">
        <f>IF(Zarejestrowane!$C$877="","",Zarejestrowane!$C$877)</f>
        <v>0</v>
      </c>
      <c r="H870" s="9">
        <f>IF(AND($F870&lt;&gt;"",ISNUMBER(SEARCH('Nr rejestracyjny'!$F$5,$F870))),COUNT($H$1:H869)+1,"")</f>
        <v>0</v>
      </c>
      <c r="I870" s="9">
        <f>IF(AND($G870&lt;&gt;"",ISNUMBER(SEARCH('Nr rejestracyjny'!$F$5,$G870))),COUNT($I$1:I869)+1,"")</f>
        <v>0</v>
      </c>
    </row>
    <row r="871" spans="6:9">
      <c r="F871" s="7">
        <f>IF('W rejestracji'!$C$878="","",'W rejestracji'!$C$878)</f>
        <v>0</v>
      </c>
      <c r="G871" s="7">
        <f>IF(Zarejestrowane!$C$878="","",Zarejestrowane!$C$878)</f>
        <v>0</v>
      </c>
      <c r="H871" s="9">
        <f>IF(AND($F871&lt;&gt;"",ISNUMBER(SEARCH('Nr rejestracyjny'!$F$5,$F871))),COUNT($H$1:H870)+1,"")</f>
        <v>0</v>
      </c>
      <c r="I871" s="9">
        <f>IF(AND($G871&lt;&gt;"",ISNUMBER(SEARCH('Nr rejestracyjny'!$F$5,$G871))),COUNT($I$1:I870)+1,"")</f>
        <v>0</v>
      </c>
    </row>
    <row r="872" spans="6:9">
      <c r="F872" s="7">
        <f>IF('W rejestracji'!$C$879="","",'W rejestracji'!$C$879)</f>
        <v>0</v>
      </c>
      <c r="G872" s="7">
        <f>IF(Zarejestrowane!$C$879="","",Zarejestrowane!$C$879)</f>
        <v>0</v>
      </c>
      <c r="H872" s="9">
        <f>IF(AND($F872&lt;&gt;"",ISNUMBER(SEARCH('Nr rejestracyjny'!$F$5,$F872))),COUNT($H$1:H871)+1,"")</f>
        <v>0</v>
      </c>
      <c r="I872" s="9">
        <f>IF(AND($G872&lt;&gt;"",ISNUMBER(SEARCH('Nr rejestracyjny'!$F$5,$G872))),COUNT($I$1:I871)+1,"")</f>
        <v>0</v>
      </c>
    </row>
    <row r="873" spans="6:9">
      <c r="F873" s="7">
        <f>IF('W rejestracji'!$C$880="","",'W rejestracji'!$C$880)</f>
        <v>0</v>
      </c>
      <c r="G873" s="7">
        <f>IF(Zarejestrowane!$C$880="","",Zarejestrowane!$C$880)</f>
        <v>0</v>
      </c>
      <c r="H873" s="9">
        <f>IF(AND($F873&lt;&gt;"",ISNUMBER(SEARCH('Nr rejestracyjny'!$F$5,$F873))),COUNT($H$1:H872)+1,"")</f>
        <v>0</v>
      </c>
      <c r="I873" s="9">
        <f>IF(AND($G873&lt;&gt;"",ISNUMBER(SEARCH('Nr rejestracyjny'!$F$5,$G873))),COUNT($I$1:I872)+1,"")</f>
        <v>0</v>
      </c>
    </row>
    <row r="874" spans="6:9">
      <c r="F874" s="7">
        <f>IF('W rejestracji'!$C$881="","",'W rejestracji'!$C$881)</f>
        <v>0</v>
      </c>
      <c r="G874" s="7">
        <f>IF(Zarejestrowane!$C$881="","",Zarejestrowane!$C$881)</f>
        <v>0</v>
      </c>
      <c r="H874" s="9">
        <f>IF(AND($F874&lt;&gt;"",ISNUMBER(SEARCH('Nr rejestracyjny'!$F$5,$F874))),COUNT($H$1:H873)+1,"")</f>
        <v>0</v>
      </c>
      <c r="I874" s="9">
        <f>IF(AND($G874&lt;&gt;"",ISNUMBER(SEARCH('Nr rejestracyjny'!$F$5,$G874))),COUNT($I$1:I873)+1,"")</f>
        <v>0</v>
      </c>
    </row>
    <row r="875" spans="6:9">
      <c r="F875" s="7">
        <f>IF('W rejestracji'!$C$882="","",'W rejestracji'!$C$882)</f>
        <v>0</v>
      </c>
      <c r="G875" s="7">
        <f>IF(Zarejestrowane!$C$882="","",Zarejestrowane!$C$882)</f>
        <v>0</v>
      </c>
      <c r="H875" s="9">
        <f>IF(AND($F875&lt;&gt;"",ISNUMBER(SEARCH('Nr rejestracyjny'!$F$5,$F875))),COUNT($H$1:H874)+1,"")</f>
        <v>0</v>
      </c>
      <c r="I875" s="9">
        <f>IF(AND($G875&lt;&gt;"",ISNUMBER(SEARCH('Nr rejestracyjny'!$F$5,$G875))),COUNT($I$1:I874)+1,"")</f>
        <v>0</v>
      </c>
    </row>
    <row r="876" spans="6:9">
      <c r="F876" s="7">
        <f>IF('W rejestracji'!$C$883="","",'W rejestracji'!$C$883)</f>
        <v>0</v>
      </c>
      <c r="G876" s="7">
        <f>IF(Zarejestrowane!$C$883="","",Zarejestrowane!$C$883)</f>
        <v>0</v>
      </c>
      <c r="H876" s="9">
        <f>IF(AND($F876&lt;&gt;"",ISNUMBER(SEARCH('Nr rejestracyjny'!$F$5,$F876))),COUNT($H$1:H875)+1,"")</f>
        <v>0</v>
      </c>
      <c r="I876" s="9">
        <f>IF(AND($G876&lt;&gt;"",ISNUMBER(SEARCH('Nr rejestracyjny'!$F$5,$G876))),COUNT($I$1:I875)+1,"")</f>
        <v>0</v>
      </c>
    </row>
    <row r="877" spans="6:9">
      <c r="F877" s="7">
        <f>IF('W rejestracji'!$C$884="","",'W rejestracji'!$C$884)</f>
        <v>0</v>
      </c>
      <c r="G877" s="7">
        <f>IF(Zarejestrowane!$C$884="","",Zarejestrowane!$C$884)</f>
        <v>0</v>
      </c>
      <c r="H877" s="9">
        <f>IF(AND($F877&lt;&gt;"",ISNUMBER(SEARCH('Nr rejestracyjny'!$F$5,$F877))),COUNT($H$1:H876)+1,"")</f>
        <v>0</v>
      </c>
      <c r="I877" s="9">
        <f>IF(AND($G877&lt;&gt;"",ISNUMBER(SEARCH('Nr rejestracyjny'!$F$5,$G877))),COUNT($I$1:I876)+1,"")</f>
        <v>0</v>
      </c>
    </row>
    <row r="878" spans="6:9">
      <c r="F878" s="7">
        <f>IF('W rejestracji'!$C$885="","",'W rejestracji'!$C$885)</f>
        <v>0</v>
      </c>
      <c r="G878" s="7">
        <f>IF(Zarejestrowane!$C$885="","",Zarejestrowane!$C$885)</f>
        <v>0</v>
      </c>
      <c r="H878" s="9">
        <f>IF(AND($F878&lt;&gt;"",ISNUMBER(SEARCH('Nr rejestracyjny'!$F$5,$F878))),COUNT($H$1:H877)+1,"")</f>
        <v>0</v>
      </c>
      <c r="I878" s="9">
        <f>IF(AND($G878&lt;&gt;"",ISNUMBER(SEARCH('Nr rejestracyjny'!$F$5,$G878))),COUNT($I$1:I877)+1,"")</f>
        <v>0</v>
      </c>
    </row>
    <row r="879" spans="6:9">
      <c r="F879" s="7">
        <f>IF('W rejestracji'!$C$886="","",'W rejestracji'!$C$886)</f>
        <v>0</v>
      </c>
      <c r="G879" s="7">
        <f>IF(Zarejestrowane!$C$886="","",Zarejestrowane!$C$886)</f>
        <v>0</v>
      </c>
      <c r="H879" s="9">
        <f>IF(AND($F879&lt;&gt;"",ISNUMBER(SEARCH('Nr rejestracyjny'!$F$5,$F879))),COUNT($H$1:H878)+1,"")</f>
        <v>0</v>
      </c>
      <c r="I879" s="9">
        <f>IF(AND($G879&lt;&gt;"",ISNUMBER(SEARCH('Nr rejestracyjny'!$F$5,$G879))),COUNT($I$1:I878)+1,"")</f>
        <v>0</v>
      </c>
    </row>
    <row r="880" spans="6:9">
      <c r="F880" s="7">
        <f>IF('W rejestracji'!$C$887="","",'W rejestracji'!$C$887)</f>
        <v>0</v>
      </c>
      <c r="G880" s="7">
        <f>IF(Zarejestrowane!$C$887="","",Zarejestrowane!$C$887)</f>
        <v>0</v>
      </c>
      <c r="H880" s="9">
        <f>IF(AND($F880&lt;&gt;"",ISNUMBER(SEARCH('Nr rejestracyjny'!$F$5,$F880))),COUNT($H$1:H879)+1,"")</f>
        <v>0</v>
      </c>
      <c r="I880" s="9">
        <f>IF(AND($G880&lt;&gt;"",ISNUMBER(SEARCH('Nr rejestracyjny'!$F$5,$G880))),COUNT($I$1:I879)+1,"")</f>
        <v>0</v>
      </c>
    </row>
    <row r="881" spans="6:9">
      <c r="F881" s="7">
        <f>IF('W rejestracji'!$C$888="","",'W rejestracji'!$C$888)</f>
        <v>0</v>
      </c>
      <c r="G881" s="7">
        <f>IF(Zarejestrowane!$C$888="","",Zarejestrowane!$C$888)</f>
        <v>0</v>
      </c>
      <c r="H881" s="9">
        <f>IF(AND($F881&lt;&gt;"",ISNUMBER(SEARCH('Nr rejestracyjny'!$F$5,$F881))),COUNT($H$1:H880)+1,"")</f>
        <v>0</v>
      </c>
      <c r="I881" s="9">
        <f>IF(AND($G881&lt;&gt;"",ISNUMBER(SEARCH('Nr rejestracyjny'!$F$5,$G881))),COUNT($I$1:I880)+1,"")</f>
        <v>0</v>
      </c>
    </row>
    <row r="882" spans="6:9">
      <c r="F882" s="7">
        <f>IF('W rejestracji'!$C$889="","",'W rejestracji'!$C$889)</f>
        <v>0</v>
      </c>
      <c r="G882" s="7">
        <f>IF(Zarejestrowane!$C$889="","",Zarejestrowane!$C$889)</f>
        <v>0</v>
      </c>
      <c r="H882" s="9">
        <f>IF(AND($F882&lt;&gt;"",ISNUMBER(SEARCH('Nr rejestracyjny'!$F$5,$F882))),COUNT($H$1:H881)+1,"")</f>
        <v>0</v>
      </c>
      <c r="I882" s="9">
        <f>IF(AND($G882&lt;&gt;"",ISNUMBER(SEARCH('Nr rejestracyjny'!$F$5,$G882))),COUNT($I$1:I881)+1,"")</f>
        <v>0</v>
      </c>
    </row>
    <row r="883" spans="6:9">
      <c r="F883" s="7">
        <f>IF('W rejestracji'!$C$890="","",'W rejestracji'!$C$890)</f>
        <v>0</v>
      </c>
      <c r="G883" s="7">
        <f>IF(Zarejestrowane!$C$890="","",Zarejestrowane!$C$890)</f>
        <v>0</v>
      </c>
      <c r="H883" s="9">
        <f>IF(AND($F883&lt;&gt;"",ISNUMBER(SEARCH('Nr rejestracyjny'!$F$5,$F883))),COUNT($H$1:H882)+1,"")</f>
        <v>0</v>
      </c>
      <c r="I883" s="9">
        <f>IF(AND($G883&lt;&gt;"",ISNUMBER(SEARCH('Nr rejestracyjny'!$F$5,$G883))),COUNT($I$1:I882)+1,"")</f>
        <v>0</v>
      </c>
    </row>
    <row r="884" spans="6:9">
      <c r="F884" s="7">
        <f>IF('W rejestracji'!$C$891="","",'W rejestracji'!$C$891)</f>
        <v>0</v>
      </c>
      <c r="G884" s="7">
        <f>IF(Zarejestrowane!$C$891="","",Zarejestrowane!$C$891)</f>
        <v>0</v>
      </c>
      <c r="H884" s="9">
        <f>IF(AND($F884&lt;&gt;"",ISNUMBER(SEARCH('Nr rejestracyjny'!$F$5,$F884))),COUNT($H$1:H883)+1,"")</f>
        <v>0</v>
      </c>
      <c r="I884" s="9">
        <f>IF(AND($G884&lt;&gt;"",ISNUMBER(SEARCH('Nr rejestracyjny'!$F$5,$G884))),COUNT($I$1:I883)+1,"")</f>
        <v>0</v>
      </c>
    </row>
    <row r="885" spans="6:9">
      <c r="F885" s="7">
        <f>IF('W rejestracji'!$C$892="","",'W rejestracji'!$C$892)</f>
        <v>0</v>
      </c>
      <c r="G885" s="7">
        <f>IF(Zarejestrowane!$C$892="","",Zarejestrowane!$C$892)</f>
        <v>0</v>
      </c>
      <c r="H885" s="9">
        <f>IF(AND($F885&lt;&gt;"",ISNUMBER(SEARCH('Nr rejestracyjny'!$F$5,$F885))),COUNT($H$1:H884)+1,"")</f>
        <v>0</v>
      </c>
      <c r="I885" s="9">
        <f>IF(AND($G885&lt;&gt;"",ISNUMBER(SEARCH('Nr rejestracyjny'!$F$5,$G885))),COUNT($I$1:I884)+1,"")</f>
        <v>0</v>
      </c>
    </row>
    <row r="886" spans="6:9">
      <c r="F886" s="7">
        <f>IF('W rejestracji'!$C$893="","",'W rejestracji'!$C$893)</f>
        <v>0</v>
      </c>
      <c r="G886" s="7">
        <f>IF(Zarejestrowane!$C$893="","",Zarejestrowane!$C$893)</f>
        <v>0</v>
      </c>
      <c r="H886" s="9">
        <f>IF(AND($F886&lt;&gt;"",ISNUMBER(SEARCH('Nr rejestracyjny'!$F$5,$F886))),COUNT($H$1:H885)+1,"")</f>
        <v>0</v>
      </c>
      <c r="I886" s="9">
        <f>IF(AND($G886&lt;&gt;"",ISNUMBER(SEARCH('Nr rejestracyjny'!$F$5,$G886))),COUNT($I$1:I885)+1,"")</f>
        <v>0</v>
      </c>
    </row>
    <row r="887" spans="6:9">
      <c r="F887" s="7">
        <f>IF('W rejestracji'!$C$894="","",'W rejestracji'!$C$894)</f>
        <v>0</v>
      </c>
      <c r="G887" s="7">
        <f>IF(Zarejestrowane!$C$894="","",Zarejestrowane!$C$894)</f>
        <v>0</v>
      </c>
      <c r="H887" s="9">
        <f>IF(AND($F887&lt;&gt;"",ISNUMBER(SEARCH('Nr rejestracyjny'!$F$5,$F887))),COUNT($H$1:H886)+1,"")</f>
        <v>0</v>
      </c>
      <c r="I887" s="9">
        <f>IF(AND($G887&lt;&gt;"",ISNUMBER(SEARCH('Nr rejestracyjny'!$F$5,$G887))),COUNT($I$1:I886)+1,"")</f>
        <v>0</v>
      </c>
    </row>
    <row r="888" spans="6:9">
      <c r="F888" s="7">
        <f>IF('W rejestracji'!$C$895="","",'W rejestracji'!$C$895)</f>
        <v>0</v>
      </c>
      <c r="G888" s="7">
        <f>IF(Zarejestrowane!$C$895="","",Zarejestrowane!$C$895)</f>
        <v>0</v>
      </c>
      <c r="H888" s="9">
        <f>IF(AND($F888&lt;&gt;"",ISNUMBER(SEARCH('Nr rejestracyjny'!$F$5,$F888))),COUNT($H$1:H887)+1,"")</f>
        <v>0</v>
      </c>
      <c r="I888" s="9">
        <f>IF(AND($G888&lt;&gt;"",ISNUMBER(SEARCH('Nr rejestracyjny'!$F$5,$G888))),COUNT($I$1:I887)+1,"")</f>
        <v>0</v>
      </c>
    </row>
    <row r="889" spans="6:9">
      <c r="F889" s="7">
        <f>IF('W rejestracji'!$C$896="","",'W rejestracji'!$C$896)</f>
        <v>0</v>
      </c>
      <c r="G889" s="7">
        <f>IF(Zarejestrowane!$C$896="","",Zarejestrowane!$C$896)</f>
        <v>0</v>
      </c>
      <c r="H889" s="9">
        <f>IF(AND($F889&lt;&gt;"",ISNUMBER(SEARCH('Nr rejestracyjny'!$F$5,$F889))),COUNT($H$1:H888)+1,"")</f>
        <v>0</v>
      </c>
      <c r="I889" s="9">
        <f>IF(AND($G889&lt;&gt;"",ISNUMBER(SEARCH('Nr rejestracyjny'!$F$5,$G889))),COUNT($I$1:I888)+1,"")</f>
        <v>0</v>
      </c>
    </row>
    <row r="890" spans="6:9">
      <c r="F890" s="7">
        <f>IF('W rejestracji'!$C$897="","",'W rejestracji'!$C$897)</f>
        <v>0</v>
      </c>
      <c r="G890" s="7">
        <f>IF(Zarejestrowane!$C$897="","",Zarejestrowane!$C$897)</f>
        <v>0</v>
      </c>
      <c r="H890" s="9">
        <f>IF(AND($F890&lt;&gt;"",ISNUMBER(SEARCH('Nr rejestracyjny'!$F$5,$F890))),COUNT($H$1:H889)+1,"")</f>
        <v>0</v>
      </c>
      <c r="I890" s="9">
        <f>IF(AND($G890&lt;&gt;"",ISNUMBER(SEARCH('Nr rejestracyjny'!$F$5,$G890))),COUNT($I$1:I889)+1,"")</f>
        <v>0</v>
      </c>
    </row>
    <row r="891" spans="6:9">
      <c r="F891" s="7">
        <f>IF('W rejestracji'!$C$898="","",'W rejestracji'!$C$898)</f>
        <v>0</v>
      </c>
      <c r="G891" s="7">
        <f>IF(Zarejestrowane!$C$898="","",Zarejestrowane!$C$898)</f>
        <v>0</v>
      </c>
      <c r="H891" s="9">
        <f>IF(AND($F891&lt;&gt;"",ISNUMBER(SEARCH('Nr rejestracyjny'!$F$5,$F891))),COUNT($H$1:H890)+1,"")</f>
        <v>0</v>
      </c>
      <c r="I891" s="9">
        <f>IF(AND($G891&lt;&gt;"",ISNUMBER(SEARCH('Nr rejestracyjny'!$F$5,$G891))),COUNT($I$1:I890)+1,"")</f>
        <v>0</v>
      </c>
    </row>
    <row r="892" spans="6:9">
      <c r="F892" s="7">
        <f>IF('W rejestracji'!$C$899="","",'W rejestracji'!$C$899)</f>
        <v>0</v>
      </c>
      <c r="G892" s="7">
        <f>IF(Zarejestrowane!$C$899="","",Zarejestrowane!$C$899)</f>
        <v>0</v>
      </c>
      <c r="H892" s="9">
        <f>IF(AND($F892&lt;&gt;"",ISNUMBER(SEARCH('Nr rejestracyjny'!$F$5,$F892))),COUNT($H$1:H891)+1,"")</f>
        <v>0</v>
      </c>
      <c r="I892" s="9">
        <f>IF(AND($G892&lt;&gt;"",ISNUMBER(SEARCH('Nr rejestracyjny'!$F$5,$G892))),COUNT($I$1:I891)+1,"")</f>
        <v>0</v>
      </c>
    </row>
    <row r="893" spans="6:9">
      <c r="F893" s="7">
        <f>IF('W rejestracji'!$C$900="","",'W rejestracji'!$C$900)</f>
        <v>0</v>
      </c>
      <c r="G893" s="7">
        <f>IF(Zarejestrowane!$C$900="","",Zarejestrowane!$C$900)</f>
        <v>0</v>
      </c>
      <c r="H893" s="9">
        <f>IF(AND($F893&lt;&gt;"",ISNUMBER(SEARCH('Nr rejestracyjny'!$F$5,$F893))),COUNT($H$1:H892)+1,"")</f>
        <v>0</v>
      </c>
      <c r="I893" s="9">
        <f>IF(AND($G893&lt;&gt;"",ISNUMBER(SEARCH('Nr rejestracyjny'!$F$5,$G893))),COUNT($I$1:I892)+1,"")</f>
        <v>0</v>
      </c>
    </row>
    <row r="894" spans="6:9">
      <c r="F894" s="7">
        <f>IF('W rejestracji'!$C$901="","",'W rejestracji'!$C$901)</f>
        <v>0</v>
      </c>
      <c r="G894" s="7">
        <f>IF(Zarejestrowane!$C$901="","",Zarejestrowane!$C$901)</f>
        <v>0</v>
      </c>
      <c r="H894" s="9">
        <f>IF(AND($F894&lt;&gt;"",ISNUMBER(SEARCH('Nr rejestracyjny'!$F$5,$F894))),COUNT($H$1:H893)+1,"")</f>
        <v>0</v>
      </c>
      <c r="I894" s="9">
        <f>IF(AND($G894&lt;&gt;"",ISNUMBER(SEARCH('Nr rejestracyjny'!$F$5,$G894))),COUNT($I$1:I893)+1,"")</f>
        <v>0</v>
      </c>
    </row>
    <row r="895" spans="6:9">
      <c r="F895" s="7">
        <f>IF('W rejestracji'!$C$902="","",'W rejestracji'!$C$902)</f>
        <v>0</v>
      </c>
      <c r="G895" s="7">
        <f>IF(Zarejestrowane!$C$902="","",Zarejestrowane!$C$902)</f>
        <v>0</v>
      </c>
      <c r="H895" s="9">
        <f>IF(AND($F895&lt;&gt;"",ISNUMBER(SEARCH('Nr rejestracyjny'!$F$5,$F895))),COUNT($H$1:H894)+1,"")</f>
        <v>0</v>
      </c>
      <c r="I895" s="9">
        <f>IF(AND($G895&lt;&gt;"",ISNUMBER(SEARCH('Nr rejestracyjny'!$F$5,$G895))),COUNT($I$1:I894)+1,"")</f>
        <v>0</v>
      </c>
    </row>
    <row r="896" spans="6:9">
      <c r="F896" s="7">
        <f>IF('W rejestracji'!$C$903="","",'W rejestracji'!$C$903)</f>
        <v>0</v>
      </c>
      <c r="G896" s="7">
        <f>IF(Zarejestrowane!$C$903="","",Zarejestrowane!$C$903)</f>
        <v>0</v>
      </c>
      <c r="H896" s="9">
        <f>IF(AND($F896&lt;&gt;"",ISNUMBER(SEARCH('Nr rejestracyjny'!$F$5,$F896))),COUNT($H$1:H895)+1,"")</f>
        <v>0</v>
      </c>
      <c r="I896" s="9">
        <f>IF(AND($G896&lt;&gt;"",ISNUMBER(SEARCH('Nr rejestracyjny'!$F$5,$G896))),COUNT($I$1:I895)+1,"")</f>
        <v>0</v>
      </c>
    </row>
    <row r="897" spans="6:9">
      <c r="F897" s="7">
        <f>IF('W rejestracji'!$C$904="","",'W rejestracji'!$C$904)</f>
        <v>0</v>
      </c>
      <c r="G897" s="7">
        <f>IF(Zarejestrowane!$C$904="","",Zarejestrowane!$C$904)</f>
        <v>0</v>
      </c>
      <c r="H897" s="9">
        <f>IF(AND($F897&lt;&gt;"",ISNUMBER(SEARCH('Nr rejestracyjny'!$F$5,$F897))),COUNT($H$1:H896)+1,"")</f>
        <v>0</v>
      </c>
      <c r="I897" s="9">
        <f>IF(AND($G897&lt;&gt;"",ISNUMBER(SEARCH('Nr rejestracyjny'!$F$5,$G897))),COUNT($I$1:I896)+1,"")</f>
        <v>0</v>
      </c>
    </row>
    <row r="898" spans="6:9">
      <c r="F898" s="7">
        <f>IF('W rejestracji'!$C$905="","",'W rejestracji'!$C$905)</f>
        <v>0</v>
      </c>
      <c r="G898" s="7">
        <f>IF(Zarejestrowane!$C$905="","",Zarejestrowane!$C$905)</f>
        <v>0</v>
      </c>
      <c r="H898" s="9">
        <f>IF(AND($F898&lt;&gt;"",ISNUMBER(SEARCH('Nr rejestracyjny'!$F$5,$F898))),COUNT($H$1:H897)+1,"")</f>
        <v>0</v>
      </c>
      <c r="I898" s="9">
        <f>IF(AND($G898&lt;&gt;"",ISNUMBER(SEARCH('Nr rejestracyjny'!$F$5,$G898))),COUNT($I$1:I897)+1,"")</f>
        <v>0</v>
      </c>
    </row>
    <row r="899" spans="6:9">
      <c r="F899" s="7">
        <f>IF('W rejestracji'!$C$906="","",'W rejestracji'!$C$906)</f>
        <v>0</v>
      </c>
      <c r="G899" s="7">
        <f>IF(Zarejestrowane!$C$906="","",Zarejestrowane!$C$906)</f>
        <v>0</v>
      </c>
      <c r="H899" s="9">
        <f>IF(AND($F899&lt;&gt;"",ISNUMBER(SEARCH('Nr rejestracyjny'!$F$5,$F899))),COUNT($H$1:H898)+1,"")</f>
        <v>0</v>
      </c>
      <c r="I899" s="9">
        <f>IF(AND($G899&lt;&gt;"",ISNUMBER(SEARCH('Nr rejestracyjny'!$F$5,$G899))),COUNT($I$1:I898)+1,"")</f>
        <v>0</v>
      </c>
    </row>
    <row r="900" spans="6:9">
      <c r="F900" s="7">
        <f>IF('W rejestracji'!$C$907="","",'W rejestracji'!$C$907)</f>
        <v>0</v>
      </c>
      <c r="G900" s="7">
        <f>IF(Zarejestrowane!$C$907="","",Zarejestrowane!$C$907)</f>
        <v>0</v>
      </c>
      <c r="H900" s="9">
        <f>IF(AND($F900&lt;&gt;"",ISNUMBER(SEARCH('Nr rejestracyjny'!$F$5,$F900))),COUNT($H$1:H899)+1,"")</f>
        <v>0</v>
      </c>
      <c r="I900" s="9">
        <f>IF(AND($G900&lt;&gt;"",ISNUMBER(SEARCH('Nr rejestracyjny'!$F$5,$G900))),COUNT($I$1:I899)+1,"")</f>
        <v>0</v>
      </c>
    </row>
    <row r="901" spans="6:9">
      <c r="F901" s="7">
        <f>IF('W rejestracji'!$C$908="","",'W rejestracji'!$C$908)</f>
        <v>0</v>
      </c>
      <c r="G901" s="7">
        <f>IF(Zarejestrowane!$C$908="","",Zarejestrowane!$C$908)</f>
        <v>0</v>
      </c>
      <c r="H901" s="9">
        <f>IF(AND($F901&lt;&gt;"",ISNUMBER(SEARCH('Nr rejestracyjny'!$F$5,$F901))),COUNT($H$1:H900)+1,"")</f>
        <v>0</v>
      </c>
      <c r="I901" s="9">
        <f>IF(AND($G901&lt;&gt;"",ISNUMBER(SEARCH('Nr rejestracyjny'!$F$5,$G901))),COUNT($I$1:I900)+1,"")</f>
        <v>0</v>
      </c>
    </row>
    <row r="902" spans="6:9">
      <c r="F902" s="7">
        <f>IF('W rejestracji'!$C$909="","",'W rejestracji'!$C$909)</f>
        <v>0</v>
      </c>
      <c r="G902" s="7">
        <f>IF(Zarejestrowane!$C$909="","",Zarejestrowane!$C$909)</f>
        <v>0</v>
      </c>
      <c r="H902" s="9">
        <f>IF(AND($F902&lt;&gt;"",ISNUMBER(SEARCH('Nr rejestracyjny'!$F$5,$F902))),COUNT($H$1:H901)+1,"")</f>
        <v>0</v>
      </c>
      <c r="I902" s="9">
        <f>IF(AND($G902&lt;&gt;"",ISNUMBER(SEARCH('Nr rejestracyjny'!$F$5,$G902))),COUNT($I$1:I901)+1,"")</f>
        <v>0</v>
      </c>
    </row>
    <row r="903" spans="6:9">
      <c r="F903" s="7">
        <f>IF('W rejestracji'!$C$910="","",'W rejestracji'!$C$910)</f>
        <v>0</v>
      </c>
      <c r="G903" s="7">
        <f>IF(Zarejestrowane!$C$910="","",Zarejestrowane!$C$910)</f>
        <v>0</v>
      </c>
      <c r="H903" s="9">
        <f>IF(AND($F903&lt;&gt;"",ISNUMBER(SEARCH('Nr rejestracyjny'!$F$5,$F903))),COUNT($H$1:H902)+1,"")</f>
        <v>0</v>
      </c>
      <c r="I903" s="9">
        <f>IF(AND($G903&lt;&gt;"",ISNUMBER(SEARCH('Nr rejestracyjny'!$F$5,$G903))),COUNT($I$1:I902)+1,"")</f>
        <v>0</v>
      </c>
    </row>
    <row r="904" spans="6:9">
      <c r="F904" s="7">
        <f>IF('W rejestracji'!$C$911="","",'W rejestracji'!$C$911)</f>
        <v>0</v>
      </c>
      <c r="G904" s="7">
        <f>IF(Zarejestrowane!$C$911="","",Zarejestrowane!$C$911)</f>
        <v>0</v>
      </c>
      <c r="H904" s="9">
        <f>IF(AND($F904&lt;&gt;"",ISNUMBER(SEARCH('Nr rejestracyjny'!$F$5,$F904))),COUNT($H$1:H903)+1,"")</f>
        <v>0</v>
      </c>
      <c r="I904" s="9">
        <f>IF(AND($G904&lt;&gt;"",ISNUMBER(SEARCH('Nr rejestracyjny'!$F$5,$G904))),COUNT($I$1:I903)+1,"")</f>
        <v>0</v>
      </c>
    </row>
    <row r="905" spans="6:9">
      <c r="F905" s="7">
        <f>IF('W rejestracji'!$C$912="","",'W rejestracji'!$C$912)</f>
        <v>0</v>
      </c>
      <c r="G905" s="7">
        <f>IF(Zarejestrowane!$C$912="","",Zarejestrowane!$C$912)</f>
        <v>0</v>
      </c>
      <c r="H905" s="9">
        <f>IF(AND($F905&lt;&gt;"",ISNUMBER(SEARCH('Nr rejestracyjny'!$F$5,$F905))),COUNT($H$1:H904)+1,"")</f>
        <v>0</v>
      </c>
      <c r="I905" s="9">
        <f>IF(AND($G905&lt;&gt;"",ISNUMBER(SEARCH('Nr rejestracyjny'!$F$5,$G905))),COUNT($I$1:I904)+1,"")</f>
        <v>0</v>
      </c>
    </row>
    <row r="906" spans="6:9">
      <c r="F906" s="7">
        <f>IF('W rejestracji'!$C$913="","",'W rejestracji'!$C$913)</f>
        <v>0</v>
      </c>
      <c r="G906" s="7">
        <f>IF(Zarejestrowane!$C$913="","",Zarejestrowane!$C$913)</f>
        <v>0</v>
      </c>
      <c r="H906" s="9">
        <f>IF(AND($F906&lt;&gt;"",ISNUMBER(SEARCH('Nr rejestracyjny'!$F$5,$F906))),COUNT($H$1:H905)+1,"")</f>
        <v>0</v>
      </c>
      <c r="I906" s="9">
        <f>IF(AND($G906&lt;&gt;"",ISNUMBER(SEARCH('Nr rejestracyjny'!$F$5,$G906))),COUNT($I$1:I905)+1,"")</f>
        <v>0</v>
      </c>
    </row>
    <row r="907" spans="6:9">
      <c r="F907" s="7">
        <f>IF('W rejestracji'!$C$914="","",'W rejestracji'!$C$914)</f>
        <v>0</v>
      </c>
      <c r="G907" s="7">
        <f>IF(Zarejestrowane!$C$914="","",Zarejestrowane!$C$914)</f>
        <v>0</v>
      </c>
      <c r="H907" s="9">
        <f>IF(AND($F907&lt;&gt;"",ISNUMBER(SEARCH('Nr rejestracyjny'!$F$5,$F907))),COUNT($H$1:H906)+1,"")</f>
        <v>0</v>
      </c>
      <c r="I907" s="9">
        <f>IF(AND($G907&lt;&gt;"",ISNUMBER(SEARCH('Nr rejestracyjny'!$F$5,$G907))),COUNT($I$1:I906)+1,"")</f>
        <v>0</v>
      </c>
    </row>
    <row r="908" spans="6:9">
      <c r="F908" s="7">
        <f>IF('W rejestracji'!$C$915="","",'W rejestracji'!$C$915)</f>
        <v>0</v>
      </c>
      <c r="G908" s="7">
        <f>IF(Zarejestrowane!$C$915="","",Zarejestrowane!$C$915)</f>
        <v>0</v>
      </c>
      <c r="H908" s="9">
        <f>IF(AND($F908&lt;&gt;"",ISNUMBER(SEARCH('Nr rejestracyjny'!$F$5,$F908))),COUNT($H$1:H907)+1,"")</f>
        <v>0</v>
      </c>
      <c r="I908" s="9">
        <f>IF(AND($G908&lt;&gt;"",ISNUMBER(SEARCH('Nr rejestracyjny'!$F$5,$G908))),COUNT($I$1:I907)+1,"")</f>
        <v>0</v>
      </c>
    </row>
    <row r="909" spans="6:9">
      <c r="F909" s="7">
        <f>IF('W rejestracji'!$C$916="","",'W rejestracji'!$C$916)</f>
        <v>0</v>
      </c>
      <c r="G909" s="7">
        <f>IF(Zarejestrowane!$C$916="","",Zarejestrowane!$C$916)</f>
        <v>0</v>
      </c>
      <c r="H909" s="9">
        <f>IF(AND($F909&lt;&gt;"",ISNUMBER(SEARCH('Nr rejestracyjny'!$F$5,$F909))),COUNT($H$1:H908)+1,"")</f>
        <v>0</v>
      </c>
      <c r="I909" s="9">
        <f>IF(AND($G909&lt;&gt;"",ISNUMBER(SEARCH('Nr rejestracyjny'!$F$5,$G909))),COUNT($I$1:I908)+1,"")</f>
        <v>0</v>
      </c>
    </row>
    <row r="910" spans="6:9">
      <c r="F910" s="7">
        <f>IF('W rejestracji'!$C$917="","",'W rejestracji'!$C$917)</f>
        <v>0</v>
      </c>
      <c r="G910" s="7">
        <f>IF(Zarejestrowane!$C$917="","",Zarejestrowane!$C$917)</f>
        <v>0</v>
      </c>
      <c r="H910" s="9">
        <f>IF(AND($F910&lt;&gt;"",ISNUMBER(SEARCH('Nr rejestracyjny'!$F$5,$F910))),COUNT($H$1:H909)+1,"")</f>
        <v>0</v>
      </c>
      <c r="I910" s="9">
        <f>IF(AND($G910&lt;&gt;"",ISNUMBER(SEARCH('Nr rejestracyjny'!$F$5,$G910))),COUNT($I$1:I909)+1,"")</f>
        <v>0</v>
      </c>
    </row>
    <row r="911" spans="6:9">
      <c r="F911" s="7">
        <f>IF('W rejestracji'!$C$918="","",'W rejestracji'!$C$918)</f>
        <v>0</v>
      </c>
      <c r="G911" s="7">
        <f>IF(Zarejestrowane!$C$918="","",Zarejestrowane!$C$918)</f>
        <v>0</v>
      </c>
      <c r="H911" s="9">
        <f>IF(AND($F911&lt;&gt;"",ISNUMBER(SEARCH('Nr rejestracyjny'!$F$5,$F911))),COUNT($H$1:H910)+1,"")</f>
        <v>0</v>
      </c>
      <c r="I911" s="9">
        <f>IF(AND($G911&lt;&gt;"",ISNUMBER(SEARCH('Nr rejestracyjny'!$F$5,$G911))),COUNT($I$1:I910)+1,"")</f>
        <v>0</v>
      </c>
    </row>
    <row r="912" spans="6:9">
      <c r="F912" s="7">
        <f>IF('W rejestracji'!$C$919="","",'W rejestracji'!$C$919)</f>
        <v>0</v>
      </c>
      <c r="G912" s="7">
        <f>IF(Zarejestrowane!$C$919="","",Zarejestrowane!$C$919)</f>
        <v>0</v>
      </c>
      <c r="H912" s="9">
        <f>IF(AND($F912&lt;&gt;"",ISNUMBER(SEARCH('Nr rejestracyjny'!$F$5,$F912))),COUNT($H$1:H911)+1,"")</f>
        <v>0</v>
      </c>
      <c r="I912" s="9">
        <f>IF(AND($G912&lt;&gt;"",ISNUMBER(SEARCH('Nr rejestracyjny'!$F$5,$G912))),COUNT($I$1:I911)+1,"")</f>
        <v>0</v>
      </c>
    </row>
    <row r="913" spans="6:9">
      <c r="F913" s="7">
        <f>IF('W rejestracji'!$C$920="","",'W rejestracji'!$C$920)</f>
        <v>0</v>
      </c>
      <c r="G913" s="7">
        <f>IF(Zarejestrowane!$C$920="","",Zarejestrowane!$C$920)</f>
        <v>0</v>
      </c>
      <c r="H913" s="9">
        <f>IF(AND($F913&lt;&gt;"",ISNUMBER(SEARCH('Nr rejestracyjny'!$F$5,$F913))),COUNT($H$1:H912)+1,"")</f>
        <v>0</v>
      </c>
      <c r="I913" s="9">
        <f>IF(AND($G913&lt;&gt;"",ISNUMBER(SEARCH('Nr rejestracyjny'!$F$5,$G913))),COUNT($I$1:I912)+1,"")</f>
        <v>0</v>
      </c>
    </row>
    <row r="914" spans="6:9">
      <c r="F914" s="7">
        <f>IF('W rejestracji'!$C$921="","",'W rejestracji'!$C$921)</f>
        <v>0</v>
      </c>
      <c r="G914" s="7">
        <f>IF(Zarejestrowane!$C$921="","",Zarejestrowane!$C$921)</f>
        <v>0</v>
      </c>
      <c r="H914" s="9">
        <f>IF(AND($F914&lt;&gt;"",ISNUMBER(SEARCH('Nr rejestracyjny'!$F$5,$F914))),COUNT($H$1:H913)+1,"")</f>
        <v>0</v>
      </c>
      <c r="I914" s="9">
        <f>IF(AND($G914&lt;&gt;"",ISNUMBER(SEARCH('Nr rejestracyjny'!$F$5,$G914))),COUNT($I$1:I913)+1,"")</f>
        <v>0</v>
      </c>
    </row>
    <row r="915" spans="6:9">
      <c r="F915" s="7">
        <f>IF('W rejestracji'!$C$922="","",'W rejestracji'!$C$922)</f>
        <v>0</v>
      </c>
      <c r="G915" s="7">
        <f>IF(Zarejestrowane!$C$922="","",Zarejestrowane!$C$922)</f>
        <v>0</v>
      </c>
      <c r="H915" s="9">
        <f>IF(AND($F915&lt;&gt;"",ISNUMBER(SEARCH('Nr rejestracyjny'!$F$5,$F915))),COUNT($H$1:H914)+1,"")</f>
        <v>0</v>
      </c>
      <c r="I915" s="9">
        <f>IF(AND($G915&lt;&gt;"",ISNUMBER(SEARCH('Nr rejestracyjny'!$F$5,$G915))),COUNT($I$1:I914)+1,"")</f>
        <v>0</v>
      </c>
    </row>
    <row r="916" spans="6:9">
      <c r="F916" s="7">
        <f>IF('W rejestracji'!$C$923="","",'W rejestracji'!$C$923)</f>
        <v>0</v>
      </c>
      <c r="G916" s="7">
        <f>IF(Zarejestrowane!$C$923="","",Zarejestrowane!$C$923)</f>
        <v>0</v>
      </c>
      <c r="H916" s="9">
        <f>IF(AND($F916&lt;&gt;"",ISNUMBER(SEARCH('Nr rejestracyjny'!$F$5,$F916))),COUNT($H$1:H915)+1,"")</f>
        <v>0</v>
      </c>
      <c r="I916" s="9">
        <f>IF(AND($G916&lt;&gt;"",ISNUMBER(SEARCH('Nr rejestracyjny'!$F$5,$G916))),COUNT($I$1:I915)+1,"")</f>
        <v>0</v>
      </c>
    </row>
    <row r="917" spans="6:9">
      <c r="F917" s="7">
        <f>IF('W rejestracji'!$C$924="","",'W rejestracji'!$C$924)</f>
        <v>0</v>
      </c>
      <c r="G917" s="7">
        <f>IF(Zarejestrowane!$C$924="","",Zarejestrowane!$C$924)</f>
        <v>0</v>
      </c>
      <c r="H917" s="9">
        <f>IF(AND($F917&lt;&gt;"",ISNUMBER(SEARCH('Nr rejestracyjny'!$F$5,$F917))),COUNT($H$1:H916)+1,"")</f>
        <v>0</v>
      </c>
      <c r="I917" s="9">
        <f>IF(AND($G917&lt;&gt;"",ISNUMBER(SEARCH('Nr rejestracyjny'!$F$5,$G917))),COUNT($I$1:I916)+1,"")</f>
        <v>0</v>
      </c>
    </row>
    <row r="918" spans="6:9">
      <c r="F918" s="7">
        <f>IF('W rejestracji'!$C$925="","",'W rejestracji'!$C$925)</f>
        <v>0</v>
      </c>
      <c r="G918" s="7">
        <f>IF(Zarejestrowane!$C$925="","",Zarejestrowane!$C$925)</f>
        <v>0</v>
      </c>
      <c r="H918" s="9">
        <f>IF(AND($F918&lt;&gt;"",ISNUMBER(SEARCH('Nr rejestracyjny'!$F$5,$F918))),COUNT($H$1:H917)+1,"")</f>
        <v>0</v>
      </c>
      <c r="I918" s="9">
        <f>IF(AND($G918&lt;&gt;"",ISNUMBER(SEARCH('Nr rejestracyjny'!$F$5,$G918))),COUNT($I$1:I917)+1,"")</f>
        <v>0</v>
      </c>
    </row>
    <row r="919" spans="6:9">
      <c r="F919" s="7">
        <f>IF('W rejestracji'!$C$926="","",'W rejestracji'!$C$926)</f>
        <v>0</v>
      </c>
      <c r="G919" s="7">
        <f>IF(Zarejestrowane!$C$926="","",Zarejestrowane!$C$926)</f>
        <v>0</v>
      </c>
      <c r="H919" s="9">
        <f>IF(AND($F919&lt;&gt;"",ISNUMBER(SEARCH('Nr rejestracyjny'!$F$5,$F919))),COUNT($H$1:H918)+1,"")</f>
        <v>0</v>
      </c>
      <c r="I919" s="9">
        <f>IF(AND($G919&lt;&gt;"",ISNUMBER(SEARCH('Nr rejestracyjny'!$F$5,$G919))),COUNT($I$1:I918)+1,"")</f>
        <v>0</v>
      </c>
    </row>
    <row r="920" spans="6:9">
      <c r="F920" s="7">
        <f>IF('W rejestracji'!$C$927="","",'W rejestracji'!$C$927)</f>
        <v>0</v>
      </c>
      <c r="G920" s="7">
        <f>IF(Zarejestrowane!$C$927="","",Zarejestrowane!$C$927)</f>
        <v>0</v>
      </c>
      <c r="H920" s="9">
        <f>IF(AND($F920&lt;&gt;"",ISNUMBER(SEARCH('Nr rejestracyjny'!$F$5,$F920))),COUNT($H$1:H919)+1,"")</f>
        <v>0</v>
      </c>
      <c r="I920" s="9">
        <f>IF(AND($G920&lt;&gt;"",ISNUMBER(SEARCH('Nr rejestracyjny'!$F$5,$G920))),COUNT($I$1:I919)+1,"")</f>
        <v>0</v>
      </c>
    </row>
    <row r="921" spans="6:9">
      <c r="F921" s="7">
        <f>IF('W rejestracji'!$C$928="","",'W rejestracji'!$C$928)</f>
        <v>0</v>
      </c>
      <c r="G921" s="7">
        <f>IF(Zarejestrowane!$C$928="","",Zarejestrowane!$C$928)</f>
        <v>0</v>
      </c>
      <c r="H921" s="9">
        <f>IF(AND($F921&lt;&gt;"",ISNUMBER(SEARCH('Nr rejestracyjny'!$F$5,$F921))),COUNT($H$1:H920)+1,"")</f>
        <v>0</v>
      </c>
      <c r="I921" s="9">
        <f>IF(AND($G921&lt;&gt;"",ISNUMBER(SEARCH('Nr rejestracyjny'!$F$5,$G921))),COUNT($I$1:I920)+1,"")</f>
        <v>0</v>
      </c>
    </row>
    <row r="922" spans="6:9">
      <c r="F922" s="7">
        <f>IF('W rejestracji'!$C$929="","",'W rejestracji'!$C$929)</f>
        <v>0</v>
      </c>
      <c r="G922" s="7">
        <f>IF(Zarejestrowane!$C$929="","",Zarejestrowane!$C$929)</f>
        <v>0</v>
      </c>
      <c r="H922" s="9">
        <f>IF(AND($F922&lt;&gt;"",ISNUMBER(SEARCH('Nr rejestracyjny'!$F$5,$F922))),COUNT($H$1:H921)+1,"")</f>
        <v>0</v>
      </c>
      <c r="I922" s="9">
        <f>IF(AND($G922&lt;&gt;"",ISNUMBER(SEARCH('Nr rejestracyjny'!$F$5,$G922))),COUNT($I$1:I921)+1,"")</f>
        <v>0</v>
      </c>
    </row>
    <row r="923" spans="6:9">
      <c r="F923" s="7">
        <f>IF('W rejestracji'!$C$930="","",'W rejestracji'!$C$930)</f>
        <v>0</v>
      </c>
      <c r="G923" s="7">
        <f>IF(Zarejestrowane!$C$930="","",Zarejestrowane!$C$930)</f>
        <v>0</v>
      </c>
      <c r="H923" s="9">
        <f>IF(AND($F923&lt;&gt;"",ISNUMBER(SEARCH('Nr rejestracyjny'!$F$5,$F923))),COUNT($H$1:H922)+1,"")</f>
        <v>0</v>
      </c>
      <c r="I923" s="9">
        <f>IF(AND($G923&lt;&gt;"",ISNUMBER(SEARCH('Nr rejestracyjny'!$F$5,$G923))),COUNT($I$1:I922)+1,"")</f>
        <v>0</v>
      </c>
    </row>
    <row r="924" spans="6:9">
      <c r="F924" s="7">
        <f>IF('W rejestracji'!$C$931="","",'W rejestracji'!$C$931)</f>
        <v>0</v>
      </c>
      <c r="G924" s="7">
        <f>IF(Zarejestrowane!$C$931="","",Zarejestrowane!$C$931)</f>
        <v>0</v>
      </c>
      <c r="H924" s="9">
        <f>IF(AND($F924&lt;&gt;"",ISNUMBER(SEARCH('Nr rejestracyjny'!$F$5,$F924))),COUNT($H$1:H923)+1,"")</f>
        <v>0</v>
      </c>
      <c r="I924" s="9">
        <f>IF(AND($G924&lt;&gt;"",ISNUMBER(SEARCH('Nr rejestracyjny'!$F$5,$G924))),COUNT($I$1:I923)+1,"")</f>
        <v>0</v>
      </c>
    </row>
    <row r="925" spans="6:9">
      <c r="F925" s="7">
        <f>IF('W rejestracji'!$C$932="","",'W rejestracji'!$C$932)</f>
        <v>0</v>
      </c>
      <c r="G925" s="7">
        <f>IF(Zarejestrowane!$C$932="","",Zarejestrowane!$C$932)</f>
        <v>0</v>
      </c>
      <c r="H925" s="9">
        <f>IF(AND($F925&lt;&gt;"",ISNUMBER(SEARCH('Nr rejestracyjny'!$F$5,$F925))),COUNT($H$1:H924)+1,"")</f>
        <v>0</v>
      </c>
      <c r="I925" s="9">
        <f>IF(AND($G925&lt;&gt;"",ISNUMBER(SEARCH('Nr rejestracyjny'!$F$5,$G925))),COUNT($I$1:I924)+1,"")</f>
        <v>0</v>
      </c>
    </row>
    <row r="926" spans="6:9">
      <c r="F926" s="7">
        <f>IF('W rejestracji'!$C$933="","",'W rejestracji'!$C$933)</f>
        <v>0</v>
      </c>
      <c r="G926" s="7">
        <f>IF(Zarejestrowane!$C$933="","",Zarejestrowane!$C$933)</f>
        <v>0</v>
      </c>
      <c r="H926" s="9">
        <f>IF(AND($F926&lt;&gt;"",ISNUMBER(SEARCH('Nr rejestracyjny'!$F$5,$F926))),COUNT($H$1:H925)+1,"")</f>
        <v>0</v>
      </c>
      <c r="I926" s="9">
        <f>IF(AND($G926&lt;&gt;"",ISNUMBER(SEARCH('Nr rejestracyjny'!$F$5,$G926))),COUNT($I$1:I925)+1,"")</f>
        <v>0</v>
      </c>
    </row>
    <row r="927" spans="6:9">
      <c r="F927" s="7">
        <f>IF('W rejestracji'!$C$934="","",'W rejestracji'!$C$934)</f>
        <v>0</v>
      </c>
      <c r="G927" s="7">
        <f>IF(Zarejestrowane!$C$934="","",Zarejestrowane!$C$934)</f>
        <v>0</v>
      </c>
      <c r="H927" s="9">
        <f>IF(AND($F927&lt;&gt;"",ISNUMBER(SEARCH('Nr rejestracyjny'!$F$5,$F927))),COUNT($H$1:H926)+1,"")</f>
        <v>0</v>
      </c>
      <c r="I927" s="9">
        <f>IF(AND($G927&lt;&gt;"",ISNUMBER(SEARCH('Nr rejestracyjny'!$F$5,$G927))),COUNT($I$1:I926)+1,"")</f>
        <v>0</v>
      </c>
    </row>
    <row r="928" spans="6:9">
      <c r="F928" s="7">
        <f>IF('W rejestracji'!$C$935="","",'W rejestracji'!$C$935)</f>
        <v>0</v>
      </c>
      <c r="G928" s="7">
        <f>IF(Zarejestrowane!$C$935="","",Zarejestrowane!$C$935)</f>
        <v>0</v>
      </c>
      <c r="H928" s="9">
        <f>IF(AND($F928&lt;&gt;"",ISNUMBER(SEARCH('Nr rejestracyjny'!$F$5,$F928))),COUNT($H$1:H927)+1,"")</f>
        <v>0</v>
      </c>
      <c r="I928" s="9">
        <f>IF(AND($G928&lt;&gt;"",ISNUMBER(SEARCH('Nr rejestracyjny'!$F$5,$G928))),COUNT($I$1:I927)+1,"")</f>
        <v>0</v>
      </c>
    </row>
    <row r="929" spans="6:9">
      <c r="F929" s="7">
        <f>IF('W rejestracji'!$C$936="","",'W rejestracji'!$C$936)</f>
        <v>0</v>
      </c>
      <c r="G929" s="7">
        <f>IF(Zarejestrowane!$C$936="","",Zarejestrowane!$C$936)</f>
        <v>0</v>
      </c>
      <c r="H929" s="9">
        <f>IF(AND($F929&lt;&gt;"",ISNUMBER(SEARCH('Nr rejestracyjny'!$F$5,$F929))),COUNT($H$1:H928)+1,"")</f>
        <v>0</v>
      </c>
      <c r="I929" s="9">
        <f>IF(AND($G929&lt;&gt;"",ISNUMBER(SEARCH('Nr rejestracyjny'!$F$5,$G929))),COUNT($I$1:I928)+1,"")</f>
        <v>0</v>
      </c>
    </row>
    <row r="930" spans="6:9">
      <c r="F930" s="7">
        <f>IF('W rejestracji'!$C$937="","",'W rejestracji'!$C$937)</f>
        <v>0</v>
      </c>
      <c r="G930" s="7">
        <f>IF(Zarejestrowane!$C$937="","",Zarejestrowane!$C$937)</f>
        <v>0</v>
      </c>
      <c r="H930" s="9">
        <f>IF(AND($F930&lt;&gt;"",ISNUMBER(SEARCH('Nr rejestracyjny'!$F$5,$F930))),COUNT($H$1:H929)+1,"")</f>
        <v>0</v>
      </c>
      <c r="I930" s="9">
        <f>IF(AND($G930&lt;&gt;"",ISNUMBER(SEARCH('Nr rejestracyjny'!$F$5,$G930))),COUNT($I$1:I929)+1,"")</f>
        <v>0</v>
      </c>
    </row>
    <row r="931" spans="6:9">
      <c r="F931" s="7">
        <f>IF('W rejestracji'!$C$938="","",'W rejestracji'!$C$938)</f>
        <v>0</v>
      </c>
      <c r="G931" s="7">
        <f>IF(Zarejestrowane!$C$938="","",Zarejestrowane!$C$938)</f>
        <v>0</v>
      </c>
      <c r="H931" s="9">
        <f>IF(AND($F931&lt;&gt;"",ISNUMBER(SEARCH('Nr rejestracyjny'!$F$5,$F931))),COUNT($H$1:H930)+1,"")</f>
        <v>0</v>
      </c>
      <c r="I931" s="9">
        <f>IF(AND($G931&lt;&gt;"",ISNUMBER(SEARCH('Nr rejestracyjny'!$F$5,$G931))),COUNT($I$1:I930)+1,"")</f>
        <v>0</v>
      </c>
    </row>
    <row r="932" spans="6:9">
      <c r="F932" s="7">
        <f>IF('W rejestracji'!$C$939="","",'W rejestracji'!$C$939)</f>
        <v>0</v>
      </c>
      <c r="G932" s="7">
        <f>IF(Zarejestrowane!$C$939="","",Zarejestrowane!$C$939)</f>
        <v>0</v>
      </c>
      <c r="H932" s="9">
        <f>IF(AND($F932&lt;&gt;"",ISNUMBER(SEARCH('Nr rejestracyjny'!$F$5,$F932))),COUNT($H$1:H931)+1,"")</f>
        <v>0</v>
      </c>
      <c r="I932" s="9">
        <f>IF(AND($G932&lt;&gt;"",ISNUMBER(SEARCH('Nr rejestracyjny'!$F$5,$G932))),COUNT($I$1:I931)+1,"")</f>
        <v>0</v>
      </c>
    </row>
    <row r="933" spans="6:9">
      <c r="F933" s="7">
        <f>IF('W rejestracji'!$C$940="","",'W rejestracji'!$C$940)</f>
        <v>0</v>
      </c>
      <c r="G933" s="7">
        <f>IF(Zarejestrowane!$C$940="","",Zarejestrowane!$C$940)</f>
        <v>0</v>
      </c>
      <c r="H933" s="9">
        <f>IF(AND($F933&lt;&gt;"",ISNUMBER(SEARCH('Nr rejestracyjny'!$F$5,$F933))),COUNT($H$1:H932)+1,"")</f>
        <v>0</v>
      </c>
      <c r="I933" s="9">
        <f>IF(AND($G933&lt;&gt;"",ISNUMBER(SEARCH('Nr rejestracyjny'!$F$5,$G933))),COUNT($I$1:I932)+1,"")</f>
        <v>0</v>
      </c>
    </row>
    <row r="934" spans="6:9">
      <c r="F934" s="7">
        <f>IF('W rejestracji'!$C$941="","",'W rejestracji'!$C$941)</f>
        <v>0</v>
      </c>
      <c r="G934" s="7">
        <f>IF(Zarejestrowane!$C$941="","",Zarejestrowane!$C$941)</f>
        <v>0</v>
      </c>
      <c r="H934" s="9">
        <f>IF(AND($F934&lt;&gt;"",ISNUMBER(SEARCH('Nr rejestracyjny'!$F$5,$F934))),COUNT($H$1:H933)+1,"")</f>
        <v>0</v>
      </c>
      <c r="I934" s="9">
        <f>IF(AND($G934&lt;&gt;"",ISNUMBER(SEARCH('Nr rejestracyjny'!$F$5,$G934))),COUNT($I$1:I933)+1,"")</f>
        <v>0</v>
      </c>
    </row>
    <row r="935" spans="6:9">
      <c r="F935" s="7">
        <f>IF('W rejestracji'!$C$942="","",'W rejestracji'!$C$942)</f>
        <v>0</v>
      </c>
      <c r="G935" s="7">
        <f>IF(Zarejestrowane!$C$942="","",Zarejestrowane!$C$942)</f>
        <v>0</v>
      </c>
      <c r="H935" s="9">
        <f>IF(AND($F935&lt;&gt;"",ISNUMBER(SEARCH('Nr rejestracyjny'!$F$5,$F935))),COUNT($H$1:H934)+1,"")</f>
        <v>0</v>
      </c>
      <c r="I935" s="9">
        <f>IF(AND($G935&lt;&gt;"",ISNUMBER(SEARCH('Nr rejestracyjny'!$F$5,$G935))),COUNT($I$1:I934)+1,"")</f>
        <v>0</v>
      </c>
    </row>
    <row r="936" spans="6:9">
      <c r="F936" s="7">
        <f>IF('W rejestracji'!$C$943="","",'W rejestracji'!$C$943)</f>
        <v>0</v>
      </c>
      <c r="G936" s="7">
        <f>IF(Zarejestrowane!$C$943="","",Zarejestrowane!$C$943)</f>
        <v>0</v>
      </c>
      <c r="H936" s="9">
        <f>IF(AND($F936&lt;&gt;"",ISNUMBER(SEARCH('Nr rejestracyjny'!$F$5,$F936))),COUNT($H$1:H935)+1,"")</f>
        <v>0</v>
      </c>
      <c r="I936" s="9">
        <f>IF(AND($G936&lt;&gt;"",ISNUMBER(SEARCH('Nr rejestracyjny'!$F$5,$G936))),COUNT($I$1:I935)+1,"")</f>
        <v>0</v>
      </c>
    </row>
    <row r="937" spans="6:9">
      <c r="F937" s="7">
        <f>IF('W rejestracji'!$C$944="","",'W rejestracji'!$C$944)</f>
        <v>0</v>
      </c>
      <c r="G937" s="7">
        <f>IF(Zarejestrowane!$C$944="","",Zarejestrowane!$C$944)</f>
        <v>0</v>
      </c>
      <c r="H937" s="9">
        <f>IF(AND($F937&lt;&gt;"",ISNUMBER(SEARCH('Nr rejestracyjny'!$F$5,$F937))),COUNT($H$1:H936)+1,"")</f>
        <v>0</v>
      </c>
      <c r="I937" s="9">
        <f>IF(AND($G937&lt;&gt;"",ISNUMBER(SEARCH('Nr rejestracyjny'!$F$5,$G937))),COUNT($I$1:I936)+1,"")</f>
        <v>0</v>
      </c>
    </row>
    <row r="938" spans="6:9">
      <c r="F938" s="7">
        <f>IF('W rejestracji'!$C$945="","",'W rejestracji'!$C$945)</f>
        <v>0</v>
      </c>
      <c r="G938" s="7">
        <f>IF(Zarejestrowane!$C$945="","",Zarejestrowane!$C$945)</f>
        <v>0</v>
      </c>
      <c r="H938" s="9">
        <f>IF(AND($F938&lt;&gt;"",ISNUMBER(SEARCH('Nr rejestracyjny'!$F$5,$F938))),COUNT($H$1:H937)+1,"")</f>
        <v>0</v>
      </c>
      <c r="I938" s="9">
        <f>IF(AND($G938&lt;&gt;"",ISNUMBER(SEARCH('Nr rejestracyjny'!$F$5,$G938))),COUNT($I$1:I937)+1,"")</f>
        <v>0</v>
      </c>
    </row>
    <row r="939" spans="6:9">
      <c r="F939" s="7">
        <f>IF('W rejestracji'!$C$946="","",'W rejestracji'!$C$946)</f>
        <v>0</v>
      </c>
      <c r="G939" s="7">
        <f>IF(Zarejestrowane!$C$946="","",Zarejestrowane!$C$946)</f>
        <v>0</v>
      </c>
      <c r="H939" s="9">
        <f>IF(AND($F939&lt;&gt;"",ISNUMBER(SEARCH('Nr rejestracyjny'!$F$5,$F939))),COUNT($H$1:H938)+1,"")</f>
        <v>0</v>
      </c>
      <c r="I939" s="9">
        <f>IF(AND($G939&lt;&gt;"",ISNUMBER(SEARCH('Nr rejestracyjny'!$F$5,$G939))),COUNT($I$1:I938)+1,"")</f>
        <v>0</v>
      </c>
    </row>
    <row r="940" spans="6:9">
      <c r="F940" s="7">
        <f>IF('W rejestracji'!$C$947="","",'W rejestracji'!$C$947)</f>
        <v>0</v>
      </c>
      <c r="G940" s="7">
        <f>IF(Zarejestrowane!$C$947="","",Zarejestrowane!$C$947)</f>
        <v>0</v>
      </c>
      <c r="H940" s="9">
        <f>IF(AND($F940&lt;&gt;"",ISNUMBER(SEARCH('Nr rejestracyjny'!$F$5,$F940))),COUNT($H$1:H939)+1,"")</f>
        <v>0</v>
      </c>
      <c r="I940" s="9">
        <f>IF(AND($G940&lt;&gt;"",ISNUMBER(SEARCH('Nr rejestracyjny'!$F$5,$G940))),COUNT($I$1:I939)+1,"")</f>
        <v>0</v>
      </c>
    </row>
    <row r="941" spans="6:9">
      <c r="F941" s="7">
        <f>IF('W rejestracji'!$C$948="","",'W rejestracji'!$C$948)</f>
        <v>0</v>
      </c>
      <c r="G941" s="7">
        <f>IF(Zarejestrowane!$C$948="","",Zarejestrowane!$C$948)</f>
        <v>0</v>
      </c>
      <c r="H941" s="9">
        <f>IF(AND($F941&lt;&gt;"",ISNUMBER(SEARCH('Nr rejestracyjny'!$F$5,$F941))),COUNT($H$1:H940)+1,"")</f>
        <v>0</v>
      </c>
      <c r="I941" s="9">
        <f>IF(AND($G941&lt;&gt;"",ISNUMBER(SEARCH('Nr rejestracyjny'!$F$5,$G941))),COUNT($I$1:I940)+1,"")</f>
        <v>0</v>
      </c>
    </row>
    <row r="942" spans="6:9">
      <c r="F942" s="7">
        <f>IF('W rejestracji'!$C$949="","",'W rejestracji'!$C$949)</f>
        <v>0</v>
      </c>
      <c r="G942" s="7">
        <f>IF(Zarejestrowane!$C$949="","",Zarejestrowane!$C$949)</f>
        <v>0</v>
      </c>
      <c r="H942" s="9">
        <f>IF(AND($F942&lt;&gt;"",ISNUMBER(SEARCH('Nr rejestracyjny'!$F$5,$F942))),COUNT($H$1:H941)+1,"")</f>
        <v>0</v>
      </c>
      <c r="I942" s="9">
        <f>IF(AND($G942&lt;&gt;"",ISNUMBER(SEARCH('Nr rejestracyjny'!$F$5,$G942))),COUNT($I$1:I941)+1,"")</f>
        <v>0</v>
      </c>
    </row>
    <row r="943" spans="6:9">
      <c r="F943" s="7">
        <f>IF('W rejestracji'!$C$950="","",'W rejestracji'!$C$950)</f>
        <v>0</v>
      </c>
      <c r="G943" s="7">
        <f>IF(Zarejestrowane!$C$950="","",Zarejestrowane!$C$950)</f>
        <v>0</v>
      </c>
      <c r="H943" s="9">
        <f>IF(AND($F943&lt;&gt;"",ISNUMBER(SEARCH('Nr rejestracyjny'!$F$5,$F943))),COUNT($H$1:H942)+1,"")</f>
        <v>0</v>
      </c>
      <c r="I943" s="9">
        <f>IF(AND($G943&lt;&gt;"",ISNUMBER(SEARCH('Nr rejestracyjny'!$F$5,$G943))),COUNT($I$1:I942)+1,"")</f>
        <v>0</v>
      </c>
    </row>
    <row r="944" spans="6:9">
      <c r="F944" s="7">
        <f>IF('W rejestracji'!$C$951="","",'W rejestracji'!$C$951)</f>
        <v>0</v>
      </c>
      <c r="G944" s="7">
        <f>IF(Zarejestrowane!$C$951="","",Zarejestrowane!$C$951)</f>
        <v>0</v>
      </c>
      <c r="H944" s="9">
        <f>IF(AND($F944&lt;&gt;"",ISNUMBER(SEARCH('Nr rejestracyjny'!$F$5,$F944))),COUNT($H$1:H943)+1,"")</f>
        <v>0</v>
      </c>
      <c r="I944" s="9">
        <f>IF(AND($G944&lt;&gt;"",ISNUMBER(SEARCH('Nr rejestracyjny'!$F$5,$G944))),COUNT($I$1:I943)+1,"")</f>
        <v>0</v>
      </c>
    </row>
    <row r="945" spans="6:9">
      <c r="F945" s="7">
        <f>IF('W rejestracji'!$C$952="","",'W rejestracji'!$C$952)</f>
        <v>0</v>
      </c>
      <c r="G945" s="7">
        <f>IF(Zarejestrowane!$C$952="","",Zarejestrowane!$C$952)</f>
        <v>0</v>
      </c>
      <c r="H945" s="9">
        <f>IF(AND($F945&lt;&gt;"",ISNUMBER(SEARCH('Nr rejestracyjny'!$F$5,$F945))),COUNT($H$1:H944)+1,"")</f>
        <v>0</v>
      </c>
      <c r="I945" s="9">
        <f>IF(AND($G945&lt;&gt;"",ISNUMBER(SEARCH('Nr rejestracyjny'!$F$5,$G945))),COUNT($I$1:I944)+1,"")</f>
        <v>0</v>
      </c>
    </row>
    <row r="946" spans="6:9">
      <c r="F946" s="7">
        <f>IF('W rejestracji'!$C$953="","",'W rejestracji'!$C$953)</f>
        <v>0</v>
      </c>
      <c r="G946" s="7">
        <f>IF(Zarejestrowane!$C$953="","",Zarejestrowane!$C$953)</f>
        <v>0</v>
      </c>
      <c r="H946" s="9">
        <f>IF(AND($F946&lt;&gt;"",ISNUMBER(SEARCH('Nr rejestracyjny'!$F$5,$F946))),COUNT($H$1:H945)+1,"")</f>
        <v>0</v>
      </c>
      <c r="I946" s="9">
        <f>IF(AND($G946&lt;&gt;"",ISNUMBER(SEARCH('Nr rejestracyjny'!$F$5,$G946))),COUNT($I$1:I945)+1,"")</f>
        <v>0</v>
      </c>
    </row>
    <row r="947" spans="6:9">
      <c r="F947" s="7">
        <f>IF('W rejestracji'!$C$954="","",'W rejestracji'!$C$954)</f>
        <v>0</v>
      </c>
      <c r="G947" s="7">
        <f>IF(Zarejestrowane!$C$954="","",Zarejestrowane!$C$954)</f>
        <v>0</v>
      </c>
      <c r="H947" s="9">
        <f>IF(AND($F947&lt;&gt;"",ISNUMBER(SEARCH('Nr rejestracyjny'!$F$5,$F947))),COUNT($H$1:H946)+1,"")</f>
        <v>0</v>
      </c>
      <c r="I947" s="9">
        <f>IF(AND($G947&lt;&gt;"",ISNUMBER(SEARCH('Nr rejestracyjny'!$F$5,$G947))),COUNT($I$1:I946)+1,"")</f>
        <v>0</v>
      </c>
    </row>
    <row r="948" spans="6:9">
      <c r="F948" s="7">
        <f>IF('W rejestracji'!$C$955="","",'W rejestracji'!$C$955)</f>
        <v>0</v>
      </c>
      <c r="G948" s="7">
        <f>IF(Zarejestrowane!$C$955="","",Zarejestrowane!$C$955)</f>
        <v>0</v>
      </c>
      <c r="H948" s="9">
        <f>IF(AND($F948&lt;&gt;"",ISNUMBER(SEARCH('Nr rejestracyjny'!$F$5,$F948))),COUNT($H$1:H947)+1,"")</f>
        <v>0</v>
      </c>
      <c r="I948" s="9">
        <f>IF(AND($G948&lt;&gt;"",ISNUMBER(SEARCH('Nr rejestracyjny'!$F$5,$G948))),COUNT($I$1:I947)+1,"")</f>
        <v>0</v>
      </c>
    </row>
    <row r="949" spans="6:9">
      <c r="F949" s="7">
        <f>IF('W rejestracji'!$C$956="","",'W rejestracji'!$C$956)</f>
        <v>0</v>
      </c>
      <c r="G949" s="7">
        <f>IF(Zarejestrowane!$C$956="","",Zarejestrowane!$C$956)</f>
        <v>0</v>
      </c>
      <c r="H949" s="9">
        <f>IF(AND($F949&lt;&gt;"",ISNUMBER(SEARCH('Nr rejestracyjny'!$F$5,$F949))),COUNT($H$1:H948)+1,"")</f>
        <v>0</v>
      </c>
      <c r="I949" s="9">
        <f>IF(AND($G949&lt;&gt;"",ISNUMBER(SEARCH('Nr rejestracyjny'!$F$5,$G949))),COUNT($I$1:I948)+1,"")</f>
        <v>0</v>
      </c>
    </row>
    <row r="950" spans="6:9">
      <c r="F950" s="7">
        <f>IF('W rejestracji'!$C$957="","",'W rejestracji'!$C$957)</f>
        <v>0</v>
      </c>
      <c r="G950" s="7">
        <f>IF(Zarejestrowane!$C$957="","",Zarejestrowane!$C$957)</f>
        <v>0</v>
      </c>
      <c r="H950" s="9">
        <f>IF(AND($F950&lt;&gt;"",ISNUMBER(SEARCH('Nr rejestracyjny'!$F$5,$F950))),COUNT($H$1:H949)+1,"")</f>
        <v>0</v>
      </c>
      <c r="I950" s="9">
        <f>IF(AND($G950&lt;&gt;"",ISNUMBER(SEARCH('Nr rejestracyjny'!$F$5,$G950))),COUNT($I$1:I949)+1,"")</f>
        <v>0</v>
      </c>
    </row>
    <row r="951" spans="6:9">
      <c r="F951" s="7">
        <f>IF('W rejestracji'!$C$958="","",'W rejestracji'!$C$958)</f>
        <v>0</v>
      </c>
      <c r="G951" s="7">
        <f>IF(Zarejestrowane!$C$958="","",Zarejestrowane!$C$958)</f>
        <v>0</v>
      </c>
      <c r="H951" s="9">
        <f>IF(AND($F951&lt;&gt;"",ISNUMBER(SEARCH('Nr rejestracyjny'!$F$5,$F951))),COUNT($H$1:H950)+1,"")</f>
        <v>0</v>
      </c>
      <c r="I951" s="9">
        <f>IF(AND($G951&lt;&gt;"",ISNUMBER(SEARCH('Nr rejestracyjny'!$F$5,$G951))),COUNT($I$1:I950)+1,"")</f>
        <v>0</v>
      </c>
    </row>
    <row r="952" spans="6:9">
      <c r="F952" s="7">
        <f>IF('W rejestracji'!$C$959="","",'W rejestracji'!$C$959)</f>
        <v>0</v>
      </c>
      <c r="G952" s="7">
        <f>IF(Zarejestrowane!$C$959="","",Zarejestrowane!$C$959)</f>
        <v>0</v>
      </c>
      <c r="H952" s="9">
        <f>IF(AND($F952&lt;&gt;"",ISNUMBER(SEARCH('Nr rejestracyjny'!$F$5,$F952))),COUNT($H$1:H951)+1,"")</f>
        <v>0</v>
      </c>
      <c r="I952" s="9">
        <f>IF(AND($G952&lt;&gt;"",ISNUMBER(SEARCH('Nr rejestracyjny'!$F$5,$G952))),COUNT($I$1:I951)+1,"")</f>
        <v>0</v>
      </c>
    </row>
    <row r="953" spans="6:9">
      <c r="F953" s="7">
        <f>IF('W rejestracji'!$C$960="","",'W rejestracji'!$C$960)</f>
        <v>0</v>
      </c>
      <c r="G953" s="7">
        <f>IF(Zarejestrowane!$C$960="","",Zarejestrowane!$C$960)</f>
        <v>0</v>
      </c>
      <c r="H953" s="9">
        <f>IF(AND($F953&lt;&gt;"",ISNUMBER(SEARCH('Nr rejestracyjny'!$F$5,$F953))),COUNT($H$1:H952)+1,"")</f>
        <v>0</v>
      </c>
      <c r="I953" s="9">
        <f>IF(AND($G953&lt;&gt;"",ISNUMBER(SEARCH('Nr rejestracyjny'!$F$5,$G953))),COUNT($I$1:I952)+1,"")</f>
        <v>0</v>
      </c>
    </row>
    <row r="954" spans="6:9">
      <c r="F954" s="7">
        <f>IF('W rejestracji'!$C$961="","",'W rejestracji'!$C$961)</f>
        <v>0</v>
      </c>
      <c r="G954" s="7">
        <f>IF(Zarejestrowane!$C$961="","",Zarejestrowane!$C$961)</f>
        <v>0</v>
      </c>
      <c r="H954" s="9">
        <f>IF(AND($F954&lt;&gt;"",ISNUMBER(SEARCH('Nr rejestracyjny'!$F$5,$F954))),COUNT($H$1:H953)+1,"")</f>
        <v>0</v>
      </c>
      <c r="I954" s="9">
        <f>IF(AND($G954&lt;&gt;"",ISNUMBER(SEARCH('Nr rejestracyjny'!$F$5,$G954))),COUNT($I$1:I953)+1,"")</f>
        <v>0</v>
      </c>
    </row>
    <row r="955" spans="6:9">
      <c r="F955" s="7">
        <f>IF('W rejestracji'!$C$962="","",'W rejestracji'!$C$962)</f>
        <v>0</v>
      </c>
      <c r="G955" s="7">
        <f>IF(Zarejestrowane!$C$962="","",Zarejestrowane!$C$962)</f>
        <v>0</v>
      </c>
      <c r="H955" s="9">
        <f>IF(AND($F955&lt;&gt;"",ISNUMBER(SEARCH('Nr rejestracyjny'!$F$5,$F955))),COUNT($H$1:H954)+1,"")</f>
        <v>0</v>
      </c>
      <c r="I955" s="9">
        <f>IF(AND($G955&lt;&gt;"",ISNUMBER(SEARCH('Nr rejestracyjny'!$F$5,$G955))),COUNT($I$1:I954)+1,"")</f>
        <v>0</v>
      </c>
    </row>
    <row r="956" spans="6:9">
      <c r="F956" s="7">
        <f>IF('W rejestracji'!$C$963="","",'W rejestracji'!$C$963)</f>
        <v>0</v>
      </c>
      <c r="G956" s="7">
        <f>IF(Zarejestrowane!$C$963="","",Zarejestrowane!$C$963)</f>
        <v>0</v>
      </c>
      <c r="H956" s="9">
        <f>IF(AND($F956&lt;&gt;"",ISNUMBER(SEARCH('Nr rejestracyjny'!$F$5,$F956))),COUNT($H$1:H955)+1,"")</f>
        <v>0</v>
      </c>
      <c r="I956" s="9">
        <f>IF(AND($G956&lt;&gt;"",ISNUMBER(SEARCH('Nr rejestracyjny'!$F$5,$G956))),COUNT($I$1:I955)+1,"")</f>
        <v>0</v>
      </c>
    </row>
    <row r="957" spans="6:9">
      <c r="F957" s="7">
        <f>IF('W rejestracji'!$C$964="","",'W rejestracji'!$C$964)</f>
        <v>0</v>
      </c>
      <c r="G957" s="7">
        <f>IF(Zarejestrowane!$C$964="","",Zarejestrowane!$C$964)</f>
        <v>0</v>
      </c>
      <c r="H957" s="9">
        <f>IF(AND($F957&lt;&gt;"",ISNUMBER(SEARCH('Nr rejestracyjny'!$F$5,$F957))),COUNT($H$1:H956)+1,"")</f>
        <v>0</v>
      </c>
      <c r="I957" s="9">
        <f>IF(AND($G957&lt;&gt;"",ISNUMBER(SEARCH('Nr rejestracyjny'!$F$5,$G957))),COUNT($I$1:I956)+1,"")</f>
        <v>0</v>
      </c>
    </row>
    <row r="958" spans="6:9">
      <c r="F958" s="7">
        <f>IF('W rejestracji'!$C$965="","",'W rejestracji'!$C$965)</f>
        <v>0</v>
      </c>
      <c r="G958" s="7">
        <f>IF(Zarejestrowane!$C$965="","",Zarejestrowane!$C$965)</f>
        <v>0</v>
      </c>
      <c r="H958" s="9">
        <f>IF(AND($F958&lt;&gt;"",ISNUMBER(SEARCH('Nr rejestracyjny'!$F$5,$F958))),COUNT($H$1:H957)+1,"")</f>
        <v>0</v>
      </c>
      <c r="I958" s="9">
        <f>IF(AND($G958&lt;&gt;"",ISNUMBER(SEARCH('Nr rejestracyjny'!$F$5,$G958))),COUNT($I$1:I957)+1,"")</f>
        <v>0</v>
      </c>
    </row>
    <row r="959" spans="6:9">
      <c r="F959" s="7">
        <f>IF('W rejestracji'!$C$966="","",'W rejestracji'!$C$966)</f>
        <v>0</v>
      </c>
      <c r="G959" s="7">
        <f>IF(Zarejestrowane!$C$966="","",Zarejestrowane!$C$966)</f>
        <v>0</v>
      </c>
      <c r="H959" s="9">
        <f>IF(AND($F959&lt;&gt;"",ISNUMBER(SEARCH('Nr rejestracyjny'!$F$5,$F959))),COUNT($H$1:H958)+1,"")</f>
        <v>0</v>
      </c>
      <c r="I959" s="9">
        <f>IF(AND($G959&lt;&gt;"",ISNUMBER(SEARCH('Nr rejestracyjny'!$F$5,$G959))),COUNT($I$1:I958)+1,"")</f>
        <v>0</v>
      </c>
    </row>
    <row r="960" spans="6:9">
      <c r="F960" s="7">
        <f>IF('W rejestracji'!$C$967="","",'W rejestracji'!$C$967)</f>
        <v>0</v>
      </c>
      <c r="G960" s="7">
        <f>IF(Zarejestrowane!$C$967="","",Zarejestrowane!$C$967)</f>
        <v>0</v>
      </c>
      <c r="H960" s="9">
        <f>IF(AND($F960&lt;&gt;"",ISNUMBER(SEARCH('Nr rejestracyjny'!$F$5,$F960))),COUNT($H$1:H959)+1,"")</f>
        <v>0</v>
      </c>
      <c r="I960" s="9">
        <f>IF(AND($G960&lt;&gt;"",ISNUMBER(SEARCH('Nr rejestracyjny'!$F$5,$G960))),COUNT($I$1:I959)+1,"")</f>
        <v>0</v>
      </c>
    </row>
    <row r="961" spans="6:9">
      <c r="F961" s="7">
        <f>IF('W rejestracji'!$C$968="","",'W rejestracji'!$C$968)</f>
        <v>0</v>
      </c>
      <c r="G961" s="7">
        <f>IF(Zarejestrowane!$C$968="","",Zarejestrowane!$C$968)</f>
        <v>0</v>
      </c>
      <c r="H961" s="9">
        <f>IF(AND($F961&lt;&gt;"",ISNUMBER(SEARCH('Nr rejestracyjny'!$F$5,$F961))),COUNT($H$1:H960)+1,"")</f>
        <v>0</v>
      </c>
      <c r="I961" s="9">
        <f>IF(AND($G961&lt;&gt;"",ISNUMBER(SEARCH('Nr rejestracyjny'!$F$5,$G961))),COUNT($I$1:I960)+1,"")</f>
        <v>0</v>
      </c>
    </row>
    <row r="962" spans="6:9">
      <c r="F962" s="7">
        <f>IF('W rejestracji'!$C$969="","",'W rejestracji'!$C$969)</f>
        <v>0</v>
      </c>
      <c r="G962" s="7">
        <f>IF(Zarejestrowane!$C$969="","",Zarejestrowane!$C$969)</f>
        <v>0</v>
      </c>
      <c r="H962" s="9">
        <f>IF(AND($F962&lt;&gt;"",ISNUMBER(SEARCH('Nr rejestracyjny'!$F$5,$F962))),COUNT($H$1:H961)+1,"")</f>
        <v>0</v>
      </c>
      <c r="I962" s="9">
        <f>IF(AND($G962&lt;&gt;"",ISNUMBER(SEARCH('Nr rejestracyjny'!$F$5,$G962))),COUNT($I$1:I961)+1,"")</f>
        <v>0</v>
      </c>
    </row>
    <row r="963" spans="6:9">
      <c r="F963" s="7">
        <f>IF('W rejestracji'!$C$970="","",'W rejestracji'!$C$970)</f>
        <v>0</v>
      </c>
      <c r="G963" s="7">
        <f>IF(Zarejestrowane!$C$970="","",Zarejestrowane!$C$970)</f>
        <v>0</v>
      </c>
      <c r="H963" s="9">
        <f>IF(AND($F963&lt;&gt;"",ISNUMBER(SEARCH('Nr rejestracyjny'!$F$5,$F963))),COUNT($H$1:H962)+1,"")</f>
        <v>0</v>
      </c>
      <c r="I963" s="9">
        <f>IF(AND($G963&lt;&gt;"",ISNUMBER(SEARCH('Nr rejestracyjny'!$F$5,$G963))),COUNT($I$1:I962)+1,"")</f>
        <v>0</v>
      </c>
    </row>
    <row r="964" spans="6:9">
      <c r="F964" s="7">
        <f>IF('W rejestracji'!$C$971="","",'W rejestracji'!$C$971)</f>
        <v>0</v>
      </c>
      <c r="G964" s="7">
        <f>IF(Zarejestrowane!$C$971="","",Zarejestrowane!$C$971)</f>
        <v>0</v>
      </c>
      <c r="H964" s="9">
        <f>IF(AND($F964&lt;&gt;"",ISNUMBER(SEARCH('Nr rejestracyjny'!$F$5,$F964))),COUNT($H$1:H963)+1,"")</f>
        <v>0</v>
      </c>
      <c r="I964" s="9">
        <f>IF(AND($G964&lt;&gt;"",ISNUMBER(SEARCH('Nr rejestracyjny'!$F$5,$G964))),COUNT($I$1:I963)+1,"")</f>
        <v>0</v>
      </c>
    </row>
    <row r="965" spans="6:9">
      <c r="F965" s="7">
        <f>IF('W rejestracji'!$C$972="","",'W rejestracji'!$C$972)</f>
        <v>0</v>
      </c>
      <c r="G965" s="7">
        <f>IF(Zarejestrowane!$C$972="","",Zarejestrowane!$C$972)</f>
        <v>0</v>
      </c>
      <c r="H965" s="9">
        <f>IF(AND($F965&lt;&gt;"",ISNUMBER(SEARCH('Nr rejestracyjny'!$F$5,$F965))),COUNT($H$1:H964)+1,"")</f>
        <v>0</v>
      </c>
      <c r="I965" s="9">
        <f>IF(AND($G965&lt;&gt;"",ISNUMBER(SEARCH('Nr rejestracyjny'!$F$5,$G965))),COUNT($I$1:I964)+1,"")</f>
        <v>0</v>
      </c>
    </row>
    <row r="966" spans="6:9">
      <c r="F966" s="7">
        <f>IF('W rejestracji'!$C$973="","",'W rejestracji'!$C$973)</f>
        <v>0</v>
      </c>
      <c r="G966" s="7">
        <f>IF(Zarejestrowane!$C$973="","",Zarejestrowane!$C$973)</f>
        <v>0</v>
      </c>
      <c r="H966" s="9">
        <f>IF(AND($F966&lt;&gt;"",ISNUMBER(SEARCH('Nr rejestracyjny'!$F$5,$F966))),COUNT($H$1:H965)+1,"")</f>
        <v>0</v>
      </c>
      <c r="I966" s="9">
        <f>IF(AND($G966&lt;&gt;"",ISNUMBER(SEARCH('Nr rejestracyjny'!$F$5,$G966))),COUNT($I$1:I965)+1,"")</f>
        <v>0</v>
      </c>
    </row>
    <row r="967" spans="6:9">
      <c r="F967" s="7">
        <f>IF('W rejestracji'!$C$974="","",'W rejestracji'!$C$974)</f>
        <v>0</v>
      </c>
      <c r="G967" s="7">
        <f>IF(Zarejestrowane!$C$974="","",Zarejestrowane!$C$974)</f>
        <v>0</v>
      </c>
      <c r="H967" s="9">
        <f>IF(AND($F967&lt;&gt;"",ISNUMBER(SEARCH('Nr rejestracyjny'!$F$5,$F967))),COUNT($H$1:H966)+1,"")</f>
        <v>0</v>
      </c>
      <c r="I967" s="9">
        <f>IF(AND($G967&lt;&gt;"",ISNUMBER(SEARCH('Nr rejestracyjny'!$F$5,$G967))),COUNT($I$1:I966)+1,"")</f>
        <v>0</v>
      </c>
    </row>
    <row r="968" spans="6:9">
      <c r="F968" s="7">
        <f>IF('W rejestracji'!$C$975="","",'W rejestracji'!$C$975)</f>
        <v>0</v>
      </c>
      <c r="G968" s="7">
        <f>IF(Zarejestrowane!$C$975="","",Zarejestrowane!$C$975)</f>
        <v>0</v>
      </c>
      <c r="H968" s="9">
        <f>IF(AND($F968&lt;&gt;"",ISNUMBER(SEARCH('Nr rejestracyjny'!$F$5,$F968))),COUNT($H$1:H967)+1,"")</f>
        <v>0</v>
      </c>
      <c r="I968" s="9">
        <f>IF(AND($G968&lt;&gt;"",ISNUMBER(SEARCH('Nr rejestracyjny'!$F$5,$G968))),COUNT($I$1:I967)+1,"")</f>
        <v>0</v>
      </c>
    </row>
    <row r="969" spans="6:9">
      <c r="F969" s="7">
        <f>IF('W rejestracji'!$C$976="","",'W rejestracji'!$C$976)</f>
        <v>0</v>
      </c>
      <c r="G969" s="7">
        <f>IF(Zarejestrowane!$C$976="","",Zarejestrowane!$C$976)</f>
        <v>0</v>
      </c>
      <c r="H969" s="9">
        <f>IF(AND($F969&lt;&gt;"",ISNUMBER(SEARCH('Nr rejestracyjny'!$F$5,$F969))),COUNT($H$1:H968)+1,"")</f>
        <v>0</v>
      </c>
      <c r="I969" s="9">
        <f>IF(AND($G969&lt;&gt;"",ISNUMBER(SEARCH('Nr rejestracyjny'!$F$5,$G969))),COUNT($I$1:I968)+1,"")</f>
        <v>0</v>
      </c>
    </row>
    <row r="970" spans="6:9">
      <c r="F970" s="7">
        <f>IF('W rejestracji'!$C$977="","",'W rejestracji'!$C$977)</f>
        <v>0</v>
      </c>
      <c r="G970" s="7">
        <f>IF(Zarejestrowane!$C$977="","",Zarejestrowane!$C$977)</f>
        <v>0</v>
      </c>
      <c r="H970" s="9">
        <f>IF(AND($F970&lt;&gt;"",ISNUMBER(SEARCH('Nr rejestracyjny'!$F$5,$F970))),COUNT($H$1:H969)+1,"")</f>
        <v>0</v>
      </c>
      <c r="I970" s="9">
        <f>IF(AND($G970&lt;&gt;"",ISNUMBER(SEARCH('Nr rejestracyjny'!$F$5,$G970))),COUNT($I$1:I969)+1,"")</f>
        <v>0</v>
      </c>
    </row>
    <row r="971" spans="6:9">
      <c r="F971" s="7">
        <f>IF('W rejestracji'!$C$978="","",'W rejestracji'!$C$978)</f>
        <v>0</v>
      </c>
      <c r="G971" s="7">
        <f>IF(Zarejestrowane!$C$978="","",Zarejestrowane!$C$978)</f>
        <v>0</v>
      </c>
      <c r="H971" s="9">
        <f>IF(AND($F971&lt;&gt;"",ISNUMBER(SEARCH('Nr rejestracyjny'!$F$5,$F971))),COUNT($H$1:H970)+1,"")</f>
        <v>0</v>
      </c>
      <c r="I971" s="9">
        <f>IF(AND($G971&lt;&gt;"",ISNUMBER(SEARCH('Nr rejestracyjny'!$F$5,$G971))),COUNT($I$1:I970)+1,"")</f>
        <v>0</v>
      </c>
    </row>
    <row r="972" spans="6:9">
      <c r="F972" s="7">
        <f>IF('W rejestracji'!$C$979="","",'W rejestracji'!$C$979)</f>
        <v>0</v>
      </c>
      <c r="G972" s="7">
        <f>IF(Zarejestrowane!$C$979="","",Zarejestrowane!$C$979)</f>
        <v>0</v>
      </c>
      <c r="H972" s="9">
        <f>IF(AND($F972&lt;&gt;"",ISNUMBER(SEARCH('Nr rejestracyjny'!$F$5,$F972))),COUNT($H$1:H971)+1,"")</f>
        <v>0</v>
      </c>
      <c r="I972" s="9">
        <f>IF(AND($G972&lt;&gt;"",ISNUMBER(SEARCH('Nr rejestracyjny'!$F$5,$G972))),COUNT($I$1:I971)+1,"")</f>
        <v>0</v>
      </c>
    </row>
    <row r="973" spans="6:9">
      <c r="F973" s="7">
        <f>IF('W rejestracji'!$C$980="","",'W rejestracji'!$C$980)</f>
        <v>0</v>
      </c>
      <c r="G973" s="7">
        <f>IF(Zarejestrowane!$C$980="","",Zarejestrowane!$C$980)</f>
        <v>0</v>
      </c>
      <c r="H973" s="9">
        <f>IF(AND($F973&lt;&gt;"",ISNUMBER(SEARCH('Nr rejestracyjny'!$F$5,$F973))),COUNT($H$1:H972)+1,"")</f>
        <v>0</v>
      </c>
      <c r="I973" s="9">
        <f>IF(AND($G973&lt;&gt;"",ISNUMBER(SEARCH('Nr rejestracyjny'!$F$5,$G973))),COUNT($I$1:I972)+1,"")</f>
        <v>0</v>
      </c>
    </row>
    <row r="974" spans="6:9">
      <c r="F974" s="7">
        <f>IF('W rejestracji'!$C$981="","",'W rejestracji'!$C$981)</f>
        <v>0</v>
      </c>
      <c r="G974" s="7">
        <f>IF(Zarejestrowane!$C$981="","",Zarejestrowane!$C$981)</f>
        <v>0</v>
      </c>
      <c r="H974" s="9">
        <f>IF(AND($F974&lt;&gt;"",ISNUMBER(SEARCH('Nr rejestracyjny'!$F$5,$F974))),COUNT($H$1:H973)+1,"")</f>
        <v>0</v>
      </c>
      <c r="I974" s="9">
        <f>IF(AND($G974&lt;&gt;"",ISNUMBER(SEARCH('Nr rejestracyjny'!$F$5,$G974))),COUNT($I$1:I973)+1,"")</f>
        <v>0</v>
      </c>
    </row>
    <row r="975" spans="6:9">
      <c r="F975" s="7">
        <f>IF('W rejestracji'!$C$982="","",'W rejestracji'!$C$982)</f>
        <v>0</v>
      </c>
      <c r="G975" s="7">
        <f>IF(Zarejestrowane!$C$982="","",Zarejestrowane!$C$982)</f>
        <v>0</v>
      </c>
      <c r="H975" s="9">
        <f>IF(AND($F975&lt;&gt;"",ISNUMBER(SEARCH('Nr rejestracyjny'!$F$5,$F975))),COUNT($H$1:H974)+1,"")</f>
        <v>0</v>
      </c>
      <c r="I975" s="9">
        <f>IF(AND($G975&lt;&gt;"",ISNUMBER(SEARCH('Nr rejestracyjny'!$F$5,$G975))),COUNT($I$1:I974)+1,"")</f>
        <v>0</v>
      </c>
    </row>
    <row r="976" spans="6:9">
      <c r="F976" s="7">
        <f>IF('W rejestracji'!$C$983="","",'W rejestracji'!$C$983)</f>
        <v>0</v>
      </c>
      <c r="G976" s="7">
        <f>IF(Zarejestrowane!$C$983="","",Zarejestrowane!$C$983)</f>
        <v>0</v>
      </c>
      <c r="H976" s="9">
        <f>IF(AND($F976&lt;&gt;"",ISNUMBER(SEARCH('Nr rejestracyjny'!$F$5,$F976))),COUNT($H$1:H975)+1,"")</f>
        <v>0</v>
      </c>
      <c r="I976" s="9">
        <f>IF(AND($G976&lt;&gt;"",ISNUMBER(SEARCH('Nr rejestracyjny'!$F$5,$G976))),COUNT($I$1:I975)+1,"")</f>
        <v>0</v>
      </c>
    </row>
    <row r="977" spans="6:9">
      <c r="F977" s="7">
        <f>IF('W rejestracji'!$C$984="","",'W rejestracji'!$C$984)</f>
        <v>0</v>
      </c>
      <c r="G977" s="7">
        <f>IF(Zarejestrowane!$C$984="","",Zarejestrowane!$C$984)</f>
        <v>0</v>
      </c>
      <c r="H977" s="9">
        <f>IF(AND($F977&lt;&gt;"",ISNUMBER(SEARCH('Nr rejestracyjny'!$F$5,$F977))),COUNT($H$1:H976)+1,"")</f>
        <v>0</v>
      </c>
      <c r="I977" s="9">
        <f>IF(AND($G977&lt;&gt;"",ISNUMBER(SEARCH('Nr rejestracyjny'!$F$5,$G977))),COUNT($I$1:I976)+1,"")</f>
        <v>0</v>
      </c>
    </row>
    <row r="978" spans="6:9">
      <c r="F978" s="7">
        <f>IF('W rejestracji'!$C$985="","",'W rejestracji'!$C$985)</f>
        <v>0</v>
      </c>
      <c r="G978" s="7">
        <f>IF(Zarejestrowane!$C$985="","",Zarejestrowane!$C$985)</f>
        <v>0</v>
      </c>
      <c r="H978" s="9">
        <f>IF(AND($F978&lt;&gt;"",ISNUMBER(SEARCH('Nr rejestracyjny'!$F$5,$F978))),COUNT($H$1:H977)+1,"")</f>
        <v>0</v>
      </c>
      <c r="I978" s="9">
        <f>IF(AND($G978&lt;&gt;"",ISNUMBER(SEARCH('Nr rejestracyjny'!$F$5,$G978))),COUNT($I$1:I977)+1,"")</f>
        <v>0</v>
      </c>
    </row>
    <row r="979" spans="6:9">
      <c r="F979" s="7">
        <f>IF('W rejestracji'!$C$986="","",'W rejestracji'!$C$986)</f>
        <v>0</v>
      </c>
      <c r="G979" s="7">
        <f>IF(Zarejestrowane!$C$986="","",Zarejestrowane!$C$986)</f>
        <v>0</v>
      </c>
      <c r="H979" s="9">
        <f>IF(AND($F979&lt;&gt;"",ISNUMBER(SEARCH('Nr rejestracyjny'!$F$5,$F979))),COUNT($H$1:H978)+1,"")</f>
        <v>0</v>
      </c>
      <c r="I979" s="9">
        <f>IF(AND($G979&lt;&gt;"",ISNUMBER(SEARCH('Nr rejestracyjny'!$F$5,$G979))),COUNT($I$1:I978)+1,"")</f>
        <v>0</v>
      </c>
    </row>
    <row r="980" spans="6:9">
      <c r="F980" s="7">
        <f>IF('W rejestracji'!$C$987="","",'W rejestracji'!$C$987)</f>
        <v>0</v>
      </c>
      <c r="G980" s="7">
        <f>IF(Zarejestrowane!$C$987="","",Zarejestrowane!$C$987)</f>
        <v>0</v>
      </c>
      <c r="H980" s="9">
        <f>IF(AND($F980&lt;&gt;"",ISNUMBER(SEARCH('Nr rejestracyjny'!$F$5,$F980))),COUNT($H$1:H979)+1,"")</f>
        <v>0</v>
      </c>
      <c r="I980" s="9">
        <f>IF(AND($G980&lt;&gt;"",ISNUMBER(SEARCH('Nr rejestracyjny'!$F$5,$G980))),COUNT($I$1:I979)+1,"")</f>
        <v>0</v>
      </c>
    </row>
    <row r="981" spans="6:9">
      <c r="F981" s="7">
        <f>IF('W rejestracji'!$C$988="","",'W rejestracji'!$C$988)</f>
        <v>0</v>
      </c>
      <c r="G981" s="7">
        <f>IF(Zarejestrowane!$C$988="","",Zarejestrowane!$C$988)</f>
        <v>0</v>
      </c>
      <c r="H981" s="9">
        <f>IF(AND($F981&lt;&gt;"",ISNUMBER(SEARCH('Nr rejestracyjny'!$F$5,$F981))),COUNT($H$1:H980)+1,"")</f>
        <v>0</v>
      </c>
      <c r="I981" s="9">
        <f>IF(AND($G981&lt;&gt;"",ISNUMBER(SEARCH('Nr rejestracyjny'!$F$5,$G981))),COUNT($I$1:I980)+1,"")</f>
        <v>0</v>
      </c>
    </row>
    <row r="982" spans="6:9">
      <c r="F982" s="7">
        <f>IF('W rejestracji'!$C$989="","",'W rejestracji'!$C$989)</f>
        <v>0</v>
      </c>
      <c r="G982" s="7">
        <f>IF(Zarejestrowane!$C$989="","",Zarejestrowane!$C$989)</f>
        <v>0</v>
      </c>
      <c r="H982" s="9">
        <f>IF(AND($F982&lt;&gt;"",ISNUMBER(SEARCH('Nr rejestracyjny'!$F$5,$F982))),COUNT($H$1:H981)+1,"")</f>
        <v>0</v>
      </c>
      <c r="I982" s="9">
        <f>IF(AND($G982&lt;&gt;"",ISNUMBER(SEARCH('Nr rejestracyjny'!$F$5,$G982))),COUNT($I$1:I981)+1,"")</f>
        <v>0</v>
      </c>
    </row>
    <row r="983" spans="6:9">
      <c r="F983" s="7">
        <f>IF('W rejestracji'!$C$990="","",'W rejestracji'!$C$990)</f>
        <v>0</v>
      </c>
      <c r="G983" s="7">
        <f>IF(Zarejestrowane!$C$990="","",Zarejestrowane!$C$990)</f>
        <v>0</v>
      </c>
      <c r="H983" s="9">
        <f>IF(AND($F983&lt;&gt;"",ISNUMBER(SEARCH('Nr rejestracyjny'!$F$5,$F983))),COUNT($H$1:H982)+1,"")</f>
        <v>0</v>
      </c>
      <c r="I983" s="9">
        <f>IF(AND($G983&lt;&gt;"",ISNUMBER(SEARCH('Nr rejestracyjny'!$F$5,$G983))),COUNT($I$1:I982)+1,"")</f>
        <v>0</v>
      </c>
    </row>
    <row r="984" spans="6:9">
      <c r="F984" s="7">
        <f>IF('W rejestracji'!$C$991="","",'W rejestracji'!$C$991)</f>
        <v>0</v>
      </c>
      <c r="G984" s="7">
        <f>IF(Zarejestrowane!$C$991="","",Zarejestrowane!$C$991)</f>
        <v>0</v>
      </c>
      <c r="H984" s="9">
        <f>IF(AND($F984&lt;&gt;"",ISNUMBER(SEARCH('Nr rejestracyjny'!$F$5,$F984))),COUNT($H$1:H983)+1,"")</f>
        <v>0</v>
      </c>
      <c r="I984" s="9">
        <f>IF(AND($G984&lt;&gt;"",ISNUMBER(SEARCH('Nr rejestracyjny'!$F$5,$G984))),COUNT($I$1:I983)+1,"")</f>
        <v>0</v>
      </c>
    </row>
    <row r="985" spans="6:9">
      <c r="F985" s="7">
        <f>IF('W rejestracji'!$C$992="","",'W rejestracji'!$C$992)</f>
        <v>0</v>
      </c>
      <c r="G985" s="7">
        <f>IF(Zarejestrowane!$C$992="","",Zarejestrowane!$C$992)</f>
        <v>0</v>
      </c>
      <c r="H985" s="9">
        <f>IF(AND($F985&lt;&gt;"",ISNUMBER(SEARCH('Nr rejestracyjny'!$F$5,$F985))),COUNT($H$1:H984)+1,"")</f>
        <v>0</v>
      </c>
      <c r="I985" s="9">
        <f>IF(AND($G985&lt;&gt;"",ISNUMBER(SEARCH('Nr rejestracyjny'!$F$5,$G985))),COUNT($I$1:I984)+1,"")</f>
        <v>0</v>
      </c>
    </row>
    <row r="986" spans="6:9">
      <c r="F986" s="7">
        <f>IF('W rejestracji'!$C$993="","",'W rejestracji'!$C$993)</f>
        <v>0</v>
      </c>
      <c r="G986" s="7">
        <f>IF(Zarejestrowane!$C$993="","",Zarejestrowane!$C$993)</f>
        <v>0</v>
      </c>
      <c r="H986" s="9">
        <f>IF(AND($F986&lt;&gt;"",ISNUMBER(SEARCH('Nr rejestracyjny'!$F$5,$F986))),COUNT($H$1:H985)+1,"")</f>
        <v>0</v>
      </c>
      <c r="I986" s="9">
        <f>IF(AND($G986&lt;&gt;"",ISNUMBER(SEARCH('Nr rejestracyjny'!$F$5,$G986))),COUNT($I$1:I985)+1,"")</f>
        <v>0</v>
      </c>
    </row>
    <row r="987" spans="6:9">
      <c r="F987" s="7">
        <f>IF('W rejestracji'!$C$994="","",'W rejestracji'!$C$994)</f>
        <v>0</v>
      </c>
      <c r="G987" s="7">
        <f>IF(Zarejestrowane!$C$994="","",Zarejestrowane!$C$994)</f>
        <v>0</v>
      </c>
      <c r="H987" s="9">
        <f>IF(AND($F987&lt;&gt;"",ISNUMBER(SEARCH('Nr rejestracyjny'!$F$5,$F987))),COUNT($H$1:H986)+1,"")</f>
        <v>0</v>
      </c>
      <c r="I987" s="9">
        <f>IF(AND($G987&lt;&gt;"",ISNUMBER(SEARCH('Nr rejestracyjny'!$F$5,$G987))),COUNT($I$1:I986)+1,"")</f>
        <v>0</v>
      </c>
    </row>
    <row r="988" spans="6:9">
      <c r="F988" s="7">
        <f>IF('W rejestracji'!$C$995="","",'W rejestracji'!$C$995)</f>
        <v>0</v>
      </c>
      <c r="G988" s="7">
        <f>IF(Zarejestrowane!$C$995="","",Zarejestrowane!$C$995)</f>
        <v>0</v>
      </c>
      <c r="H988" s="9">
        <f>IF(AND($F988&lt;&gt;"",ISNUMBER(SEARCH('Nr rejestracyjny'!$F$5,$F988))),COUNT($H$1:H987)+1,"")</f>
        <v>0</v>
      </c>
      <c r="I988" s="9">
        <f>IF(AND($G988&lt;&gt;"",ISNUMBER(SEARCH('Nr rejestracyjny'!$F$5,$G988))),COUNT($I$1:I987)+1,"")</f>
        <v>0</v>
      </c>
    </row>
    <row r="989" spans="6:9">
      <c r="F989" s="7">
        <f>IF('W rejestracji'!$C$996="","",'W rejestracji'!$C$996)</f>
        <v>0</v>
      </c>
      <c r="G989" s="7">
        <f>IF(Zarejestrowane!$C$996="","",Zarejestrowane!$C$996)</f>
        <v>0</v>
      </c>
      <c r="H989" s="9">
        <f>IF(AND($F989&lt;&gt;"",ISNUMBER(SEARCH('Nr rejestracyjny'!$F$5,$F989))),COUNT($H$1:H988)+1,"")</f>
        <v>0</v>
      </c>
      <c r="I989" s="9">
        <f>IF(AND($G989&lt;&gt;"",ISNUMBER(SEARCH('Nr rejestracyjny'!$F$5,$G989))),COUNT($I$1:I988)+1,"")</f>
        <v>0</v>
      </c>
    </row>
    <row r="990" spans="6:9">
      <c r="F990" s="7">
        <f>IF('W rejestracji'!$C$997="","",'W rejestracji'!$C$997)</f>
        <v>0</v>
      </c>
      <c r="G990" s="7">
        <f>IF(Zarejestrowane!$C$997="","",Zarejestrowane!$C$997)</f>
        <v>0</v>
      </c>
      <c r="H990" s="9">
        <f>IF(AND($F990&lt;&gt;"",ISNUMBER(SEARCH('Nr rejestracyjny'!$F$5,$F990))),COUNT($H$1:H989)+1,"")</f>
        <v>0</v>
      </c>
      <c r="I990" s="9">
        <f>IF(AND($G990&lt;&gt;"",ISNUMBER(SEARCH('Nr rejestracyjny'!$F$5,$G990))),COUNT($I$1:I989)+1,"")</f>
        <v>0</v>
      </c>
    </row>
    <row r="991" spans="6:9">
      <c r="F991" s="7">
        <f>IF('W rejestracji'!$C$998="","",'W rejestracji'!$C$998)</f>
        <v>0</v>
      </c>
      <c r="G991" s="7">
        <f>IF(Zarejestrowane!$C$998="","",Zarejestrowane!$C$998)</f>
        <v>0</v>
      </c>
      <c r="H991" s="9">
        <f>IF(AND($F991&lt;&gt;"",ISNUMBER(SEARCH('Nr rejestracyjny'!$F$5,$F991))),COUNT($H$1:H990)+1,"")</f>
        <v>0</v>
      </c>
      <c r="I991" s="9">
        <f>IF(AND($G991&lt;&gt;"",ISNUMBER(SEARCH('Nr rejestracyjny'!$F$5,$G991))),COUNT($I$1:I990)+1,"")</f>
        <v>0</v>
      </c>
    </row>
    <row r="992" spans="6:9">
      <c r="F992" s="7">
        <f>IF('W rejestracji'!$C$999="","",'W rejestracji'!$C$999)</f>
        <v>0</v>
      </c>
      <c r="G992" s="7">
        <f>IF(Zarejestrowane!$C$999="","",Zarejestrowane!$C$999)</f>
        <v>0</v>
      </c>
      <c r="H992" s="9">
        <f>IF(AND($F992&lt;&gt;"",ISNUMBER(SEARCH('Nr rejestracyjny'!$F$5,$F992))),COUNT($H$1:H991)+1,"")</f>
        <v>0</v>
      </c>
      <c r="I992" s="9">
        <f>IF(AND($G992&lt;&gt;"",ISNUMBER(SEARCH('Nr rejestracyjny'!$F$5,$G992))),COUNT($I$1:I991)+1,"")</f>
        <v>0</v>
      </c>
    </row>
    <row r="993" spans="6:9">
      <c r="F993" s="7">
        <f>IF('W rejestracji'!$C$1000="","",'W rejestracji'!$C$1000)</f>
        <v>0</v>
      </c>
      <c r="G993" s="7">
        <f>IF(Zarejestrowane!$C$1000="","",Zarejestrowane!$C$1000)</f>
        <v>0</v>
      </c>
      <c r="H993" s="9">
        <f>IF(AND($F993&lt;&gt;"",ISNUMBER(SEARCH('Nr rejestracyjny'!$F$5,$F993))),COUNT($H$1:H992)+1,"")</f>
        <v>0</v>
      </c>
      <c r="I993" s="9">
        <f>IF(AND($G993&lt;&gt;"",ISNUMBER(SEARCH('Nr rejestracyjny'!$F$5,$G993))),COUNT($I$1:I992)+1,"")</f>
        <v>0</v>
      </c>
    </row>
    <row r="994" spans="6:9">
      <c r="F994" s="7">
        <f>IF('W rejestracji'!$C$1001="","",'W rejestracji'!$C$1001)</f>
        <v>0</v>
      </c>
      <c r="G994" s="7">
        <f>IF(Zarejestrowane!$C$1001="","",Zarejestrowane!$C$1001)</f>
        <v>0</v>
      </c>
      <c r="H994" s="9">
        <f>IF(AND($F994&lt;&gt;"",ISNUMBER(SEARCH('Nr rejestracyjny'!$F$5,$F994))),COUNT($H$1:H993)+1,"")</f>
        <v>0</v>
      </c>
      <c r="I994" s="9">
        <f>IF(AND($G994&lt;&gt;"",ISNUMBER(SEARCH('Nr rejestracyjny'!$F$5,$G994))),COUNT($I$1:I993)+1,"")</f>
        <v>0</v>
      </c>
    </row>
    <row r="995" spans="6:9">
      <c r="F995" s="7">
        <f>IF('W rejestracji'!$C$1002="","",'W rejestracji'!$C$1002)</f>
        <v>0</v>
      </c>
      <c r="G995" s="7">
        <f>IF(Zarejestrowane!$C$1002="","",Zarejestrowane!$C$1002)</f>
        <v>0</v>
      </c>
      <c r="H995" s="9">
        <f>IF(AND($F995&lt;&gt;"",ISNUMBER(SEARCH('Nr rejestracyjny'!$F$5,$F995))),COUNT($H$1:H994)+1,"")</f>
        <v>0</v>
      </c>
      <c r="I995" s="9">
        <f>IF(AND($G995&lt;&gt;"",ISNUMBER(SEARCH('Nr rejestracyjny'!$F$5,$G995))),COUNT($I$1:I994)+1,"")</f>
        <v>0</v>
      </c>
    </row>
    <row r="996" spans="6:9">
      <c r="F996" s="7">
        <f>IF('W rejestracji'!$C$1003="","",'W rejestracji'!$C$1003)</f>
        <v>0</v>
      </c>
      <c r="G996" s="7">
        <f>IF(Zarejestrowane!$C$1003="","",Zarejestrowane!$C$1003)</f>
        <v>0</v>
      </c>
      <c r="H996" s="9">
        <f>IF(AND($F996&lt;&gt;"",ISNUMBER(SEARCH('Nr rejestracyjny'!$F$5,$F996))),COUNT($H$1:H995)+1,"")</f>
        <v>0</v>
      </c>
      <c r="I996" s="9">
        <f>IF(AND($G996&lt;&gt;"",ISNUMBER(SEARCH('Nr rejestracyjny'!$F$5,$G996))),COUNT($I$1:I995)+1,"")</f>
        <v>0</v>
      </c>
    </row>
    <row r="997" spans="6:9">
      <c r="F997" s="7">
        <f>IF('W rejestracji'!$C$1004="","",'W rejestracji'!$C$1004)</f>
        <v>0</v>
      </c>
      <c r="G997" s="7">
        <f>IF(Zarejestrowane!$C$1004="","",Zarejestrowane!$C$1004)</f>
        <v>0</v>
      </c>
      <c r="H997" s="9">
        <f>IF(AND($F997&lt;&gt;"",ISNUMBER(SEARCH('Nr rejestracyjny'!$F$5,$F997))),COUNT($H$1:H996)+1,"")</f>
        <v>0</v>
      </c>
      <c r="I997" s="9">
        <f>IF(AND($G997&lt;&gt;"",ISNUMBER(SEARCH('Nr rejestracyjny'!$F$5,$G997))),COUNT($I$1:I996)+1,"")</f>
        <v>0</v>
      </c>
    </row>
    <row r="998" spans="6:9">
      <c r="F998" s="7">
        <f>IF('W rejestracji'!$C$1005="","",'W rejestracji'!$C$1005)</f>
        <v>0</v>
      </c>
      <c r="G998" s="7">
        <f>IF(Zarejestrowane!$C$1005="","",Zarejestrowane!$C$1005)</f>
        <v>0</v>
      </c>
      <c r="H998" s="9">
        <f>IF(AND($F998&lt;&gt;"",ISNUMBER(SEARCH('Nr rejestracyjny'!$F$5,$F998))),COUNT($H$1:H997)+1,"")</f>
        <v>0</v>
      </c>
      <c r="I998" s="9">
        <f>IF(AND($G998&lt;&gt;"",ISNUMBER(SEARCH('Nr rejestracyjny'!$F$5,$G998))),COUNT($I$1:I997)+1,"")</f>
        <v>0</v>
      </c>
    </row>
    <row r="999" spans="6:9">
      <c r="F999" s="7">
        <f>IF('W rejestracji'!$C$1006="","",'W rejestracji'!$C$1006)</f>
        <v>0</v>
      </c>
      <c r="G999" s="7">
        <f>IF(Zarejestrowane!$C$1006="","",Zarejestrowane!$C$1006)</f>
        <v>0</v>
      </c>
      <c r="H999" s="9">
        <f>IF(AND($F999&lt;&gt;"",ISNUMBER(SEARCH('Nr rejestracyjny'!$F$5,$F999))),COUNT($H$1:H998)+1,"")</f>
        <v>0</v>
      </c>
      <c r="I999" s="9">
        <f>IF(AND($G999&lt;&gt;"",ISNUMBER(SEARCH('Nr rejestracyjny'!$F$5,$G999))),COUNT($I$1:I998)+1,"")</f>
        <v>0</v>
      </c>
    </row>
    <row r="1000" spans="6:9">
      <c r="F1000" s="7">
        <f>IF('W rejestracji'!$C$1007="","",'W rejestracji'!$C$1007)</f>
        <v>0</v>
      </c>
      <c r="G1000" s="7">
        <f>IF(Zarejestrowane!$C$1007="","",Zarejestrowane!$C$1007)</f>
        <v>0</v>
      </c>
      <c r="H1000" s="9">
        <f>IF(AND($F1000&lt;&gt;"",ISNUMBER(SEARCH('Nr rejestracyjny'!$F$5,$F1000))),COUNT($H$1:H999)+1,"")</f>
        <v>0</v>
      </c>
      <c r="I1000" s="9">
        <f>IF(AND($G1000&lt;&gt;"",ISNUMBER(SEARCH('Nr rejestracyjny'!$F$5,$G1000))),COUNT($I$1:I999)+1,"")</f>
        <v>0</v>
      </c>
    </row>
    <row r="1001" spans="6:9">
      <c r="F1001" s="7">
        <f>IF('W rejestracji'!$C$1008="","",'W rejestracji'!$C$1008)</f>
        <v>0</v>
      </c>
      <c r="G1001" s="7">
        <f>IF(Zarejestrowane!$C$1008="","",Zarejestrowane!$C$1008)</f>
        <v>0</v>
      </c>
      <c r="H1001" s="9">
        <f>IF(AND($F1001&lt;&gt;"",ISNUMBER(SEARCH('Nr rejestracyjny'!$F$5,$F1001))),COUNT($H$1:H1000)+1,"")</f>
        <v>0</v>
      </c>
      <c r="I1001" s="9">
        <f>IF(AND($G1001&lt;&gt;"",ISNUMBER(SEARCH('Nr rejestracyjny'!$F$5,$G1001))),COUNT($I$1:I1000)+1,"")</f>
        <v>0</v>
      </c>
    </row>
    <row r="1002" spans="6:9">
      <c r="F1002" s="7">
        <f>IF('W rejestracji'!$C$1009="","",'W rejestracji'!$C$1009)</f>
        <v>0</v>
      </c>
      <c r="G1002" s="7">
        <f>IF(Zarejestrowane!$C$1009="","",Zarejestrowane!$C$1009)</f>
        <v>0</v>
      </c>
      <c r="H1002" s="9">
        <f>IF(AND($F1002&lt;&gt;"",ISNUMBER(SEARCH('Nr rejestracyjny'!$F$5,$F1002))),COUNT($H$1:H1001)+1,"")</f>
        <v>0</v>
      </c>
      <c r="I1002" s="9">
        <f>IF(AND($G1002&lt;&gt;"",ISNUMBER(SEARCH('Nr rejestracyjny'!$F$5,$G1002))),COUNT($I$1:I1001)+1,"")</f>
        <v>0</v>
      </c>
    </row>
    <row r="1003" spans="6:9">
      <c r="F1003" s="7">
        <f>IF('W rejestracji'!$C$1010="","",'W rejestracji'!$C$1010)</f>
        <v>0</v>
      </c>
      <c r="G1003" s="7">
        <f>IF(Zarejestrowane!$C$1010="","",Zarejestrowane!$C$1010)</f>
        <v>0</v>
      </c>
      <c r="H1003" s="9">
        <f>IF(AND($F1003&lt;&gt;"",ISNUMBER(SEARCH('Nr rejestracyjny'!$F$5,$F1003))),COUNT($H$1:H1002)+1,"")</f>
        <v>0</v>
      </c>
      <c r="I1003" s="9">
        <f>IF(AND($G1003&lt;&gt;"",ISNUMBER(SEARCH('Nr rejestracyjny'!$F$5,$G1003))),COUNT($I$1:I1002)+1,"")</f>
        <v>0</v>
      </c>
    </row>
    <row r="1004" spans="6:9">
      <c r="F1004" s="7">
        <f>IF('W rejestracji'!$C$1011="","",'W rejestracji'!$C$1011)</f>
        <v>0</v>
      </c>
      <c r="G1004" s="7">
        <f>IF(Zarejestrowane!$C$1011="","",Zarejestrowane!$C$1011)</f>
        <v>0</v>
      </c>
      <c r="H1004" s="9">
        <f>IF(AND($F1004&lt;&gt;"",ISNUMBER(SEARCH('Nr rejestracyjny'!$F$5,$F1004))),COUNT($H$1:H1003)+1,"")</f>
        <v>0</v>
      </c>
      <c r="I1004" s="9">
        <f>IF(AND($G1004&lt;&gt;"",ISNUMBER(SEARCH('Nr rejestracyjny'!$F$5,$G1004))),COUNT($I$1:I1003)+1,"")</f>
        <v>0</v>
      </c>
    </row>
    <row r="1005" spans="6:9">
      <c r="F1005" s="7">
        <f>IF('W rejestracji'!$C$1012="","",'W rejestracji'!$C$1012)</f>
        <v>0</v>
      </c>
      <c r="G1005" s="7">
        <f>IF(Zarejestrowane!$C$1012="","",Zarejestrowane!$C$1012)</f>
        <v>0</v>
      </c>
      <c r="H1005" s="9">
        <f>IF(AND($F1005&lt;&gt;"",ISNUMBER(SEARCH('Nr rejestracyjny'!$F$5,$F1005))),COUNT($H$1:H1004)+1,"")</f>
        <v>0</v>
      </c>
      <c r="I1005" s="9">
        <f>IF(AND($G1005&lt;&gt;"",ISNUMBER(SEARCH('Nr rejestracyjny'!$F$5,$G1005))),COUNT($I$1:I1004)+1,"")</f>
        <v>0</v>
      </c>
    </row>
    <row r="1006" spans="6:9">
      <c r="F1006" s="7">
        <f>IF('W rejestracji'!$C$1013="","",'W rejestracji'!$C$1013)</f>
        <v>0</v>
      </c>
      <c r="G1006" s="7">
        <f>IF(Zarejestrowane!$C$1013="","",Zarejestrowane!$C$1013)</f>
        <v>0</v>
      </c>
      <c r="H1006" s="9">
        <f>IF(AND($F1006&lt;&gt;"",ISNUMBER(SEARCH('Nr rejestracyjny'!$F$5,$F1006))),COUNT($H$1:H1005)+1,"")</f>
        <v>0</v>
      </c>
      <c r="I1006" s="9">
        <f>IF(AND($G1006&lt;&gt;"",ISNUMBER(SEARCH('Nr rejestracyjny'!$F$5,$G1006))),COUNT($I$1:I1005)+1,"")</f>
        <v>0</v>
      </c>
    </row>
    <row r="1007" spans="6:9">
      <c r="F1007" s="7">
        <f>IF('W rejestracji'!$C$1014="","",'W rejestracji'!$C$1014)</f>
        <v>0</v>
      </c>
      <c r="G1007" s="7">
        <f>IF(Zarejestrowane!$C$1014="","",Zarejestrowane!$C$1014)</f>
        <v>0</v>
      </c>
      <c r="H1007" s="9">
        <f>IF(AND($F1007&lt;&gt;"",ISNUMBER(SEARCH('Nr rejestracyjny'!$F$5,$F1007))),COUNT($H$1:H1006)+1,"")</f>
        <v>0</v>
      </c>
      <c r="I1007" s="9">
        <f>IF(AND($G1007&lt;&gt;"",ISNUMBER(SEARCH('Nr rejestracyjny'!$F$5,$G1007))),COUNT($I$1:I1006)+1,"")</f>
        <v>0</v>
      </c>
    </row>
    <row r="1008" spans="6:9">
      <c r="F1008" s="7">
        <f>IF('W rejestracji'!$C$1015="","",'W rejestracji'!$C$1015)</f>
        <v>0</v>
      </c>
      <c r="G1008" s="7">
        <f>IF(Zarejestrowane!$C$1015="","",Zarejestrowane!$C$1015)</f>
        <v>0</v>
      </c>
      <c r="H1008" s="9">
        <f>IF(AND($F1008&lt;&gt;"",ISNUMBER(SEARCH('Nr rejestracyjny'!$F$5,$F1008))),COUNT($H$1:H1007)+1,"")</f>
        <v>0</v>
      </c>
      <c r="I1008" s="9">
        <f>IF(AND($G1008&lt;&gt;"",ISNUMBER(SEARCH('Nr rejestracyjny'!$F$5,$G1008))),COUNT($I$1:I1007)+1,"")</f>
        <v>0</v>
      </c>
    </row>
    <row r="1009" spans="6:9">
      <c r="F1009" s="7">
        <f>IF('W rejestracji'!$C$1016="","",'W rejestracji'!$C$1016)</f>
        <v>0</v>
      </c>
      <c r="G1009" s="7">
        <f>IF(Zarejestrowane!$C$1016="","",Zarejestrowane!$C$1016)</f>
        <v>0</v>
      </c>
      <c r="H1009" s="9">
        <f>IF(AND($F1009&lt;&gt;"",ISNUMBER(SEARCH('Nr rejestracyjny'!$F$5,$F1009))),COUNT($H$1:H1008)+1,"")</f>
        <v>0</v>
      </c>
      <c r="I1009" s="9">
        <f>IF(AND($G1009&lt;&gt;"",ISNUMBER(SEARCH('Nr rejestracyjny'!$F$5,$G1009))),COUNT($I$1:I1008)+1,"")</f>
        <v>0</v>
      </c>
    </row>
    <row r="1010" spans="6:9">
      <c r="F1010" s="7">
        <f>IF('W rejestracji'!$C$1017="","",'W rejestracji'!$C$1017)</f>
        <v>0</v>
      </c>
      <c r="G1010" s="7">
        <f>IF(Zarejestrowane!$C$1017="","",Zarejestrowane!$C$1017)</f>
        <v>0</v>
      </c>
      <c r="H1010" s="9">
        <f>IF(AND($F1010&lt;&gt;"",ISNUMBER(SEARCH('Nr rejestracyjny'!$F$5,$F1010))),COUNT($H$1:H1009)+1,"")</f>
        <v>0</v>
      </c>
      <c r="I1010" s="9">
        <f>IF(AND($G1010&lt;&gt;"",ISNUMBER(SEARCH('Nr rejestracyjny'!$F$5,$G1010))),COUNT($I$1:I1009)+1,"")</f>
        <v>0</v>
      </c>
    </row>
    <row r="1011" spans="6:9">
      <c r="F1011" s="7">
        <f>IF('W rejestracji'!$C$1018="","",'W rejestracji'!$C$1018)</f>
        <v>0</v>
      </c>
      <c r="G1011" s="7">
        <f>IF(Zarejestrowane!$C$1018="","",Zarejestrowane!$C$1018)</f>
        <v>0</v>
      </c>
      <c r="H1011" s="9">
        <f>IF(AND($F1011&lt;&gt;"",ISNUMBER(SEARCH('Nr rejestracyjny'!$F$5,$F1011))),COUNT($H$1:H1010)+1,"")</f>
        <v>0</v>
      </c>
      <c r="I1011" s="9">
        <f>IF(AND($G1011&lt;&gt;"",ISNUMBER(SEARCH('Nr rejestracyjny'!$F$5,$G1011))),COUNT($I$1:I1010)+1,"")</f>
        <v>0</v>
      </c>
    </row>
    <row r="1012" spans="6:9">
      <c r="F1012" s="7">
        <f>IF('W rejestracji'!$C$1019="","",'W rejestracji'!$C$1019)</f>
        <v>0</v>
      </c>
      <c r="G1012" s="7">
        <f>IF(Zarejestrowane!$C$1019="","",Zarejestrowane!$C$1019)</f>
        <v>0</v>
      </c>
      <c r="H1012" s="9">
        <f>IF(AND($F1012&lt;&gt;"",ISNUMBER(SEARCH('Nr rejestracyjny'!$F$5,$F1012))),COUNT($H$1:H1011)+1,"")</f>
        <v>0</v>
      </c>
      <c r="I1012" s="9">
        <f>IF(AND($G1012&lt;&gt;"",ISNUMBER(SEARCH('Nr rejestracyjny'!$F$5,$G1012))),COUNT($I$1:I1011)+1,"")</f>
        <v>0</v>
      </c>
    </row>
    <row r="1013" spans="6:9">
      <c r="F1013" s="7">
        <f>IF('W rejestracji'!$C$1020="","",'W rejestracji'!$C$1020)</f>
        <v>0</v>
      </c>
      <c r="G1013" s="7">
        <f>IF(Zarejestrowane!$C$1020="","",Zarejestrowane!$C$1020)</f>
        <v>0</v>
      </c>
      <c r="H1013" s="9">
        <f>IF(AND($F1013&lt;&gt;"",ISNUMBER(SEARCH('Nr rejestracyjny'!$F$5,$F1013))),COUNT($H$1:H1012)+1,"")</f>
        <v>0</v>
      </c>
      <c r="I1013" s="9">
        <f>IF(AND($G1013&lt;&gt;"",ISNUMBER(SEARCH('Nr rejestracyjny'!$F$5,$G1013))),COUNT($I$1:I1012)+1,"")</f>
        <v>0</v>
      </c>
    </row>
    <row r="1014" spans="6:9">
      <c r="F1014" s="7">
        <f>IF('W rejestracji'!$C$1021="","",'W rejestracji'!$C$1021)</f>
        <v>0</v>
      </c>
      <c r="G1014" s="7">
        <f>IF(Zarejestrowane!$C$1021="","",Zarejestrowane!$C$1021)</f>
        <v>0</v>
      </c>
      <c r="H1014" s="9">
        <f>IF(AND($F1014&lt;&gt;"",ISNUMBER(SEARCH('Nr rejestracyjny'!$F$5,$F1014))),COUNT($H$1:H1013)+1,"")</f>
        <v>0</v>
      </c>
      <c r="I1014" s="9">
        <f>IF(AND($G1014&lt;&gt;"",ISNUMBER(SEARCH('Nr rejestracyjny'!$F$5,$G1014))),COUNT($I$1:I1013)+1,"")</f>
        <v>0</v>
      </c>
    </row>
    <row r="1015" spans="6:9">
      <c r="F1015" s="7">
        <f>IF('W rejestracji'!$C$1022="","",'W rejestracji'!$C$1022)</f>
        <v>0</v>
      </c>
      <c r="G1015" s="7">
        <f>IF(Zarejestrowane!$C$1022="","",Zarejestrowane!$C$1022)</f>
        <v>0</v>
      </c>
      <c r="H1015" s="9">
        <f>IF(AND($F1015&lt;&gt;"",ISNUMBER(SEARCH('Nr rejestracyjny'!$F$5,$F1015))),COUNT($H$1:H1014)+1,"")</f>
        <v>0</v>
      </c>
      <c r="I1015" s="9">
        <f>IF(AND($G1015&lt;&gt;"",ISNUMBER(SEARCH('Nr rejestracyjny'!$F$5,$G1015))),COUNT($I$1:I1014)+1,"")</f>
        <v>0</v>
      </c>
    </row>
    <row r="1016" spans="6:9">
      <c r="F1016" s="7">
        <f>IF('W rejestracji'!$C$1023="","",'W rejestracji'!$C$1023)</f>
        <v>0</v>
      </c>
      <c r="G1016" s="7">
        <f>IF(Zarejestrowane!$C$1023="","",Zarejestrowane!$C$1023)</f>
        <v>0</v>
      </c>
      <c r="H1016" s="9">
        <f>IF(AND($F1016&lt;&gt;"",ISNUMBER(SEARCH('Nr rejestracyjny'!$F$5,$F1016))),COUNT($H$1:H1015)+1,"")</f>
        <v>0</v>
      </c>
      <c r="I1016" s="9">
        <f>IF(AND($G1016&lt;&gt;"",ISNUMBER(SEARCH('Nr rejestracyjny'!$F$5,$G1016))),COUNT($I$1:I1015)+1,"")</f>
        <v>0</v>
      </c>
    </row>
    <row r="1017" spans="6:9">
      <c r="F1017" s="7">
        <f>IF('W rejestracji'!$C$1024="","",'W rejestracji'!$C$1024)</f>
        <v>0</v>
      </c>
      <c r="G1017" s="7">
        <f>IF(Zarejestrowane!$C$1024="","",Zarejestrowane!$C$1024)</f>
        <v>0</v>
      </c>
      <c r="H1017" s="9">
        <f>IF(AND($F1017&lt;&gt;"",ISNUMBER(SEARCH('Nr rejestracyjny'!$F$5,$F1017))),COUNT($H$1:H1016)+1,"")</f>
        <v>0</v>
      </c>
      <c r="I1017" s="9">
        <f>IF(AND($G1017&lt;&gt;"",ISNUMBER(SEARCH('Nr rejestracyjny'!$F$5,$G1017))),COUNT($I$1:I1016)+1,"")</f>
        <v>0</v>
      </c>
    </row>
    <row r="1018" spans="6:9">
      <c r="F1018" s="7">
        <f>IF('W rejestracji'!$C$1025="","",'W rejestracji'!$C$1025)</f>
        <v>0</v>
      </c>
      <c r="G1018" s="7">
        <f>IF(Zarejestrowane!$C$1025="","",Zarejestrowane!$C$1025)</f>
        <v>0</v>
      </c>
      <c r="H1018" s="9">
        <f>IF(AND($F1018&lt;&gt;"",ISNUMBER(SEARCH('Nr rejestracyjny'!$F$5,$F1018))),COUNT($H$1:H1017)+1,"")</f>
        <v>0</v>
      </c>
      <c r="I1018" s="9">
        <f>IF(AND($G1018&lt;&gt;"",ISNUMBER(SEARCH('Nr rejestracyjny'!$F$5,$G1018))),COUNT($I$1:I1017)+1,"")</f>
        <v>0</v>
      </c>
    </row>
    <row r="1019" spans="6:9">
      <c r="F1019" s="7">
        <f>IF('W rejestracji'!$C$1026="","",'W rejestracji'!$C$1026)</f>
        <v>0</v>
      </c>
      <c r="G1019" s="7">
        <f>IF(Zarejestrowane!$C$1026="","",Zarejestrowane!$C$1026)</f>
        <v>0</v>
      </c>
      <c r="H1019" s="9">
        <f>IF(AND($F1019&lt;&gt;"",ISNUMBER(SEARCH('Nr rejestracyjny'!$F$5,$F1019))),COUNT($H$1:H1018)+1,"")</f>
        <v>0</v>
      </c>
      <c r="I1019" s="9">
        <f>IF(AND($G1019&lt;&gt;"",ISNUMBER(SEARCH('Nr rejestracyjny'!$F$5,$G1019))),COUNT($I$1:I1018)+1,"")</f>
        <v>0</v>
      </c>
    </row>
    <row r="1020" spans="6:9">
      <c r="F1020" s="7">
        <f>IF('W rejestracji'!$C$1027="","",'W rejestracji'!$C$1027)</f>
        <v>0</v>
      </c>
      <c r="G1020" s="7">
        <f>IF(Zarejestrowane!$C$1027="","",Zarejestrowane!$C$1027)</f>
        <v>0</v>
      </c>
      <c r="H1020" s="9">
        <f>IF(AND($F1020&lt;&gt;"",ISNUMBER(SEARCH('Nr rejestracyjny'!$F$5,$F1020))),COUNT($H$1:H1019)+1,"")</f>
        <v>0</v>
      </c>
      <c r="I1020" s="9">
        <f>IF(AND($G1020&lt;&gt;"",ISNUMBER(SEARCH('Nr rejestracyjny'!$F$5,$G1020))),COUNT($I$1:I1019)+1,"")</f>
        <v>0</v>
      </c>
    </row>
    <row r="1021" spans="6:9">
      <c r="F1021" s="7">
        <f>IF('W rejestracji'!$C$1028="","",'W rejestracji'!$C$1028)</f>
        <v>0</v>
      </c>
      <c r="G1021" s="7">
        <f>IF(Zarejestrowane!$C$1028="","",Zarejestrowane!$C$1028)</f>
        <v>0</v>
      </c>
      <c r="H1021" s="9">
        <f>IF(AND($F1021&lt;&gt;"",ISNUMBER(SEARCH('Nr rejestracyjny'!$F$5,$F1021))),COUNT($H$1:H1020)+1,"")</f>
        <v>0</v>
      </c>
      <c r="I1021" s="9">
        <f>IF(AND($G1021&lt;&gt;"",ISNUMBER(SEARCH('Nr rejestracyjny'!$F$5,$G1021))),COUNT($I$1:I1020)+1,"")</f>
        <v>0</v>
      </c>
    </row>
    <row r="1022" spans="6:9">
      <c r="F1022" s="7">
        <f>IF('W rejestracji'!$C$1029="","",'W rejestracji'!$C$1029)</f>
        <v>0</v>
      </c>
      <c r="G1022" s="7">
        <f>IF(Zarejestrowane!$C$1029="","",Zarejestrowane!$C$1029)</f>
        <v>0</v>
      </c>
      <c r="H1022" s="9">
        <f>IF(AND($F1022&lt;&gt;"",ISNUMBER(SEARCH('Nr rejestracyjny'!$F$5,$F1022))),COUNT($H$1:H1021)+1,"")</f>
        <v>0</v>
      </c>
      <c r="I1022" s="9">
        <f>IF(AND($G1022&lt;&gt;"",ISNUMBER(SEARCH('Nr rejestracyjny'!$F$5,$G1022))),COUNT($I$1:I1021)+1,"")</f>
        <v>0</v>
      </c>
    </row>
    <row r="1023" spans="6:9">
      <c r="F1023" s="7">
        <f>IF('W rejestracji'!$C$1030="","",'W rejestracji'!$C$1030)</f>
        <v>0</v>
      </c>
      <c r="G1023" s="7">
        <f>IF(Zarejestrowane!$C$1030="","",Zarejestrowane!$C$1030)</f>
        <v>0</v>
      </c>
      <c r="H1023" s="9">
        <f>IF(AND($F1023&lt;&gt;"",ISNUMBER(SEARCH('Nr rejestracyjny'!$F$5,$F1023))),COUNT($H$1:H1022)+1,"")</f>
        <v>0</v>
      </c>
      <c r="I1023" s="9">
        <f>IF(AND($G1023&lt;&gt;"",ISNUMBER(SEARCH('Nr rejestracyjny'!$F$5,$G1023))),COUNT($I$1:I1022)+1,"")</f>
        <v>0</v>
      </c>
    </row>
    <row r="1024" spans="6:9">
      <c r="F1024" s="7">
        <f>IF('W rejestracji'!$C$1031="","",'W rejestracji'!$C$1031)</f>
        <v>0</v>
      </c>
      <c r="G1024" s="7">
        <f>IF(Zarejestrowane!$C$1031="","",Zarejestrowane!$C$1031)</f>
        <v>0</v>
      </c>
      <c r="H1024" s="9">
        <f>IF(AND($F1024&lt;&gt;"",ISNUMBER(SEARCH('Nr rejestracyjny'!$F$5,$F1024))),COUNT($H$1:H1023)+1,"")</f>
        <v>0</v>
      </c>
      <c r="I1024" s="9">
        <f>IF(AND($G1024&lt;&gt;"",ISNUMBER(SEARCH('Nr rejestracyjny'!$F$5,$G1024))),COUNT($I$1:I1023)+1,"")</f>
        <v>0</v>
      </c>
    </row>
    <row r="1025" spans="6:9">
      <c r="F1025" s="7">
        <f>IF('W rejestracji'!$C$1032="","",'W rejestracji'!$C$1032)</f>
        <v>0</v>
      </c>
      <c r="G1025" s="7">
        <f>IF(Zarejestrowane!$C$1032="","",Zarejestrowane!$C$1032)</f>
        <v>0</v>
      </c>
      <c r="H1025" s="9">
        <f>IF(AND($F1025&lt;&gt;"",ISNUMBER(SEARCH('Nr rejestracyjny'!$F$5,$F1025))),COUNT($H$1:H1024)+1,"")</f>
        <v>0</v>
      </c>
      <c r="I1025" s="9">
        <f>IF(AND($G1025&lt;&gt;"",ISNUMBER(SEARCH('Nr rejestracyjny'!$F$5,$G1025))),COUNT($I$1:I1024)+1,"")</f>
        <v>0</v>
      </c>
    </row>
    <row r="1026" spans="6:9">
      <c r="F1026" s="7">
        <f>IF('W rejestracji'!$C$1033="","",'W rejestracji'!$C$1033)</f>
        <v>0</v>
      </c>
      <c r="G1026" s="7">
        <f>IF(Zarejestrowane!$C$1033="","",Zarejestrowane!$C$1033)</f>
        <v>0</v>
      </c>
      <c r="H1026" s="9">
        <f>IF(AND($F1026&lt;&gt;"",ISNUMBER(SEARCH('Nr rejestracyjny'!$F$5,$F1026))),COUNT($H$1:H1025)+1,"")</f>
        <v>0</v>
      </c>
      <c r="I1026" s="9">
        <f>IF(AND($G1026&lt;&gt;"",ISNUMBER(SEARCH('Nr rejestracyjny'!$F$5,$G1026))),COUNT($I$1:I1025)+1,"")</f>
        <v>0</v>
      </c>
    </row>
    <row r="1027" spans="6:9">
      <c r="F1027" s="7">
        <f>IF('W rejestracji'!$C$1034="","",'W rejestracji'!$C$1034)</f>
        <v>0</v>
      </c>
      <c r="G1027" s="7">
        <f>IF(Zarejestrowane!$C$1034="","",Zarejestrowane!$C$1034)</f>
        <v>0</v>
      </c>
      <c r="H1027" s="9">
        <f>IF(AND($F1027&lt;&gt;"",ISNUMBER(SEARCH('Nr rejestracyjny'!$F$5,$F1027))),COUNT($H$1:H1026)+1,"")</f>
        <v>0</v>
      </c>
      <c r="I1027" s="9">
        <f>IF(AND($G1027&lt;&gt;"",ISNUMBER(SEARCH('Nr rejestracyjny'!$F$5,$G1027))),COUNT($I$1:I1026)+1,"")</f>
        <v>0</v>
      </c>
    </row>
    <row r="1028" spans="6:9">
      <c r="F1028" s="7">
        <f>IF('W rejestracji'!$C$1035="","",'W rejestracji'!$C$1035)</f>
        <v>0</v>
      </c>
      <c r="G1028" s="7">
        <f>IF(Zarejestrowane!$C$1035="","",Zarejestrowane!$C$1035)</f>
        <v>0</v>
      </c>
      <c r="H1028" s="9">
        <f>IF(AND($F1028&lt;&gt;"",ISNUMBER(SEARCH('Nr rejestracyjny'!$F$5,$F1028))),COUNT($H$1:H1027)+1,"")</f>
        <v>0</v>
      </c>
      <c r="I1028" s="9">
        <f>IF(AND($G1028&lt;&gt;"",ISNUMBER(SEARCH('Nr rejestracyjny'!$F$5,$G1028))),COUNT($I$1:I1027)+1,"")</f>
        <v>0</v>
      </c>
    </row>
    <row r="1029" spans="6:9">
      <c r="F1029" s="7">
        <f>IF('W rejestracji'!$C$1036="","",'W rejestracji'!$C$1036)</f>
        <v>0</v>
      </c>
      <c r="G1029" s="7">
        <f>IF(Zarejestrowane!$C$1036="","",Zarejestrowane!$C$1036)</f>
        <v>0</v>
      </c>
      <c r="H1029" s="9">
        <f>IF(AND($F1029&lt;&gt;"",ISNUMBER(SEARCH('Nr rejestracyjny'!$F$5,$F1029))),COUNT($H$1:H1028)+1,"")</f>
        <v>0</v>
      </c>
      <c r="I1029" s="9">
        <f>IF(AND($G1029&lt;&gt;"",ISNUMBER(SEARCH('Nr rejestracyjny'!$F$5,$G1029))),COUNT($I$1:I1028)+1,"")</f>
        <v>0</v>
      </c>
    </row>
    <row r="1030" spans="6:9">
      <c r="F1030" s="7">
        <f>IF('W rejestracji'!$C$1037="","",'W rejestracji'!$C$1037)</f>
        <v>0</v>
      </c>
      <c r="G1030" s="7">
        <f>IF(Zarejestrowane!$C$1037="","",Zarejestrowane!$C$1037)</f>
        <v>0</v>
      </c>
      <c r="H1030" s="9">
        <f>IF(AND($F1030&lt;&gt;"",ISNUMBER(SEARCH('Nr rejestracyjny'!$F$5,$F1030))),COUNT($H$1:H1029)+1,"")</f>
        <v>0</v>
      </c>
      <c r="I1030" s="9">
        <f>IF(AND($G1030&lt;&gt;"",ISNUMBER(SEARCH('Nr rejestracyjny'!$F$5,$G1030))),COUNT($I$1:I1029)+1,"")</f>
        <v>0</v>
      </c>
    </row>
    <row r="1031" spans="6:9">
      <c r="F1031" s="7">
        <f>IF('W rejestracji'!$C$1038="","",'W rejestracji'!$C$1038)</f>
        <v>0</v>
      </c>
      <c r="G1031" s="7">
        <f>IF(Zarejestrowane!$C$1038="","",Zarejestrowane!$C$1038)</f>
        <v>0</v>
      </c>
      <c r="H1031" s="9">
        <f>IF(AND($F1031&lt;&gt;"",ISNUMBER(SEARCH('Nr rejestracyjny'!$F$5,$F1031))),COUNT($H$1:H1030)+1,"")</f>
        <v>0</v>
      </c>
      <c r="I1031" s="9">
        <f>IF(AND($G1031&lt;&gt;"",ISNUMBER(SEARCH('Nr rejestracyjny'!$F$5,$G1031))),COUNT($I$1:I1030)+1,"")</f>
        <v>0</v>
      </c>
    </row>
    <row r="1032" spans="6:9">
      <c r="F1032" s="7">
        <f>IF('W rejestracji'!$C$1039="","",'W rejestracji'!$C$1039)</f>
        <v>0</v>
      </c>
      <c r="G1032" s="7">
        <f>IF(Zarejestrowane!$C$1039="","",Zarejestrowane!$C$1039)</f>
        <v>0</v>
      </c>
      <c r="H1032" s="9">
        <f>IF(AND($F1032&lt;&gt;"",ISNUMBER(SEARCH('Nr rejestracyjny'!$F$5,$F1032))),COUNT($H$1:H1031)+1,"")</f>
        <v>0</v>
      </c>
      <c r="I1032" s="9">
        <f>IF(AND($G1032&lt;&gt;"",ISNUMBER(SEARCH('Nr rejestracyjny'!$F$5,$G1032))),COUNT($I$1:I1031)+1,"")</f>
        <v>0</v>
      </c>
    </row>
    <row r="1033" spans="6:9">
      <c r="F1033" s="7">
        <f>IF('W rejestracji'!$C$1040="","",'W rejestracji'!$C$1040)</f>
        <v>0</v>
      </c>
      <c r="G1033" s="7">
        <f>IF(Zarejestrowane!$C$1040="","",Zarejestrowane!$C$1040)</f>
        <v>0</v>
      </c>
      <c r="H1033" s="9">
        <f>IF(AND($F1033&lt;&gt;"",ISNUMBER(SEARCH('Nr rejestracyjny'!$F$5,$F1033))),COUNT($H$1:H1032)+1,"")</f>
        <v>0</v>
      </c>
      <c r="I1033" s="9">
        <f>IF(AND($G1033&lt;&gt;"",ISNUMBER(SEARCH('Nr rejestracyjny'!$F$5,$G1033))),COUNT($I$1:I1032)+1,"")</f>
        <v>0</v>
      </c>
    </row>
    <row r="1034" spans="6:9">
      <c r="F1034" s="7">
        <f>IF('W rejestracji'!$C$1041="","",'W rejestracji'!$C$1041)</f>
        <v>0</v>
      </c>
      <c r="G1034" s="7">
        <f>IF(Zarejestrowane!$C$1041="","",Zarejestrowane!$C$1041)</f>
        <v>0</v>
      </c>
      <c r="H1034" s="9">
        <f>IF(AND($F1034&lt;&gt;"",ISNUMBER(SEARCH('Nr rejestracyjny'!$F$5,$F1034))),COUNT($H$1:H1033)+1,"")</f>
        <v>0</v>
      </c>
      <c r="I1034" s="9">
        <f>IF(AND($G1034&lt;&gt;"",ISNUMBER(SEARCH('Nr rejestracyjny'!$F$5,$G1034))),COUNT($I$1:I1033)+1,"")</f>
        <v>0</v>
      </c>
    </row>
    <row r="1035" spans="6:9">
      <c r="F1035" s="7">
        <f>IF('W rejestracji'!$C$1042="","",'W rejestracji'!$C$1042)</f>
        <v>0</v>
      </c>
      <c r="G1035" s="7">
        <f>IF(Zarejestrowane!$C$1042="","",Zarejestrowane!$C$1042)</f>
        <v>0</v>
      </c>
      <c r="H1035" s="9">
        <f>IF(AND($F1035&lt;&gt;"",ISNUMBER(SEARCH('Nr rejestracyjny'!$F$5,$F1035))),COUNT($H$1:H1034)+1,"")</f>
        <v>0</v>
      </c>
      <c r="I1035" s="9">
        <f>IF(AND($G1035&lt;&gt;"",ISNUMBER(SEARCH('Nr rejestracyjny'!$F$5,$G1035))),COUNT($I$1:I1034)+1,"")</f>
        <v>0</v>
      </c>
    </row>
    <row r="1036" spans="6:9">
      <c r="F1036" s="7">
        <f>IF('W rejestracji'!$C$1043="","",'W rejestracji'!$C$1043)</f>
        <v>0</v>
      </c>
      <c r="G1036" s="7">
        <f>IF(Zarejestrowane!$C$1043="","",Zarejestrowane!$C$1043)</f>
        <v>0</v>
      </c>
      <c r="H1036" s="9">
        <f>IF(AND($F1036&lt;&gt;"",ISNUMBER(SEARCH('Nr rejestracyjny'!$F$5,$F1036))),COUNT($H$1:H1035)+1,"")</f>
        <v>0</v>
      </c>
      <c r="I1036" s="9">
        <f>IF(AND($G1036&lt;&gt;"",ISNUMBER(SEARCH('Nr rejestracyjny'!$F$5,$G1036))),COUNT($I$1:I1035)+1,"")</f>
        <v>0</v>
      </c>
    </row>
    <row r="1037" spans="6:9">
      <c r="F1037" s="7">
        <f>IF('W rejestracji'!$C$1044="","",'W rejestracji'!$C$1044)</f>
        <v>0</v>
      </c>
      <c r="G1037" s="7">
        <f>IF(Zarejestrowane!$C$1044="","",Zarejestrowane!$C$1044)</f>
        <v>0</v>
      </c>
      <c r="H1037" s="9">
        <f>IF(AND($F1037&lt;&gt;"",ISNUMBER(SEARCH('Nr rejestracyjny'!$F$5,$F1037))),COUNT($H$1:H1036)+1,"")</f>
        <v>0</v>
      </c>
      <c r="I1037" s="9">
        <f>IF(AND($G1037&lt;&gt;"",ISNUMBER(SEARCH('Nr rejestracyjny'!$F$5,$G1037))),COUNT($I$1:I1036)+1,"")</f>
        <v>0</v>
      </c>
    </row>
    <row r="1038" spans="6:9">
      <c r="F1038" s="7">
        <f>IF('W rejestracji'!$C$1045="","",'W rejestracji'!$C$1045)</f>
        <v>0</v>
      </c>
      <c r="G1038" s="7">
        <f>IF(Zarejestrowane!$C$1045="","",Zarejestrowane!$C$1045)</f>
        <v>0</v>
      </c>
      <c r="H1038" s="9">
        <f>IF(AND($F1038&lt;&gt;"",ISNUMBER(SEARCH('Nr rejestracyjny'!$F$5,$F1038))),COUNT($H$1:H1037)+1,"")</f>
        <v>0</v>
      </c>
      <c r="I1038" s="9">
        <f>IF(AND($G1038&lt;&gt;"",ISNUMBER(SEARCH('Nr rejestracyjny'!$F$5,$G1038))),COUNT($I$1:I1037)+1,"")</f>
        <v>0</v>
      </c>
    </row>
    <row r="1039" spans="6:9">
      <c r="F1039" s="7">
        <f>IF('W rejestracji'!$C$1046="","",'W rejestracji'!$C$1046)</f>
        <v>0</v>
      </c>
      <c r="G1039" s="7">
        <f>IF(Zarejestrowane!$C$1046="","",Zarejestrowane!$C$1046)</f>
        <v>0</v>
      </c>
      <c r="H1039" s="9">
        <f>IF(AND($F1039&lt;&gt;"",ISNUMBER(SEARCH('Nr rejestracyjny'!$F$5,$F1039))),COUNT($H$1:H1038)+1,"")</f>
        <v>0</v>
      </c>
      <c r="I1039" s="9">
        <f>IF(AND($G1039&lt;&gt;"",ISNUMBER(SEARCH('Nr rejestracyjny'!$F$5,$G1039))),COUNT($I$1:I1038)+1,"")</f>
        <v>0</v>
      </c>
    </row>
    <row r="1040" spans="6:9">
      <c r="F1040" s="7">
        <f>IF('W rejestracji'!$C$1047="","",'W rejestracji'!$C$1047)</f>
        <v>0</v>
      </c>
      <c r="G1040" s="7">
        <f>IF(Zarejestrowane!$C$1047="","",Zarejestrowane!$C$1047)</f>
        <v>0</v>
      </c>
      <c r="H1040" s="9">
        <f>IF(AND($F1040&lt;&gt;"",ISNUMBER(SEARCH('Nr rejestracyjny'!$F$5,$F1040))),COUNT($H$1:H1039)+1,"")</f>
        <v>0</v>
      </c>
      <c r="I1040" s="9">
        <f>IF(AND($G1040&lt;&gt;"",ISNUMBER(SEARCH('Nr rejestracyjny'!$F$5,$G1040))),COUNT($I$1:I1039)+1,"")</f>
        <v>0</v>
      </c>
    </row>
    <row r="1041" spans="6:9">
      <c r="F1041" s="7">
        <f>IF('W rejestracji'!$C$1048="","",'W rejestracji'!$C$1048)</f>
        <v>0</v>
      </c>
      <c r="G1041" s="7">
        <f>IF(Zarejestrowane!$C$1048="","",Zarejestrowane!$C$1048)</f>
        <v>0</v>
      </c>
      <c r="H1041" s="9">
        <f>IF(AND($F1041&lt;&gt;"",ISNUMBER(SEARCH('Nr rejestracyjny'!$F$5,$F1041))),COUNT($H$1:H1040)+1,"")</f>
        <v>0</v>
      </c>
      <c r="I1041" s="9">
        <f>IF(AND($G1041&lt;&gt;"",ISNUMBER(SEARCH('Nr rejestracyjny'!$F$5,$G1041))),COUNT($I$1:I1040)+1,"")</f>
        <v>0</v>
      </c>
    </row>
    <row r="1042" spans="6:9">
      <c r="F1042" s="7">
        <f>IF('W rejestracji'!$C$1049="","",'W rejestracji'!$C$1049)</f>
        <v>0</v>
      </c>
      <c r="G1042" s="7">
        <f>IF(Zarejestrowane!$C$1049="","",Zarejestrowane!$C$1049)</f>
        <v>0</v>
      </c>
      <c r="H1042" s="9">
        <f>IF(AND($F1042&lt;&gt;"",ISNUMBER(SEARCH('Nr rejestracyjny'!$F$5,$F1042))),COUNT($H$1:H1041)+1,"")</f>
        <v>0</v>
      </c>
      <c r="I1042" s="9">
        <f>IF(AND($G1042&lt;&gt;"",ISNUMBER(SEARCH('Nr rejestracyjny'!$F$5,$G1042))),COUNT($I$1:I1041)+1,"")</f>
        <v>0</v>
      </c>
    </row>
    <row r="1043" spans="6:9">
      <c r="F1043" s="7">
        <f>IF('W rejestracji'!$C$1050="","",'W rejestracji'!$C$1050)</f>
        <v>0</v>
      </c>
      <c r="G1043" s="7">
        <f>IF(Zarejestrowane!$C$1050="","",Zarejestrowane!$C$1050)</f>
        <v>0</v>
      </c>
      <c r="H1043" s="9">
        <f>IF(AND($F1043&lt;&gt;"",ISNUMBER(SEARCH('Nr rejestracyjny'!$F$5,$F1043))),COUNT($H$1:H1042)+1,"")</f>
        <v>0</v>
      </c>
      <c r="I1043" s="9">
        <f>IF(AND($G1043&lt;&gt;"",ISNUMBER(SEARCH('Nr rejestracyjny'!$F$5,$G1043))),COUNT($I$1:I1042)+1,"")</f>
        <v>0</v>
      </c>
    </row>
    <row r="1044" spans="6:9">
      <c r="F1044" s="7">
        <f>IF('W rejestracji'!$C$1051="","",'W rejestracji'!$C$1051)</f>
        <v>0</v>
      </c>
      <c r="G1044" s="7">
        <f>IF(Zarejestrowane!$C$1051="","",Zarejestrowane!$C$1051)</f>
        <v>0</v>
      </c>
      <c r="H1044" s="9">
        <f>IF(AND($F1044&lt;&gt;"",ISNUMBER(SEARCH('Nr rejestracyjny'!$F$5,$F1044))),COUNT($H$1:H1043)+1,"")</f>
        <v>0</v>
      </c>
      <c r="I1044" s="9">
        <f>IF(AND($G1044&lt;&gt;"",ISNUMBER(SEARCH('Nr rejestracyjny'!$F$5,$G1044))),COUNT($I$1:I1043)+1,"")</f>
        <v>0</v>
      </c>
    </row>
    <row r="1045" spans="6:9">
      <c r="F1045" s="7">
        <f>IF('W rejestracji'!$C$1052="","",'W rejestracji'!$C$1052)</f>
        <v>0</v>
      </c>
      <c r="G1045" s="7">
        <f>IF(Zarejestrowane!$C$1052="","",Zarejestrowane!$C$1052)</f>
        <v>0</v>
      </c>
      <c r="H1045" s="9">
        <f>IF(AND($F1045&lt;&gt;"",ISNUMBER(SEARCH('Nr rejestracyjny'!$F$5,$F1045))),COUNT($H$1:H1044)+1,"")</f>
        <v>0</v>
      </c>
      <c r="I1045" s="9">
        <f>IF(AND($G1045&lt;&gt;"",ISNUMBER(SEARCH('Nr rejestracyjny'!$F$5,$G1045))),COUNT($I$1:I1044)+1,"")</f>
        <v>0</v>
      </c>
    </row>
    <row r="1046" spans="6:9">
      <c r="F1046" s="7">
        <f>IF('W rejestracji'!$C$1053="","",'W rejestracji'!$C$1053)</f>
        <v>0</v>
      </c>
      <c r="G1046" s="7">
        <f>IF(Zarejestrowane!$C$1053="","",Zarejestrowane!$C$1053)</f>
        <v>0</v>
      </c>
      <c r="H1046" s="9">
        <f>IF(AND($F1046&lt;&gt;"",ISNUMBER(SEARCH('Nr rejestracyjny'!$F$5,$F1046))),COUNT($H$1:H1045)+1,"")</f>
        <v>0</v>
      </c>
      <c r="I1046" s="9">
        <f>IF(AND($G1046&lt;&gt;"",ISNUMBER(SEARCH('Nr rejestracyjny'!$F$5,$G1046))),COUNT($I$1:I1045)+1,"")</f>
        <v>0</v>
      </c>
    </row>
    <row r="1047" spans="6:9">
      <c r="F1047" s="7">
        <f>IF('W rejestracji'!$C$1054="","",'W rejestracji'!$C$1054)</f>
        <v>0</v>
      </c>
      <c r="G1047" s="7">
        <f>IF(Zarejestrowane!$C$1054="","",Zarejestrowane!$C$1054)</f>
        <v>0</v>
      </c>
      <c r="H1047" s="9">
        <f>IF(AND($F1047&lt;&gt;"",ISNUMBER(SEARCH('Nr rejestracyjny'!$F$5,$F1047))),COUNT($H$1:H1046)+1,"")</f>
        <v>0</v>
      </c>
      <c r="I1047" s="9">
        <f>IF(AND($G1047&lt;&gt;"",ISNUMBER(SEARCH('Nr rejestracyjny'!$F$5,$G1047))),COUNT($I$1:I1046)+1,"")</f>
        <v>0</v>
      </c>
    </row>
    <row r="1048" spans="6:9">
      <c r="F1048" s="7">
        <f>IF('W rejestracji'!$C$1055="","",'W rejestracji'!$C$1055)</f>
        <v>0</v>
      </c>
      <c r="G1048" s="7">
        <f>IF(Zarejestrowane!$C$1055="","",Zarejestrowane!$C$1055)</f>
        <v>0</v>
      </c>
      <c r="H1048" s="9">
        <f>IF(AND($F1048&lt;&gt;"",ISNUMBER(SEARCH('Nr rejestracyjny'!$F$5,$F1048))),COUNT($H$1:H1047)+1,"")</f>
        <v>0</v>
      </c>
      <c r="I1048" s="9">
        <f>IF(AND($G1048&lt;&gt;"",ISNUMBER(SEARCH('Nr rejestracyjny'!$F$5,$G1048))),COUNT($I$1:I1047)+1,"")</f>
        <v>0</v>
      </c>
    </row>
    <row r="1049" spans="6:9">
      <c r="F1049" s="7">
        <f>IF('W rejestracji'!$C$1056="","",'W rejestracji'!$C$1056)</f>
        <v>0</v>
      </c>
      <c r="G1049" s="7">
        <f>IF(Zarejestrowane!$C$1056="","",Zarejestrowane!$C$1056)</f>
        <v>0</v>
      </c>
      <c r="H1049" s="9">
        <f>IF(AND($F1049&lt;&gt;"",ISNUMBER(SEARCH('Nr rejestracyjny'!$F$5,$F1049))),COUNT($H$1:H1048)+1,"")</f>
        <v>0</v>
      </c>
      <c r="I1049" s="9">
        <f>IF(AND($G1049&lt;&gt;"",ISNUMBER(SEARCH('Nr rejestracyjny'!$F$5,$G1049))),COUNT($I$1:I1048)+1,"")</f>
        <v>0</v>
      </c>
    </row>
    <row r="1050" spans="6:9">
      <c r="F1050" s="7">
        <f>IF('W rejestracji'!$C$1057="","",'W rejestracji'!$C$1057)</f>
        <v>0</v>
      </c>
      <c r="G1050" s="7">
        <f>IF(Zarejestrowane!$C$1057="","",Zarejestrowane!$C$1057)</f>
        <v>0</v>
      </c>
      <c r="H1050" s="9">
        <f>IF(AND($F1050&lt;&gt;"",ISNUMBER(SEARCH('Nr rejestracyjny'!$F$5,$F1050))),COUNT($H$1:H1049)+1,"")</f>
        <v>0</v>
      </c>
      <c r="I1050" s="9">
        <f>IF(AND($G1050&lt;&gt;"",ISNUMBER(SEARCH('Nr rejestracyjny'!$F$5,$G1050))),COUNT($I$1:I1049)+1,"")</f>
        <v>0</v>
      </c>
    </row>
    <row r="1051" spans="6:9">
      <c r="F1051" s="7">
        <f>IF('W rejestracji'!$C$1058="","",'W rejestracji'!$C$1058)</f>
        <v>0</v>
      </c>
      <c r="G1051" s="7">
        <f>IF(Zarejestrowane!$C$1058="","",Zarejestrowane!$C$1058)</f>
        <v>0</v>
      </c>
      <c r="H1051" s="9">
        <f>IF(AND($F1051&lt;&gt;"",ISNUMBER(SEARCH('Nr rejestracyjny'!$F$5,$F1051))),COUNT($H$1:H1050)+1,"")</f>
        <v>0</v>
      </c>
      <c r="I1051" s="9">
        <f>IF(AND($G1051&lt;&gt;"",ISNUMBER(SEARCH('Nr rejestracyjny'!$F$5,$G1051))),COUNT($I$1:I1050)+1,"")</f>
        <v>0</v>
      </c>
    </row>
    <row r="1052" spans="6:9">
      <c r="F1052" s="7">
        <f>IF('W rejestracji'!$C$1059="","",'W rejestracji'!$C$1059)</f>
        <v>0</v>
      </c>
      <c r="G1052" s="7">
        <f>IF(Zarejestrowane!$C$1059="","",Zarejestrowane!$C$1059)</f>
        <v>0</v>
      </c>
      <c r="H1052" s="9">
        <f>IF(AND($F1052&lt;&gt;"",ISNUMBER(SEARCH('Nr rejestracyjny'!$F$5,$F1052))),COUNT($H$1:H1051)+1,"")</f>
        <v>0</v>
      </c>
      <c r="I1052" s="9">
        <f>IF(AND($G1052&lt;&gt;"",ISNUMBER(SEARCH('Nr rejestracyjny'!$F$5,$G1052))),COUNT($I$1:I1051)+1,"")</f>
        <v>0</v>
      </c>
    </row>
    <row r="1053" spans="6:9">
      <c r="F1053" s="7">
        <f>IF('W rejestracji'!$C$1060="","",'W rejestracji'!$C$1060)</f>
        <v>0</v>
      </c>
      <c r="G1053" s="7">
        <f>IF(Zarejestrowane!$C$1060="","",Zarejestrowane!$C$1060)</f>
        <v>0</v>
      </c>
      <c r="H1053" s="9">
        <f>IF(AND($F1053&lt;&gt;"",ISNUMBER(SEARCH('Nr rejestracyjny'!$F$5,$F1053))),COUNT($H$1:H1052)+1,"")</f>
        <v>0</v>
      </c>
      <c r="I1053" s="9">
        <f>IF(AND($G1053&lt;&gt;"",ISNUMBER(SEARCH('Nr rejestracyjny'!$F$5,$G1053))),COUNT($I$1:I1052)+1,"")</f>
        <v>0</v>
      </c>
    </row>
    <row r="1054" spans="6:9">
      <c r="F1054" s="7">
        <f>IF('W rejestracji'!$C$1061="","",'W rejestracji'!$C$1061)</f>
        <v>0</v>
      </c>
      <c r="G1054" s="7">
        <f>IF(Zarejestrowane!$C$1061="","",Zarejestrowane!$C$1061)</f>
        <v>0</v>
      </c>
      <c r="H1054" s="9">
        <f>IF(AND($F1054&lt;&gt;"",ISNUMBER(SEARCH('Nr rejestracyjny'!$F$5,$F1054))),COUNT($H$1:H1053)+1,"")</f>
        <v>0</v>
      </c>
      <c r="I1054" s="9">
        <f>IF(AND($G1054&lt;&gt;"",ISNUMBER(SEARCH('Nr rejestracyjny'!$F$5,$G1054))),COUNT($I$1:I1053)+1,"")</f>
        <v>0</v>
      </c>
    </row>
    <row r="1055" spans="6:9">
      <c r="F1055" s="7">
        <f>IF('W rejestracji'!$C$1062="","",'W rejestracji'!$C$1062)</f>
        <v>0</v>
      </c>
      <c r="G1055" s="7">
        <f>IF(Zarejestrowane!$C$1062="","",Zarejestrowane!$C$1062)</f>
        <v>0</v>
      </c>
      <c r="H1055" s="9">
        <f>IF(AND($F1055&lt;&gt;"",ISNUMBER(SEARCH('Nr rejestracyjny'!$F$5,$F1055))),COUNT($H$1:H1054)+1,"")</f>
        <v>0</v>
      </c>
      <c r="I1055" s="9">
        <f>IF(AND($G1055&lt;&gt;"",ISNUMBER(SEARCH('Nr rejestracyjny'!$F$5,$G1055))),COUNT($I$1:I1054)+1,"")</f>
        <v>0</v>
      </c>
    </row>
    <row r="1056" spans="6:9">
      <c r="F1056" s="7">
        <f>IF('W rejestracji'!$C$1063="","",'W rejestracji'!$C$1063)</f>
        <v>0</v>
      </c>
      <c r="G1056" s="7">
        <f>IF(Zarejestrowane!$C$1063="","",Zarejestrowane!$C$1063)</f>
        <v>0</v>
      </c>
      <c r="H1056" s="9">
        <f>IF(AND($F1056&lt;&gt;"",ISNUMBER(SEARCH('Nr rejestracyjny'!$F$5,$F1056))),COUNT($H$1:H1055)+1,"")</f>
        <v>0</v>
      </c>
      <c r="I1056" s="9">
        <f>IF(AND($G1056&lt;&gt;"",ISNUMBER(SEARCH('Nr rejestracyjny'!$F$5,$G1056))),COUNT($I$1:I1055)+1,"")</f>
        <v>0</v>
      </c>
    </row>
    <row r="1057" spans="6:9">
      <c r="F1057" s="7">
        <f>IF('W rejestracji'!$C$1064="","",'W rejestracji'!$C$1064)</f>
        <v>0</v>
      </c>
      <c r="G1057" s="7">
        <f>IF(Zarejestrowane!$C$1064="","",Zarejestrowane!$C$1064)</f>
        <v>0</v>
      </c>
      <c r="H1057" s="9">
        <f>IF(AND($F1057&lt;&gt;"",ISNUMBER(SEARCH('Nr rejestracyjny'!$F$5,$F1057))),COUNT($H$1:H1056)+1,"")</f>
        <v>0</v>
      </c>
      <c r="I1057" s="9">
        <f>IF(AND($G1057&lt;&gt;"",ISNUMBER(SEARCH('Nr rejestracyjny'!$F$5,$G1057))),COUNT($I$1:I1056)+1,"")</f>
        <v>0</v>
      </c>
    </row>
    <row r="1058" spans="6:9">
      <c r="F1058" s="7">
        <f>IF('W rejestracji'!$C$1065="","",'W rejestracji'!$C$1065)</f>
        <v>0</v>
      </c>
      <c r="G1058" s="7">
        <f>IF(Zarejestrowane!$C$1065="","",Zarejestrowane!$C$1065)</f>
        <v>0</v>
      </c>
      <c r="H1058" s="9">
        <f>IF(AND($F1058&lt;&gt;"",ISNUMBER(SEARCH('Nr rejestracyjny'!$F$5,$F1058))),COUNT($H$1:H1057)+1,"")</f>
        <v>0</v>
      </c>
      <c r="I1058" s="9">
        <f>IF(AND($G1058&lt;&gt;"",ISNUMBER(SEARCH('Nr rejestracyjny'!$F$5,$G1058))),COUNT($I$1:I1057)+1,"")</f>
        <v>0</v>
      </c>
    </row>
    <row r="1059" spans="6:9">
      <c r="F1059" s="7">
        <f>IF('W rejestracji'!$C$1066="","",'W rejestracji'!$C$1066)</f>
        <v>0</v>
      </c>
      <c r="G1059" s="7">
        <f>IF(Zarejestrowane!$C$1066="","",Zarejestrowane!$C$1066)</f>
        <v>0</v>
      </c>
      <c r="H1059" s="9">
        <f>IF(AND($F1059&lt;&gt;"",ISNUMBER(SEARCH('Nr rejestracyjny'!$F$5,$F1059))),COUNT($H$1:H1058)+1,"")</f>
        <v>0</v>
      </c>
      <c r="I1059" s="9">
        <f>IF(AND($G1059&lt;&gt;"",ISNUMBER(SEARCH('Nr rejestracyjny'!$F$5,$G1059))),COUNT($I$1:I1058)+1,"")</f>
        <v>0</v>
      </c>
    </row>
    <row r="1060" spans="6:9">
      <c r="F1060" s="7">
        <f>IF('W rejestracji'!$C$1067="","",'W rejestracji'!$C$1067)</f>
        <v>0</v>
      </c>
      <c r="G1060" s="7">
        <f>IF(Zarejestrowane!$C$1067="","",Zarejestrowane!$C$1067)</f>
        <v>0</v>
      </c>
      <c r="H1060" s="9">
        <f>IF(AND($F1060&lt;&gt;"",ISNUMBER(SEARCH('Nr rejestracyjny'!$F$5,$F1060))),COUNT($H$1:H1059)+1,"")</f>
        <v>0</v>
      </c>
      <c r="I1060" s="9">
        <f>IF(AND($G1060&lt;&gt;"",ISNUMBER(SEARCH('Nr rejestracyjny'!$F$5,$G1060))),COUNT($I$1:I1059)+1,"")</f>
        <v>0</v>
      </c>
    </row>
    <row r="1061" spans="6:9">
      <c r="F1061" s="7">
        <f>IF('W rejestracji'!$C$1068="","",'W rejestracji'!$C$1068)</f>
        <v>0</v>
      </c>
      <c r="G1061" s="7">
        <f>IF(Zarejestrowane!$C$1068="","",Zarejestrowane!$C$1068)</f>
        <v>0</v>
      </c>
      <c r="H1061" s="9">
        <f>IF(AND($F1061&lt;&gt;"",ISNUMBER(SEARCH('Nr rejestracyjny'!$F$5,$F1061))),COUNT($H$1:H1060)+1,"")</f>
        <v>0</v>
      </c>
      <c r="I1061" s="9">
        <f>IF(AND($G1061&lt;&gt;"",ISNUMBER(SEARCH('Nr rejestracyjny'!$F$5,$G1061))),COUNT($I$1:I1060)+1,"")</f>
        <v>0</v>
      </c>
    </row>
    <row r="1062" spans="6:9">
      <c r="F1062" s="7">
        <f>IF('W rejestracji'!$C$1069="","",'W rejestracji'!$C$1069)</f>
        <v>0</v>
      </c>
      <c r="G1062" s="7">
        <f>IF(Zarejestrowane!$C$1069="","",Zarejestrowane!$C$1069)</f>
        <v>0</v>
      </c>
      <c r="H1062" s="9">
        <f>IF(AND($F1062&lt;&gt;"",ISNUMBER(SEARCH('Nr rejestracyjny'!$F$5,$F1062))),COUNT($H$1:H1061)+1,"")</f>
        <v>0</v>
      </c>
      <c r="I1062" s="9">
        <f>IF(AND($G1062&lt;&gt;"",ISNUMBER(SEARCH('Nr rejestracyjny'!$F$5,$G1062))),COUNT($I$1:I1061)+1,"")</f>
        <v>0</v>
      </c>
    </row>
    <row r="1063" spans="6:9">
      <c r="F1063" s="7">
        <f>IF('W rejestracji'!$C$1070="","",'W rejestracji'!$C$1070)</f>
        <v>0</v>
      </c>
      <c r="G1063" s="7">
        <f>IF(Zarejestrowane!$C$1070="","",Zarejestrowane!$C$1070)</f>
        <v>0</v>
      </c>
      <c r="H1063" s="9">
        <f>IF(AND($F1063&lt;&gt;"",ISNUMBER(SEARCH('Nr rejestracyjny'!$F$5,$F1063))),COUNT($H$1:H1062)+1,"")</f>
        <v>0</v>
      </c>
      <c r="I1063" s="9">
        <f>IF(AND($G1063&lt;&gt;"",ISNUMBER(SEARCH('Nr rejestracyjny'!$F$5,$G1063))),COUNT($I$1:I1062)+1,"")</f>
        <v>0</v>
      </c>
    </row>
    <row r="1064" spans="6:9">
      <c r="F1064" s="7">
        <f>IF('W rejestracji'!$C$1071="","",'W rejestracji'!$C$1071)</f>
        <v>0</v>
      </c>
      <c r="G1064" s="7">
        <f>IF(Zarejestrowane!$C$1071="","",Zarejestrowane!$C$1071)</f>
        <v>0</v>
      </c>
      <c r="H1064" s="9">
        <f>IF(AND($F1064&lt;&gt;"",ISNUMBER(SEARCH('Nr rejestracyjny'!$F$5,$F1064))),COUNT($H$1:H1063)+1,"")</f>
        <v>0</v>
      </c>
      <c r="I1064" s="9">
        <f>IF(AND($G1064&lt;&gt;"",ISNUMBER(SEARCH('Nr rejestracyjny'!$F$5,$G1064))),COUNT($I$1:I1063)+1,"")</f>
        <v>0</v>
      </c>
    </row>
    <row r="1065" spans="6:9">
      <c r="F1065" s="7">
        <f>IF('W rejestracji'!$C$1072="","",'W rejestracji'!$C$1072)</f>
        <v>0</v>
      </c>
      <c r="G1065" s="7">
        <f>IF(Zarejestrowane!$C$1072="","",Zarejestrowane!$C$1072)</f>
        <v>0</v>
      </c>
      <c r="H1065" s="9">
        <f>IF(AND($F1065&lt;&gt;"",ISNUMBER(SEARCH('Nr rejestracyjny'!$F$5,$F1065))),COUNT($H$1:H1064)+1,"")</f>
        <v>0</v>
      </c>
      <c r="I1065" s="9">
        <f>IF(AND($G1065&lt;&gt;"",ISNUMBER(SEARCH('Nr rejestracyjny'!$F$5,$G1065))),COUNT($I$1:I1064)+1,"")</f>
        <v>0</v>
      </c>
    </row>
    <row r="1066" spans="6:9">
      <c r="F1066" s="7">
        <f>IF('W rejestracji'!$C$1073="","",'W rejestracji'!$C$1073)</f>
        <v>0</v>
      </c>
      <c r="G1066" s="7">
        <f>IF(Zarejestrowane!$C$1073="","",Zarejestrowane!$C$1073)</f>
        <v>0</v>
      </c>
      <c r="H1066" s="9">
        <f>IF(AND($F1066&lt;&gt;"",ISNUMBER(SEARCH('Nr rejestracyjny'!$F$5,$F1066))),COUNT($H$1:H1065)+1,"")</f>
        <v>0</v>
      </c>
      <c r="I1066" s="9">
        <f>IF(AND($G1066&lt;&gt;"",ISNUMBER(SEARCH('Nr rejestracyjny'!$F$5,$G1066))),COUNT($I$1:I1065)+1,"")</f>
        <v>0</v>
      </c>
    </row>
    <row r="1067" spans="6:9">
      <c r="F1067" s="7">
        <f>IF('W rejestracji'!$C$1074="","",'W rejestracji'!$C$1074)</f>
        <v>0</v>
      </c>
      <c r="G1067" s="7">
        <f>IF(Zarejestrowane!$C$1074="","",Zarejestrowane!$C$1074)</f>
        <v>0</v>
      </c>
      <c r="H1067" s="9">
        <f>IF(AND($F1067&lt;&gt;"",ISNUMBER(SEARCH('Nr rejestracyjny'!$F$5,$F1067))),COUNT($H$1:H1066)+1,"")</f>
        <v>0</v>
      </c>
      <c r="I1067" s="9">
        <f>IF(AND($G1067&lt;&gt;"",ISNUMBER(SEARCH('Nr rejestracyjny'!$F$5,$G1067))),COUNT($I$1:I1066)+1,"")</f>
        <v>0</v>
      </c>
    </row>
    <row r="1068" spans="6:9">
      <c r="F1068" s="7">
        <f>IF('W rejestracji'!$C$1075="","",'W rejestracji'!$C$1075)</f>
        <v>0</v>
      </c>
      <c r="G1068" s="7">
        <f>IF(Zarejestrowane!$C$1075="","",Zarejestrowane!$C$1075)</f>
        <v>0</v>
      </c>
      <c r="H1068" s="9">
        <f>IF(AND($F1068&lt;&gt;"",ISNUMBER(SEARCH('Nr rejestracyjny'!$F$5,$F1068))),COUNT($H$1:H1067)+1,"")</f>
        <v>0</v>
      </c>
      <c r="I1068" s="9">
        <f>IF(AND($G1068&lt;&gt;"",ISNUMBER(SEARCH('Nr rejestracyjny'!$F$5,$G1068))),COUNT($I$1:I1067)+1,"")</f>
        <v>0</v>
      </c>
    </row>
    <row r="1069" spans="6:9">
      <c r="F1069" s="7">
        <f>IF('W rejestracji'!$C$1076="","",'W rejestracji'!$C$1076)</f>
        <v>0</v>
      </c>
      <c r="G1069" s="7">
        <f>IF(Zarejestrowane!$C$1076="","",Zarejestrowane!$C$1076)</f>
        <v>0</v>
      </c>
      <c r="H1069" s="9">
        <f>IF(AND($F1069&lt;&gt;"",ISNUMBER(SEARCH('Nr rejestracyjny'!$F$5,$F1069))),COUNT($H$1:H1068)+1,"")</f>
        <v>0</v>
      </c>
      <c r="I1069" s="9">
        <f>IF(AND($G1069&lt;&gt;"",ISNUMBER(SEARCH('Nr rejestracyjny'!$F$5,$G1069))),COUNT($I$1:I1068)+1,"")</f>
        <v>0</v>
      </c>
    </row>
    <row r="1070" spans="6:9">
      <c r="F1070" s="7">
        <f>IF('W rejestracji'!$C$1077="","",'W rejestracji'!$C$1077)</f>
        <v>0</v>
      </c>
      <c r="G1070" s="7">
        <f>IF(Zarejestrowane!$C$1077="","",Zarejestrowane!$C$1077)</f>
        <v>0</v>
      </c>
      <c r="H1070" s="9">
        <f>IF(AND($F1070&lt;&gt;"",ISNUMBER(SEARCH('Nr rejestracyjny'!$F$5,$F1070))),COUNT($H$1:H1069)+1,"")</f>
        <v>0</v>
      </c>
      <c r="I1070" s="9">
        <f>IF(AND($G1070&lt;&gt;"",ISNUMBER(SEARCH('Nr rejestracyjny'!$F$5,$G1070))),COUNT($I$1:I1069)+1,"")</f>
        <v>0</v>
      </c>
    </row>
    <row r="1071" spans="6:9">
      <c r="F1071" s="7">
        <f>IF('W rejestracji'!$C$1078="","",'W rejestracji'!$C$1078)</f>
        <v>0</v>
      </c>
      <c r="G1071" s="7">
        <f>IF(Zarejestrowane!$C$1078="","",Zarejestrowane!$C$1078)</f>
        <v>0</v>
      </c>
      <c r="H1071" s="9">
        <f>IF(AND($F1071&lt;&gt;"",ISNUMBER(SEARCH('Nr rejestracyjny'!$F$5,$F1071))),COUNT($H$1:H1070)+1,"")</f>
        <v>0</v>
      </c>
      <c r="I1071" s="9">
        <f>IF(AND($G1071&lt;&gt;"",ISNUMBER(SEARCH('Nr rejestracyjny'!$F$5,$G1071))),COUNT($I$1:I1070)+1,"")</f>
        <v>0</v>
      </c>
    </row>
    <row r="1072" spans="6:9">
      <c r="F1072" s="7">
        <f>IF('W rejestracji'!$C$1079="","",'W rejestracji'!$C$1079)</f>
        <v>0</v>
      </c>
      <c r="G1072" s="7">
        <f>IF(Zarejestrowane!$C$1079="","",Zarejestrowane!$C$1079)</f>
        <v>0</v>
      </c>
      <c r="H1072" s="9">
        <f>IF(AND($F1072&lt;&gt;"",ISNUMBER(SEARCH('Nr rejestracyjny'!$F$5,$F1072))),COUNT($H$1:H1071)+1,"")</f>
        <v>0</v>
      </c>
      <c r="I1072" s="9">
        <f>IF(AND($G1072&lt;&gt;"",ISNUMBER(SEARCH('Nr rejestracyjny'!$F$5,$G1072))),COUNT($I$1:I1071)+1,"")</f>
        <v>0</v>
      </c>
    </row>
    <row r="1073" spans="6:9">
      <c r="F1073" s="7">
        <f>IF('W rejestracji'!$C$1080="","",'W rejestracji'!$C$1080)</f>
        <v>0</v>
      </c>
      <c r="G1073" s="7">
        <f>IF(Zarejestrowane!$C$1080="","",Zarejestrowane!$C$1080)</f>
        <v>0</v>
      </c>
      <c r="H1073" s="9">
        <f>IF(AND($F1073&lt;&gt;"",ISNUMBER(SEARCH('Nr rejestracyjny'!$F$5,$F1073))),COUNT($H$1:H1072)+1,"")</f>
        <v>0</v>
      </c>
      <c r="I1073" s="9">
        <f>IF(AND($G1073&lt;&gt;"",ISNUMBER(SEARCH('Nr rejestracyjny'!$F$5,$G1073))),COUNT($I$1:I1072)+1,"")</f>
        <v>0</v>
      </c>
    </row>
    <row r="1074" spans="6:9">
      <c r="F1074" s="7">
        <f>IF('W rejestracji'!$C$1081="","",'W rejestracji'!$C$1081)</f>
        <v>0</v>
      </c>
      <c r="G1074" s="7">
        <f>IF(Zarejestrowane!$C$1081="","",Zarejestrowane!$C$1081)</f>
        <v>0</v>
      </c>
      <c r="H1074" s="9">
        <f>IF(AND($F1074&lt;&gt;"",ISNUMBER(SEARCH('Nr rejestracyjny'!$F$5,$F1074))),COUNT($H$1:H1073)+1,"")</f>
        <v>0</v>
      </c>
      <c r="I1074" s="9">
        <f>IF(AND($G1074&lt;&gt;"",ISNUMBER(SEARCH('Nr rejestracyjny'!$F$5,$G1074))),COUNT($I$1:I1073)+1,"")</f>
        <v>0</v>
      </c>
    </row>
    <row r="1075" spans="6:9">
      <c r="F1075" s="7">
        <f>IF('W rejestracji'!$C$1082="","",'W rejestracji'!$C$1082)</f>
        <v>0</v>
      </c>
      <c r="G1075" s="7">
        <f>IF(Zarejestrowane!$C$1082="","",Zarejestrowane!$C$1082)</f>
        <v>0</v>
      </c>
      <c r="H1075" s="9">
        <f>IF(AND($F1075&lt;&gt;"",ISNUMBER(SEARCH('Nr rejestracyjny'!$F$5,$F1075))),COUNT($H$1:H1074)+1,"")</f>
        <v>0</v>
      </c>
      <c r="I1075" s="9">
        <f>IF(AND($G1075&lt;&gt;"",ISNUMBER(SEARCH('Nr rejestracyjny'!$F$5,$G1075))),COUNT($I$1:I1074)+1,"")</f>
        <v>0</v>
      </c>
    </row>
    <row r="1076" spans="6:9">
      <c r="F1076" s="7">
        <f>IF('W rejestracji'!$C$1083="","",'W rejestracji'!$C$1083)</f>
        <v>0</v>
      </c>
      <c r="G1076" s="7">
        <f>IF(Zarejestrowane!$C$1083="","",Zarejestrowane!$C$1083)</f>
        <v>0</v>
      </c>
      <c r="H1076" s="9">
        <f>IF(AND($F1076&lt;&gt;"",ISNUMBER(SEARCH('Nr rejestracyjny'!$F$5,$F1076))),COUNT($H$1:H1075)+1,"")</f>
        <v>0</v>
      </c>
      <c r="I1076" s="9">
        <f>IF(AND($G1076&lt;&gt;"",ISNUMBER(SEARCH('Nr rejestracyjny'!$F$5,$G1076))),COUNT($I$1:I1075)+1,"")</f>
        <v>0</v>
      </c>
    </row>
    <row r="1077" spans="6:9">
      <c r="F1077" s="7">
        <f>IF('W rejestracji'!$C$1084="","",'W rejestracji'!$C$1084)</f>
        <v>0</v>
      </c>
      <c r="G1077" s="7">
        <f>IF(Zarejestrowane!$C$1084="","",Zarejestrowane!$C$1084)</f>
        <v>0</v>
      </c>
      <c r="H1077" s="9">
        <f>IF(AND($F1077&lt;&gt;"",ISNUMBER(SEARCH('Nr rejestracyjny'!$F$5,$F1077))),COUNT($H$1:H1076)+1,"")</f>
        <v>0</v>
      </c>
      <c r="I1077" s="9">
        <f>IF(AND($G1077&lt;&gt;"",ISNUMBER(SEARCH('Nr rejestracyjny'!$F$5,$G1077))),COUNT($I$1:I1076)+1,"")</f>
        <v>0</v>
      </c>
    </row>
    <row r="1078" spans="6:9">
      <c r="F1078" s="7">
        <f>IF('W rejestracji'!$C$1085="","",'W rejestracji'!$C$1085)</f>
        <v>0</v>
      </c>
      <c r="G1078" s="7">
        <f>IF(Zarejestrowane!$C$1085="","",Zarejestrowane!$C$1085)</f>
        <v>0</v>
      </c>
      <c r="H1078" s="9">
        <f>IF(AND($F1078&lt;&gt;"",ISNUMBER(SEARCH('Nr rejestracyjny'!$F$5,$F1078))),COUNT($H$1:H1077)+1,"")</f>
        <v>0</v>
      </c>
      <c r="I1078" s="9">
        <f>IF(AND($G1078&lt;&gt;"",ISNUMBER(SEARCH('Nr rejestracyjny'!$F$5,$G1078))),COUNT($I$1:I1077)+1,"")</f>
        <v>0</v>
      </c>
    </row>
    <row r="1079" spans="6:9">
      <c r="F1079" s="7">
        <f>IF('W rejestracji'!$C$1086="","",'W rejestracji'!$C$1086)</f>
        <v>0</v>
      </c>
      <c r="G1079" s="7">
        <f>IF(Zarejestrowane!$C$1086="","",Zarejestrowane!$C$1086)</f>
        <v>0</v>
      </c>
      <c r="H1079" s="9">
        <f>IF(AND($F1079&lt;&gt;"",ISNUMBER(SEARCH('Nr rejestracyjny'!$F$5,$F1079))),COUNT($H$1:H1078)+1,"")</f>
        <v>0</v>
      </c>
      <c r="I1079" s="9">
        <f>IF(AND($G1079&lt;&gt;"",ISNUMBER(SEARCH('Nr rejestracyjny'!$F$5,$G1079))),COUNT($I$1:I1078)+1,"")</f>
        <v>0</v>
      </c>
    </row>
    <row r="1080" spans="6:9">
      <c r="F1080" s="7">
        <f>IF('W rejestracji'!$C$1087="","",'W rejestracji'!$C$1087)</f>
        <v>0</v>
      </c>
      <c r="G1080" s="7">
        <f>IF(Zarejestrowane!$C$1087="","",Zarejestrowane!$C$1087)</f>
        <v>0</v>
      </c>
      <c r="H1080" s="9">
        <f>IF(AND($F1080&lt;&gt;"",ISNUMBER(SEARCH('Nr rejestracyjny'!$F$5,$F1080))),COUNT($H$1:H1079)+1,"")</f>
        <v>0</v>
      </c>
      <c r="I1080" s="9">
        <f>IF(AND($G1080&lt;&gt;"",ISNUMBER(SEARCH('Nr rejestracyjny'!$F$5,$G1080))),COUNT($I$1:I1079)+1,"")</f>
        <v>0</v>
      </c>
    </row>
    <row r="1081" spans="6:9">
      <c r="F1081" s="7">
        <f>IF('W rejestracji'!$C$1088="","",'W rejestracji'!$C$1088)</f>
        <v>0</v>
      </c>
      <c r="G1081" s="7">
        <f>IF(Zarejestrowane!$C$1088="","",Zarejestrowane!$C$1088)</f>
        <v>0</v>
      </c>
      <c r="H1081" s="9">
        <f>IF(AND($F1081&lt;&gt;"",ISNUMBER(SEARCH('Nr rejestracyjny'!$F$5,$F1081))),COUNT($H$1:H1080)+1,"")</f>
        <v>0</v>
      </c>
      <c r="I1081" s="9">
        <f>IF(AND($G1081&lt;&gt;"",ISNUMBER(SEARCH('Nr rejestracyjny'!$F$5,$G1081))),COUNT($I$1:I1080)+1,"")</f>
        <v>0</v>
      </c>
    </row>
    <row r="1082" spans="6:9">
      <c r="F1082" s="7">
        <f>IF('W rejestracji'!$C$1089="","",'W rejestracji'!$C$1089)</f>
        <v>0</v>
      </c>
      <c r="G1082" s="7">
        <f>IF(Zarejestrowane!$C$1089="","",Zarejestrowane!$C$1089)</f>
        <v>0</v>
      </c>
      <c r="H1082" s="9">
        <f>IF(AND($F1082&lt;&gt;"",ISNUMBER(SEARCH('Nr rejestracyjny'!$F$5,$F1082))),COUNT($H$1:H1081)+1,"")</f>
        <v>0</v>
      </c>
      <c r="I1082" s="9">
        <f>IF(AND($G1082&lt;&gt;"",ISNUMBER(SEARCH('Nr rejestracyjny'!$F$5,$G1082))),COUNT($I$1:I1081)+1,"")</f>
        <v>0</v>
      </c>
    </row>
    <row r="1083" spans="6:9">
      <c r="F1083" s="7">
        <f>IF('W rejestracji'!$C$1090="","",'W rejestracji'!$C$1090)</f>
        <v>0</v>
      </c>
      <c r="G1083" s="7">
        <f>IF(Zarejestrowane!$C$1090="","",Zarejestrowane!$C$1090)</f>
        <v>0</v>
      </c>
      <c r="H1083" s="9">
        <f>IF(AND($F1083&lt;&gt;"",ISNUMBER(SEARCH('Nr rejestracyjny'!$F$5,$F1083))),COUNT($H$1:H1082)+1,"")</f>
        <v>0</v>
      </c>
      <c r="I1083" s="9">
        <f>IF(AND($G1083&lt;&gt;"",ISNUMBER(SEARCH('Nr rejestracyjny'!$F$5,$G1083))),COUNT($I$1:I1082)+1,"")</f>
        <v>0</v>
      </c>
    </row>
    <row r="1084" spans="6:9">
      <c r="F1084" s="7">
        <f>IF('W rejestracji'!$C$1091="","",'W rejestracji'!$C$1091)</f>
        <v>0</v>
      </c>
      <c r="G1084" s="7">
        <f>IF(Zarejestrowane!$C$1091="","",Zarejestrowane!$C$1091)</f>
        <v>0</v>
      </c>
      <c r="H1084" s="9">
        <f>IF(AND($F1084&lt;&gt;"",ISNUMBER(SEARCH('Nr rejestracyjny'!$F$5,$F1084))),COUNT($H$1:H1083)+1,"")</f>
        <v>0</v>
      </c>
      <c r="I1084" s="9">
        <f>IF(AND($G1084&lt;&gt;"",ISNUMBER(SEARCH('Nr rejestracyjny'!$F$5,$G1084))),COUNT($I$1:I1083)+1,"")</f>
        <v>0</v>
      </c>
    </row>
    <row r="1085" spans="6:9">
      <c r="F1085" s="7">
        <f>IF('W rejestracji'!$C$1092="","",'W rejestracji'!$C$1092)</f>
        <v>0</v>
      </c>
      <c r="G1085" s="7">
        <f>IF(Zarejestrowane!$C$1092="","",Zarejestrowane!$C$1092)</f>
        <v>0</v>
      </c>
      <c r="H1085" s="9">
        <f>IF(AND($F1085&lt;&gt;"",ISNUMBER(SEARCH('Nr rejestracyjny'!$F$5,$F1085))),COUNT($H$1:H1084)+1,"")</f>
        <v>0</v>
      </c>
      <c r="I1085" s="9">
        <f>IF(AND($G1085&lt;&gt;"",ISNUMBER(SEARCH('Nr rejestracyjny'!$F$5,$G1085))),COUNT($I$1:I1084)+1,"")</f>
        <v>0</v>
      </c>
    </row>
    <row r="1086" spans="6:9">
      <c r="F1086" s="7">
        <f>IF('W rejestracji'!$C$1093="","",'W rejestracji'!$C$1093)</f>
        <v>0</v>
      </c>
      <c r="G1086" s="7">
        <f>IF(Zarejestrowane!$C$1093="","",Zarejestrowane!$C$1093)</f>
        <v>0</v>
      </c>
      <c r="H1086" s="9">
        <f>IF(AND($F1086&lt;&gt;"",ISNUMBER(SEARCH('Nr rejestracyjny'!$F$5,$F1086))),COUNT($H$1:H1085)+1,"")</f>
        <v>0</v>
      </c>
      <c r="I1086" s="9">
        <f>IF(AND($G1086&lt;&gt;"",ISNUMBER(SEARCH('Nr rejestracyjny'!$F$5,$G1086))),COUNT($I$1:I1085)+1,"")</f>
        <v>0</v>
      </c>
    </row>
    <row r="1087" spans="6:9">
      <c r="F1087" s="7">
        <f>IF('W rejestracji'!$C$1094="","",'W rejestracji'!$C$1094)</f>
        <v>0</v>
      </c>
      <c r="G1087" s="7">
        <f>IF(Zarejestrowane!$C$1094="","",Zarejestrowane!$C$1094)</f>
        <v>0</v>
      </c>
      <c r="H1087" s="9">
        <f>IF(AND($F1087&lt;&gt;"",ISNUMBER(SEARCH('Nr rejestracyjny'!$F$5,$F1087))),COUNT($H$1:H1086)+1,"")</f>
        <v>0</v>
      </c>
      <c r="I1087" s="9">
        <f>IF(AND($G1087&lt;&gt;"",ISNUMBER(SEARCH('Nr rejestracyjny'!$F$5,$G1087))),COUNT($I$1:I1086)+1,"")</f>
        <v>0</v>
      </c>
    </row>
    <row r="1088" spans="6:9">
      <c r="F1088" s="7">
        <f>IF('W rejestracji'!$C$1095="","",'W rejestracji'!$C$1095)</f>
        <v>0</v>
      </c>
      <c r="G1088" s="7">
        <f>IF(Zarejestrowane!$C$1095="","",Zarejestrowane!$C$1095)</f>
        <v>0</v>
      </c>
      <c r="H1088" s="9">
        <f>IF(AND($F1088&lt;&gt;"",ISNUMBER(SEARCH('Nr rejestracyjny'!$F$5,$F1088))),COUNT($H$1:H1087)+1,"")</f>
        <v>0</v>
      </c>
      <c r="I1088" s="9">
        <f>IF(AND($G1088&lt;&gt;"",ISNUMBER(SEARCH('Nr rejestracyjny'!$F$5,$G1088))),COUNT($I$1:I1087)+1,"")</f>
        <v>0</v>
      </c>
    </row>
    <row r="1089" spans="6:9">
      <c r="F1089" s="7">
        <f>IF('W rejestracji'!$C$1096="","",'W rejestracji'!$C$1096)</f>
        <v>0</v>
      </c>
      <c r="G1089" s="7">
        <f>IF(Zarejestrowane!$C$1096="","",Zarejestrowane!$C$1096)</f>
        <v>0</v>
      </c>
      <c r="H1089" s="9">
        <f>IF(AND($F1089&lt;&gt;"",ISNUMBER(SEARCH('Nr rejestracyjny'!$F$5,$F1089))),COUNT($H$1:H1088)+1,"")</f>
        <v>0</v>
      </c>
      <c r="I1089" s="9">
        <f>IF(AND($G1089&lt;&gt;"",ISNUMBER(SEARCH('Nr rejestracyjny'!$F$5,$G1089))),COUNT($I$1:I1088)+1,"")</f>
        <v>0</v>
      </c>
    </row>
    <row r="1090" spans="6:9">
      <c r="F1090" s="7">
        <f>IF('W rejestracji'!$C$1097="","",'W rejestracji'!$C$1097)</f>
        <v>0</v>
      </c>
      <c r="G1090" s="7">
        <f>IF(Zarejestrowane!$C$1097="","",Zarejestrowane!$C$1097)</f>
        <v>0</v>
      </c>
      <c r="H1090" s="9">
        <f>IF(AND($F1090&lt;&gt;"",ISNUMBER(SEARCH('Nr rejestracyjny'!$F$5,$F1090))),COUNT($H$1:H1089)+1,"")</f>
        <v>0</v>
      </c>
      <c r="I1090" s="9">
        <f>IF(AND($G1090&lt;&gt;"",ISNUMBER(SEARCH('Nr rejestracyjny'!$F$5,$G1090))),COUNT($I$1:I1089)+1,"")</f>
        <v>0</v>
      </c>
    </row>
    <row r="1091" spans="6:9">
      <c r="F1091" s="7">
        <f>IF('W rejestracji'!$C$1098="","",'W rejestracji'!$C$1098)</f>
        <v>0</v>
      </c>
      <c r="G1091" s="7">
        <f>IF(Zarejestrowane!$C$1098="","",Zarejestrowane!$C$1098)</f>
        <v>0</v>
      </c>
      <c r="H1091" s="9">
        <f>IF(AND($F1091&lt;&gt;"",ISNUMBER(SEARCH('Nr rejestracyjny'!$F$5,$F1091))),COUNT($H$1:H1090)+1,"")</f>
        <v>0</v>
      </c>
      <c r="I1091" s="9">
        <f>IF(AND($G1091&lt;&gt;"",ISNUMBER(SEARCH('Nr rejestracyjny'!$F$5,$G1091))),COUNT($I$1:I1090)+1,"")</f>
        <v>0</v>
      </c>
    </row>
    <row r="1092" spans="6:9">
      <c r="F1092" s="7">
        <f>IF('W rejestracji'!$C$1099="","",'W rejestracji'!$C$1099)</f>
        <v>0</v>
      </c>
      <c r="G1092" s="7">
        <f>IF(Zarejestrowane!$C$1099="","",Zarejestrowane!$C$1099)</f>
        <v>0</v>
      </c>
      <c r="H1092" s="9">
        <f>IF(AND($F1092&lt;&gt;"",ISNUMBER(SEARCH('Nr rejestracyjny'!$F$5,$F1092))),COUNT($H$1:H1091)+1,"")</f>
        <v>0</v>
      </c>
      <c r="I1092" s="9">
        <f>IF(AND($G1092&lt;&gt;"",ISNUMBER(SEARCH('Nr rejestracyjny'!$F$5,$G1092))),COUNT($I$1:I1091)+1,"")</f>
        <v>0</v>
      </c>
    </row>
    <row r="1093" spans="6:9">
      <c r="F1093" s="7">
        <f>IF('W rejestracji'!$C$1100="","",'W rejestracji'!$C$1100)</f>
        <v>0</v>
      </c>
      <c r="G1093" s="7">
        <f>IF(Zarejestrowane!$C$1100="","",Zarejestrowane!$C$1100)</f>
        <v>0</v>
      </c>
      <c r="H1093" s="9">
        <f>IF(AND($F1093&lt;&gt;"",ISNUMBER(SEARCH('Nr rejestracyjny'!$F$5,$F1093))),COUNT($H$1:H1092)+1,"")</f>
        <v>0</v>
      </c>
      <c r="I1093" s="9">
        <f>IF(AND($G1093&lt;&gt;"",ISNUMBER(SEARCH('Nr rejestracyjny'!$F$5,$G1093))),COUNT($I$1:I1092)+1,"")</f>
        <v>0</v>
      </c>
    </row>
    <row r="1094" spans="6:9">
      <c r="F1094" s="7">
        <f>IF('W rejestracji'!$C$1101="","",'W rejestracji'!$C$1101)</f>
        <v>0</v>
      </c>
      <c r="G1094" s="7">
        <f>IF(Zarejestrowane!$C$1101="","",Zarejestrowane!$C$1101)</f>
        <v>0</v>
      </c>
      <c r="H1094" s="9">
        <f>IF(AND($F1094&lt;&gt;"",ISNUMBER(SEARCH('Nr rejestracyjny'!$F$5,$F1094))),COUNT($H$1:H1093)+1,"")</f>
        <v>0</v>
      </c>
      <c r="I1094" s="9">
        <f>IF(AND($G1094&lt;&gt;"",ISNUMBER(SEARCH('Nr rejestracyjny'!$F$5,$G1094))),COUNT($I$1:I1093)+1,"")</f>
        <v>0</v>
      </c>
    </row>
    <row r="1095" spans="6:9">
      <c r="F1095" s="7">
        <f>IF('W rejestracji'!$C$1102="","",'W rejestracji'!$C$1102)</f>
        <v>0</v>
      </c>
      <c r="G1095" s="7">
        <f>IF(Zarejestrowane!$C$1102="","",Zarejestrowane!$C$1102)</f>
        <v>0</v>
      </c>
      <c r="H1095" s="9">
        <f>IF(AND($F1095&lt;&gt;"",ISNUMBER(SEARCH('Nr rejestracyjny'!$F$5,$F1095))),COUNT($H$1:H1094)+1,"")</f>
        <v>0</v>
      </c>
      <c r="I1095" s="9">
        <f>IF(AND($G1095&lt;&gt;"",ISNUMBER(SEARCH('Nr rejestracyjny'!$F$5,$G1095))),COUNT($I$1:I1094)+1,"")</f>
        <v>0</v>
      </c>
    </row>
    <row r="1096" spans="6:9">
      <c r="F1096" s="7">
        <f>IF('W rejestracji'!$C$1103="","",'W rejestracji'!$C$1103)</f>
        <v>0</v>
      </c>
      <c r="G1096" s="7">
        <f>IF(Zarejestrowane!$C$1103="","",Zarejestrowane!$C$1103)</f>
        <v>0</v>
      </c>
      <c r="H1096" s="9">
        <f>IF(AND($F1096&lt;&gt;"",ISNUMBER(SEARCH('Nr rejestracyjny'!$F$5,$F1096))),COUNT($H$1:H1095)+1,"")</f>
        <v>0</v>
      </c>
      <c r="I1096" s="9">
        <f>IF(AND($G1096&lt;&gt;"",ISNUMBER(SEARCH('Nr rejestracyjny'!$F$5,$G1096))),COUNT($I$1:I1095)+1,"")</f>
        <v>0</v>
      </c>
    </row>
    <row r="1097" spans="6:9">
      <c r="F1097" s="7">
        <f>IF('W rejestracji'!$C$1104="","",'W rejestracji'!$C$1104)</f>
        <v>0</v>
      </c>
      <c r="G1097" s="7">
        <f>IF(Zarejestrowane!$C$1104="","",Zarejestrowane!$C$1104)</f>
        <v>0</v>
      </c>
      <c r="H1097" s="9">
        <f>IF(AND($F1097&lt;&gt;"",ISNUMBER(SEARCH('Nr rejestracyjny'!$F$5,$F1097))),COUNT($H$1:H1096)+1,"")</f>
        <v>0</v>
      </c>
      <c r="I1097" s="9">
        <f>IF(AND($G1097&lt;&gt;"",ISNUMBER(SEARCH('Nr rejestracyjny'!$F$5,$G1097))),COUNT($I$1:I1096)+1,"")</f>
        <v>0</v>
      </c>
    </row>
    <row r="1098" spans="6:9">
      <c r="F1098" s="7">
        <f>IF('W rejestracji'!$C$1105="","",'W rejestracji'!$C$1105)</f>
        <v>0</v>
      </c>
      <c r="G1098" s="7">
        <f>IF(Zarejestrowane!$C$1105="","",Zarejestrowane!$C$1105)</f>
        <v>0</v>
      </c>
      <c r="H1098" s="9">
        <f>IF(AND($F1098&lt;&gt;"",ISNUMBER(SEARCH('Nr rejestracyjny'!$F$5,$F1098))),COUNT($H$1:H1097)+1,"")</f>
        <v>0</v>
      </c>
      <c r="I1098" s="9">
        <f>IF(AND($G1098&lt;&gt;"",ISNUMBER(SEARCH('Nr rejestracyjny'!$F$5,$G1098))),COUNT($I$1:I1097)+1,"")</f>
        <v>0</v>
      </c>
    </row>
    <row r="1099" spans="6:9">
      <c r="F1099" s="7">
        <f>IF('W rejestracji'!$C$1106="","",'W rejestracji'!$C$1106)</f>
        <v>0</v>
      </c>
      <c r="G1099" s="7">
        <f>IF(Zarejestrowane!$C$1106="","",Zarejestrowane!$C$1106)</f>
        <v>0</v>
      </c>
      <c r="H1099" s="9">
        <f>IF(AND($F1099&lt;&gt;"",ISNUMBER(SEARCH('Nr rejestracyjny'!$F$5,$F1099))),COUNT($H$1:H1098)+1,"")</f>
        <v>0</v>
      </c>
      <c r="I1099" s="9">
        <f>IF(AND($G1099&lt;&gt;"",ISNUMBER(SEARCH('Nr rejestracyjny'!$F$5,$G1099))),COUNT($I$1:I1098)+1,"")</f>
        <v>0</v>
      </c>
    </row>
    <row r="1100" spans="6:9">
      <c r="F1100" s="7">
        <f>IF('W rejestracji'!$C$1107="","",'W rejestracji'!$C$1107)</f>
        <v>0</v>
      </c>
      <c r="G1100" s="7">
        <f>IF(Zarejestrowane!$C$1107="","",Zarejestrowane!$C$1107)</f>
        <v>0</v>
      </c>
      <c r="H1100" s="9">
        <f>IF(AND($F1100&lt;&gt;"",ISNUMBER(SEARCH('Nr rejestracyjny'!$F$5,$F1100))),COUNT($H$1:H1099)+1,"")</f>
        <v>0</v>
      </c>
      <c r="I1100" s="9">
        <f>IF(AND($G1100&lt;&gt;"",ISNUMBER(SEARCH('Nr rejestracyjny'!$F$5,$G1100))),COUNT($I$1:I1099)+1,"")</f>
        <v>0</v>
      </c>
    </row>
    <row r="1101" spans="6:9">
      <c r="F1101" s="7">
        <f>IF('W rejestracji'!$C$1108="","",'W rejestracji'!$C$1108)</f>
        <v>0</v>
      </c>
      <c r="G1101" s="7">
        <f>IF(Zarejestrowane!$C$1108="","",Zarejestrowane!$C$1108)</f>
        <v>0</v>
      </c>
      <c r="H1101" s="9">
        <f>IF(AND($F1101&lt;&gt;"",ISNUMBER(SEARCH('Nr rejestracyjny'!$F$5,$F1101))),COUNT($H$1:H1100)+1,"")</f>
        <v>0</v>
      </c>
      <c r="I1101" s="9">
        <f>IF(AND($G1101&lt;&gt;"",ISNUMBER(SEARCH('Nr rejestracyjny'!$F$5,$G1101))),COUNT($I$1:I1100)+1,"")</f>
        <v>0</v>
      </c>
    </row>
    <row r="1102" spans="6:9">
      <c r="F1102" s="7">
        <f>IF('W rejestracji'!$C$1109="","",'W rejestracji'!$C$1109)</f>
        <v>0</v>
      </c>
      <c r="G1102" s="7">
        <f>IF(Zarejestrowane!$C$1109="","",Zarejestrowane!$C$1109)</f>
        <v>0</v>
      </c>
      <c r="H1102" s="9">
        <f>IF(AND($F1102&lt;&gt;"",ISNUMBER(SEARCH('Nr rejestracyjny'!$F$5,$F1102))),COUNT($H$1:H1101)+1,"")</f>
        <v>0</v>
      </c>
      <c r="I1102" s="9">
        <f>IF(AND($G1102&lt;&gt;"",ISNUMBER(SEARCH('Nr rejestracyjny'!$F$5,$G1102))),COUNT($I$1:I1101)+1,"")</f>
        <v>0</v>
      </c>
    </row>
    <row r="1103" spans="6:9">
      <c r="F1103" s="7">
        <f>IF('W rejestracji'!$C$1110="","",'W rejestracji'!$C$1110)</f>
        <v>0</v>
      </c>
      <c r="G1103" s="7">
        <f>IF(Zarejestrowane!$C$1110="","",Zarejestrowane!$C$1110)</f>
        <v>0</v>
      </c>
      <c r="H1103" s="9">
        <f>IF(AND($F1103&lt;&gt;"",ISNUMBER(SEARCH('Nr rejestracyjny'!$F$5,$F1103))),COUNT($H$1:H1102)+1,"")</f>
        <v>0</v>
      </c>
      <c r="I1103" s="9">
        <f>IF(AND($G1103&lt;&gt;"",ISNUMBER(SEARCH('Nr rejestracyjny'!$F$5,$G1103))),COUNT($I$1:I1102)+1,"")</f>
        <v>0</v>
      </c>
    </row>
    <row r="1104" spans="6:9">
      <c r="F1104" s="7">
        <f>IF('W rejestracji'!$C$1111="","",'W rejestracji'!$C$1111)</f>
        <v>0</v>
      </c>
      <c r="G1104" s="7">
        <f>IF(Zarejestrowane!$C$1111="","",Zarejestrowane!$C$1111)</f>
        <v>0</v>
      </c>
      <c r="H1104" s="9">
        <f>IF(AND($F1104&lt;&gt;"",ISNUMBER(SEARCH('Nr rejestracyjny'!$F$5,$F1104))),COUNT($H$1:H1103)+1,"")</f>
        <v>0</v>
      </c>
      <c r="I1104" s="9">
        <f>IF(AND($G1104&lt;&gt;"",ISNUMBER(SEARCH('Nr rejestracyjny'!$F$5,$G1104))),COUNT($I$1:I1103)+1,"")</f>
        <v>0</v>
      </c>
    </row>
    <row r="1105" spans="6:9">
      <c r="F1105" s="7">
        <f>IF('W rejestracji'!$C$1112="","",'W rejestracji'!$C$1112)</f>
        <v>0</v>
      </c>
      <c r="G1105" s="7">
        <f>IF(Zarejestrowane!$C$1112="","",Zarejestrowane!$C$1112)</f>
        <v>0</v>
      </c>
      <c r="H1105" s="9">
        <f>IF(AND($F1105&lt;&gt;"",ISNUMBER(SEARCH('Nr rejestracyjny'!$F$5,$F1105))),COUNT($H$1:H1104)+1,"")</f>
        <v>0</v>
      </c>
      <c r="I1105" s="9">
        <f>IF(AND($G1105&lt;&gt;"",ISNUMBER(SEARCH('Nr rejestracyjny'!$F$5,$G1105))),COUNT($I$1:I1104)+1,"")</f>
        <v>0</v>
      </c>
    </row>
    <row r="1106" spans="6:9">
      <c r="F1106" s="7">
        <f>IF('W rejestracji'!$C$1113="","",'W rejestracji'!$C$1113)</f>
        <v>0</v>
      </c>
      <c r="G1106" s="7">
        <f>IF(Zarejestrowane!$C$1113="","",Zarejestrowane!$C$1113)</f>
        <v>0</v>
      </c>
      <c r="H1106" s="9">
        <f>IF(AND($F1106&lt;&gt;"",ISNUMBER(SEARCH('Nr rejestracyjny'!$F$5,$F1106))),COUNT($H$1:H1105)+1,"")</f>
        <v>0</v>
      </c>
      <c r="I1106" s="9">
        <f>IF(AND($G1106&lt;&gt;"",ISNUMBER(SEARCH('Nr rejestracyjny'!$F$5,$G1106))),COUNT($I$1:I1105)+1,"")</f>
        <v>0</v>
      </c>
    </row>
    <row r="1107" spans="6:9">
      <c r="F1107" s="7">
        <f>IF('W rejestracji'!$C$1114="","",'W rejestracji'!$C$1114)</f>
        <v>0</v>
      </c>
      <c r="G1107" s="7">
        <f>IF(Zarejestrowane!$C$1114="","",Zarejestrowane!$C$1114)</f>
        <v>0</v>
      </c>
      <c r="H1107" s="9">
        <f>IF(AND($F1107&lt;&gt;"",ISNUMBER(SEARCH('Nr rejestracyjny'!$F$5,$F1107))),COUNT($H$1:H1106)+1,"")</f>
        <v>0</v>
      </c>
      <c r="I1107" s="9">
        <f>IF(AND($G1107&lt;&gt;"",ISNUMBER(SEARCH('Nr rejestracyjny'!$F$5,$G1107))),COUNT($I$1:I1106)+1,"")</f>
        <v>0</v>
      </c>
    </row>
    <row r="1108" spans="6:9">
      <c r="F1108" s="7">
        <f>IF('W rejestracji'!$C$1115="","",'W rejestracji'!$C$1115)</f>
        <v>0</v>
      </c>
      <c r="G1108" s="7">
        <f>IF(Zarejestrowane!$C$1115="","",Zarejestrowane!$C$1115)</f>
        <v>0</v>
      </c>
      <c r="H1108" s="9">
        <f>IF(AND($F1108&lt;&gt;"",ISNUMBER(SEARCH('Nr rejestracyjny'!$F$5,$F1108))),COUNT($H$1:H1107)+1,"")</f>
        <v>0</v>
      </c>
      <c r="I1108" s="9">
        <f>IF(AND($G1108&lt;&gt;"",ISNUMBER(SEARCH('Nr rejestracyjny'!$F$5,$G1108))),COUNT($I$1:I1107)+1,"")</f>
        <v>0</v>
      </c>
    </row>
    <row r="1109" spans="6:9">
      <c r="F1109" s="7">
        <f>IF('W rejestracji'!$C$1116="","",'W rejestracji'!$C$1116)</f>
        <v>0</v>
      </c>
      <c r="G1109" s="7">
        <f>IF(Zarejestrowane!$C$1116="","",Zarejestrowane!$C$1116)</f>
        <v>0</v>
      </c>
      <c r="H1109" s="9">
        <f>IF(AND($F1109&lt;&gt;"",ISNUMBER(SEARCH('Nr rejestracyjny'!$F$5,$F1109))),COUNT($H$1:H1108)+1,"")</f>
        <v>0</v>
      </c>
      <c r="I1109" s="9">
        <f>IF(AND($G1109&lt;&gt;"",ISNUMBER(SEARCH('Nr rejestracyjny'!$F$5,$G1109))),COUNT($I$1:I1108)+1,"")</f>
        <v>0</v>
      </c>
    </row>
    <row r="1110" spans="6:9">
      <c r="F1110" s="7">
        <f>IF('W rejestracji'!$C$1117="","",'W rejestracji'!$C$1117)</f>
        <v>0</v>
      </c>
      <c r="G1110" s="7">
        <f>IF(Zarejestrowane!$C$1117="","",Zarejestrowane!$C$1117)</f>
        <v>0</v>
      </c>
      <c r="H1110" s="9">
        <f>IF(AND($F1110&lt;&gt;"",ISNUMBER(SEARCH('Nr rejestracyjny'!$F$5,$F1110))),COUNT($H$1:H1109)+1,"")</f>
        <v>0</v>
      </c>
      <c r="I1110" s="9">
        <f>IF(AND($G1110&lt;&gt;"",ISNUMBER(SEARCH('Nr rejestracyjny'!$F$5,$G1110))),COUNT($I$1:I1109)+1,"")</f>
        <v>0</v>
      </c>
    </row>
    <row r="1111" spans="6:9">
      <c r="F1111" s="7">
        <f>IF('W rejestracji'!$C$1118="","",'W rejestracji'!$C$1118)</f>
        <v>0</v>
      </c>
      <c r="G1111" s="7">
        <f>IF(Zarejestrowane!$C$1118="","",Zarejestrowane!$C$1118)</f>
        <v>0</v>
      </c>
      <c r="H1111" s="9">
        <f>IF(AND($F1111&lt;&gt;"",ISNUMBER(SEARCH('Nr rejestracyjny'!$F$5,$F1111))),COUNT($H$1:H1110)+1,"")</f>
        <v>0</v>
      </c>
      <c r="I1111" s="9">
        <f>IF(AND($G1111&lt;&gt;"",ISNUMBER(SEARCH('Nr rejestracyjny'!$F$5,$G1111))),COUNT($I$1:I1110)+1,"")</f>
        <v>0</v>
      </c>
    </row>
    <row r="1112" spans="6:9">
      <c r="F1112" s="7">
        <f>IF('W rejestracji'!$C$1119="","",'W rejestracji'!$C$1119)</f>
        <v>0</v>
      </c>
      <c r="G1112" s="7">
        <f>IF(Zarejestrowane!$C$1119="","",Zarejestrowane!$C$1119)</f>
        <v>0</v>
      </c>
      <c r="H1112" s="9">
        <f>IF(AND($F1112&lt;&gt;"",ISNUMBER(SEARCH('Nr rejestracyjny'!$F$5,$F1112))),COUNT($H$1:H1111)+1,"")</f>
        <v>0</v>
      </c>
      <c r="I1112" s="9">
        <f>IF(AND($G1112&lt;&gt;"",ISNUMBER(SEARCH('Nr rejestracyjny'!$F$5,$G1112))),COUNT($I$1:I1111)+1,"")</f>
        <v>0</v>
      </c>
    </row>
    <row r="1113" spans="6:9">
      <c r="F1113" s="7">
        <f>IF('W rejestracji'!$C$1120="","",'W rejestracji'!$C$1120)</f>
        <v>0</v>
      </c>
      <c r="G1113" s="7">
        <f>IF(Zarejestrowane!$C$1120="","",Zarejestrowane!$C$1120)</f>
        <v>0</v>
      </c>
      <c r="H1113" s="9">
        <f>IF(AND($F1113&lt;&gt;"",ISNUMBER(SEARCH('Nr rejestracyjny'!$F$5,$F1113))),COUNT($H$1:H1112)+1,"")</f>
        <v>0</v>
      </c>
      <c r="I1113" s="9">
        <f>IF(AND($G1113&lt;&gt;"",ISNUMBER(SEARCH('Nr rejestracyjny'!$F$5,$G1113))),COUNT($I$1:I1112)+1,"")</f>
        <v>0</v>
      </c>
    </row>
    <row r="1114" spans="6:9">
      <c r="F1114" s="7">
        <f>IF('W rejestracji'!$C$1121="","",'W rejestracji'!$C$1121)</f>
        <v>0</v>
      </c>
      <c r="G1114" s="7">
        <f>IF(Zarejestrowane!$C$1121="","",Zarejestrowane!$C$1121)</f>
        <v>0</v>
      </c>
      <c r="H1114" s="9">
        <f>IF(AND($F1114&lt;&gt;"",ISNUMBER(SEARCH('Nr rejestracyjny'!$F$5,$F1114))),COUNT($H$1:H1113)+1,"")</f>
        <v>0</v>
      </c>
      <c r="I1114" s="9">
        <f>IF(AND($G1114&lt;&gt;"",ISNUMBER(SEARCH('Nr rejestracyjny'!$F$5,$G1114))),COUNT($I$1:I1113)+1,"")</f>
        <v>0</v>
      </c>
    </row>
    <row r="1115" spans="6:9">
      <c r="F1115" s="7">
        <f>IF('W rejestracji'!$C$1122="","",'W rejestracji'!$C$1122)</f>
        <v>0</v>
      </c>
      <c r="G1115" s="7">
        <f>IF(Zarejestrowane!$C$1122="","",Zarejestrowane!$C$1122)</f>
        <v>0</v>
      </c>
      <c r="H1115" s="9">
        <f>IF(AND($F1115&lt;&gt;"",ISNUMBER(SEARCH('Nr rejestracyjny'!$F$5,$F1115))),COUNT($H$1:H1114)+1,"")</f>
        <v>0</v>
      </c>
      <c r="I1115" s="9">
        <f>IF(AND($G1115&lt;&gt;"",ISNUMBER(SEARCH('Nr rejestracyjny'!$F$5,$G1115))),COUNT($I$1:I1114)+1,"")</f>
        <v>0</v>
      </c>
    </row>
    <row r="1116" spans="6:9">
      <c r="F1116" s="7">
        <f>IF('W rejestracji'!$C$1123="","",'W rejestracji'!$C$1123)</f>
        <v>0</v>
      </c>
      <c r="G1116" s="7">
        <f>IF(Zarejestrowane!$C$1123="","",Zarejestrowane!$C$1123)</f>
        <v>0</v>
      </c>
      <c r="H1116" s="9">
        <f>IF(AND($F1116&lt;&gt;"",ISNUMBER(SEARCH('Nr rejestracyjny'!$F$5,$F1116))),COUNT($H$1:H1115)+1,"")</f>
        <v>0</v>
      </c>
      <c r="I1116" s="9">
        <f>IF(AND($G1116&lt;&gt;"",ISNUMBER(SEARCH('Nr rejestracyjny'!$F$5,$G1116))),COUNT($I$1:I1115)+1,"")</f>
        <v>0</v>
      </c>
    </row>
    <row r="1117" spans="6:9">
      <c r="F1117" s="7">
        <f>IF('W rejestracji'!$C$1124="","",'W rejestracji'!$C$1124)</f>
        <v>0</v>
      </c>
      <c r="G1117" s="7">
        <f>IF(Zarejestrowane!$C$1124="","",Zarejestrowane!$C$1124)</f>
        <v>0</v>
      </c>
      <c r="H1117" s="9">
        <f>IF(AND($F1117&lt;&gt;"",ISNUMBER(SEARCH('Nr rejestracyjny'!$F$5,$F1117))),COUNT($H$1:H1116)+1,"")</f>
        <v>0</v>
      </c>
      <c r="I1117" s="9">
        <f>IF(AND($G1117&lt;&gt;"",ISNUMBER(SEARCH('Nr rejestracyjny'!$F$5,$G1117))),COUNT($I$1:I1116)+1,"")</f>
        <v>0</v>
      </c>
    </row>
    <row r="1118" spans="6:9">
      <c r="F1118" s="7">
        <f>IF('W rejestracji'!$C$1125="","",'W rejestracji'!$C$1125)</f>
        <v>0</v>
      </c>
      <c r="G1118" s="7">
        <f>IF(Zarejestrowane!$C$1125="","",Zarejestrowane!$C$1125)</f>
        <v>0</v>
      </c>
      <c r="H1118" s="9">
        <f>IF(AND($F1118&lt;&gt;"",ISNUMBER(SEARCH('Nr rejestracyjny'!$F$5,$F1118))),COUNT($H$1:H1117)+1,"")</f>
        <v>0</v>
      </c>
      <c r="I1118" s="9">
        <f>IF(AND($G1118&lt;&gt;"",ISNUMBER(SEARCH('Nr rejestracyjny'!$F$5,$G1118))),COUNT($I$1:I1117)+1,"")</f>
        <v>0</v>
      </c>
    </row>
    <row r="1119" spans="6:9">
      <c r="F1119" s="7">
        <f>IF('W rejestracji'!$C$1126="","",'W rejestracji'!$C$1126)</f>
        <v>0</v>
      </c>
      <c r="G1119" s="7">
        <f>IF(Zarejestrowane!$C$1126="","",Zarejestrowane!$C$1126)</f>
        <v>0</v>
      </c>
      <c r="H1119" s="9">
        <f>IF(AND($F1119&lt;&gt;"",ISNUMBER(SEARCH('Nr rejestracyjny'!$F$5,$F1119))),COUNT($H$1:H1118)+1,"")</f>
        <v>0</v>
      </c>
      <c r="I1119" s="9">
        <f>IF(AND($G1119&lt;&gt;"",ISNUMBER(SEARCH('Nr rejestracyjny'!$F$5,$G1119))),COUNT($I$1:I1118)+1,"")</f>
        <v>0</v>
      </c>
    </row>
    <row r="1120" spans="6:9">
      <c r="F1120" s="7">
        <f>IF('W rejestracji'!$C$1127="","",'W rejestracji'!$C$1127)</f>
        <v>0</v>
      </c>
      <c r="G1120" s="7">
        <f>IF(Zarejestrowane!$C$1127="","",Zarejestrowane!$C$1127)</f>
        <v>0</v>
      </c>
      <c r="H1120" s="9">
        <f>IF(AND($F1120&lt;&gt;"",ISNUMBER(SEARCH('Nr rejestracyjny'!$F$5,$F1120))),COUNT($H$1:H1119)+1,"")</f>
        <v>0</v>
      </c>
      <c r="I1120" s="9">
        <f>IF(AND($G1120&lt;&gt;"",ISNUMBER(SEARCH('Nr rejestracyjny'!$F$5,$G1120))),COUNT($I$1:I1119)+1,"")</f>
        <v>0</v>
      </c>
    </row>
    <row r="1121" spans="6:9">
      <c r="F1121" s="7">
        <f>IF('W rejestracji'!$C$1128="","",'W rejestracji'!$C$1128)</f>
        <v>0</v>
      </c>
      <c r="G1121" s="7">
        <f>IF(Zarejestrowane!$C$1128="","",Zarejestrowane!$C$1128)</f>
        <v>0</v>
      </c>
      <c r="H1121" s="9">
        <f>IF(AND($F1121&lt;&gt;"",ISNUMBER(SEARCH('Nr rejestracyjny'!$F$5,$F1121))),COUNT($H$1:H1120)+1,"")</f>
        <v>0</v>
      </c>
      <c r="I1121" s="9">
        <f>IF(AND($G1121&lt;&gt;"",ISNUMBER(SEARCH('Nr rejestracyjny'!$F$5,$G1121))),COUNT($I$1:I1120)+1,"")</f>
        <v>0</v>
      </c>
    </row>
    <row r="1122" spans="6:9">
      <c r="F1122" s="7">
        <f>IF('W rejestracji'!$C$1129="","",'W rejestracji'!$C$1129)</f>
        <v>0</v>
      </c>
      <c r="G1122" s="7">
        <f>IF(Zarejestrowane!$C$1129="","",Zarejestrowane!$C$1129)</f>
        <v>0</v>
      </c>
      <c r="H1122" s="9">
        <f>IF(AND($F1122&lt;&gt;"",ISNUMBER(SEARCH('Nr rejestracyjny'!$F$5,$F1122))),COUNT($H$1:H1121)+1,"")</f>
        <v>0</v>
      </c>
      <c r="I1122" s="9">
        <f>IF(AND($G1122&lt;&gt;"",ISNUMBER(SEARCH('Nr rejestracyjny'!$F$5,$G1122))),COUNT($I$1:I1121)+1,"")</f>
        <v>0</v>
      </c>
    </row>
    <row r="1123" spans="6:9">
      <c r="F1123" s="7">
        <f>IF('W rejestracji'!$C$1130="","",'W rejestracji'!$C$1130)</f>
        <v>0</v>
      </c>
      <c r="G1123" s="7">
        <f>IF(Zarejestrowane!$C$1130="","",Zarejestrowane!$C$1130)</f>
        <v>0</v>
      </c>
      <c r="H1123" s="9">
        <f>IF(AND($F1123&lt;&gt;"",ISNUMBER(SEARCH('Nr rejestracyjny'!$F$5,$F1123))),COUNT($H$1:H1122)+1,"")</f>
        <v>0</v>
      </c>
      <c r="I1123" s="9">
        <f>IF(AND($G1123&lt;&gt;"",ISNUMBER(SEARCH('Nr rejestracyjny'!$F$5,$G1123))),COUNT($I$1:I1122)+1,"")</f>
        <v>0</v>
      </c>
    </row>
    <row r="1124" spans="6:9">
      <c r="F1124" s="7">
        <f>IF('W rejestracji'!$C$1131="","",'W rejestracji'!$C$1131)</f>
        <v>0</v>
      </c>
      <c r="G1124" s="7">
        <f>IF(Zarejestrowane!$C$1131="","",Zarejestrowane!$C$1131)</f>
        <v>0</v>
      </c>
      <c r="H1124" s="9">
        <f>IF(AND($F1124&lt;&gt;"",ISNUMBER(SEARCH('Nr rejestracyjny'!$F$5,$F1124))),COUNT($H$1:H1123)+1,"")</f>
        <v>0</v>
      </c>
      <c r="I1124" s="9">
        <f>IF(AND($G1124&lt;&gt;"",ISNUMBER(SEARCH('Nr rejestracyjny'!$F$5,$G1124))),COUNT($I$1:I1123)+1,"")</f>
        <v>0</v>
      </c>
    </row>
    <row r="1125" spans="6:9">
      <c r="F1125" s="7">
        <f>IF('W rejestracji'!$C$1132="","",'W rejestracji'!$C$1132)</f>
        <v>0</v>
      </c>
      <c r="G1125" s="7">
        <f>IF(Zarejestrowane!$C$1132="","",Zarejestrowane!$C$1132)</f>
        <v>0</v>
      </c>
      <c r="H1125" s="9">
        <f>IF(AND($F1125&lt;&gt;"",ISNUMBER(SEARCH('Nr rejestracyjny'!$F$5,$F1125))),COUNT($H$1:H1124)+1,"")</f>
        <v>0</v>
      </c>
      <c r="I1125" s="9">
        <f>IF(AND($G1125&lt;&gt;"",ISNUMBER(SEARCH('Nr rejestracyjny'!$F$5,$G1125))),COUNT($I$1:I1124)+1,"")</f>
        <v>0</v>
      </c>
    </row>
    <row r="1126" spans="6:9">
      <c r="F1126" s="7">
        <f>IF('W rejestracji'!$C$1133="","",'W rejestracji'!$C$1133)</f>
        <v>0</v>
      </c>
      <c r="G1126" s="7">
        <f>IF(Zarejestrowane!$C$1133="","",Zarejestrowane!$C$1133)</f>
        <v>0</v>
      </c>
      <c r="H1126" s="9">
        <f>IF(AND($F1126&lt;&gt;"",ISNUMBER(SEARCH('Nr rejestracyjny'!$F$5,$F1126))),COUNT($H$1:H1125)+1,"")</f>
        <v>0</v>
      </c>
      <c r="I1126" s="9">
        <f>IF(AND($G1126&lt;&gt;"",ISNUMBER(SEARCH('Nr rejestracyjny'!$F$5,$G1126))),COUNT($I$1:I1125)+1,"")</f>
        <v>0</v>
      </c>
    </row>
    <row r="1127" spans="6:9">
      <c r="F1127" s="7">
        <f>IF('W rejestracji'!$C$1134="","",'W rejestracji'!$C$1134)</f>
        <v>0</v>
      </c>
      <c r="G1127" s="7">
        <f>IF(Zarejestrowane!$C$1134="","",Zarejestrowane!$C$1134)</f>
        <v>0</v>
      </c>
      <c r="H1127" s="9">
        <f>IF(AND($F1127&lt;&gt;"",ISNUMBER(SEARCH('Nr rejestracyjny'!$F$5,$F1127))),COUNT($H$1:H1126)+1,"")</f>
        <v>0</v>
      </c>
      <c r="I1127" s="9">
        <f>IF(AND($G1127&lt;&gt;"",ISNUMBER(SEARCH('Nr rejestracyjny'!$F$5,$G1127))),COUNT($I$1:I1126)+1,"")</f>
        <v>0</v>
      </c>
    </row>
    <row r="1128" spans="6:9">
      <c r="F1128" s="7">
        <f>IF('W rejestracji'!$C$1135="","",'W rejestracji'!$C$1135)</f>
        <v>0</v>
      </c>
      <c r="G1128" s="7">
        <f>IF(Zarejestrowane!$C$1135="","",Zarejestrowane!$C$1135)</f>
        <v>0</v>
      </c>
      <c r="H1128" s="9">
        <f>IF(AND($F1128&lt;&gt;"",ISNUMBER(SEARCH('Nr rejestracyjny'!$F$5,$F1128))),COUNT($H$1:H1127)+1,"")</f>
        <v>0</v>
      </c>
      <c r="I1128" s="9">
        <f>IF(AND($G1128&lt;&gt;"",ISNUMBER(SEARCH('Nr rejestracyjny'!$F$5,$G1128))),COUNT($I$1:I1127)+1,"")</f>
        <v>0</v>
      </c>
    </row>
    <row r="1129" spans="6:9">
      <c r="F1129" s="7">
        <f>IF('W rejestracji'!$C$1136="","",'W rejestracji'!$C$1136)</f>
        <v>0</v>
      </c>
      <c r="G1129" s="7">
        <f>IF(Zarejestrowane!$C$1136="","",Zarejestrowane!$C$1136)</f>
        <v>0</v>
      </c>
      <c r="H1129" s="9">
        <f>IF(AND($F1129&lt;&gt;"",ISNUMBER(SEARCH('Nr rejestracyjny'!$F$5,$F1129))),COUNT($H$1:H1128)+1,"")</f>
        <v>0</v>
      </c>
      <c r="I1129" s="9">
        <f>IF(AND($G1129&lt;&gt;"",ISNUMBER(SEARCH('Nr rejestracyjny'!$F$5,$G1129))),COUNT($I$1:I1128)+1,"")</f>
        <v>0</v>
      </c>
    </row>
    <row r="1130" spans="6:9">
      <c r="F1130" s="7">
        <f>IF('W rejestracji'!$C$1137="","",'W rejestracji'!$C$1137)</f>
        <v>0</v>
      </c>
      <c r="G1130" s="7">
        <f>IF(Zarejestrowane!$C$1137="","",Zarejestrowane!$C$1137)</f>
        <v>0</v>
      </c>
      <c r="H1130" s="9">
        <f>IF(AND($F1130&lt;&gt;"",ISNUMBER(SEARCH('Nr rejestracyjny'!$F$5,$F1130))),COUNT($H$1:H1129)+1,"")</f>
        <v>0</v>
      </c>
      <c r="I1130" s="9">
        <f>IF(AND($G1130&lt;&gt;"",ISNUMBER(SEARCH('Nr rejestracyjny'!$F$5,$G1130))),COUNT($I$1:I1129)+1,"")</f>
        <v>0</v>
      </c>
    </row>
    <row r="1131" spans="6:9">
      <c r="F1131" s="7">
        <f>IF('W rejestracji'!$C$1138="","",'W rejestracji'!$C$1138)</f>
        <v>0</v>
      </c>
      <c r="G1131" s="7">
        <f>IF(Zarejestrowane!$C$1138="","",Zarejestrowane!$C$1138)</f>
        <v>0</v>
      </c>
      <c r="H1131" s="9">
        <f>IF(AND($F1131&lt;&gt;"",ISNUMBER(SEARCH('Nr rejestracyjny'!$F$5,$F1131))),COUNT($H$1:H1130)+1,"")</f>
        <v>0</v>
      </c>
      <c r="I1131" s="9">
        <f>IF(AND($G1131&lt;&gt;"",ISNUMBER(SEARCH('Nr rejestracyjny'!$F$5,$G1131))),COUNT($I$1:I1130)+1,"")</f>
        <v>0</v>
      </c>
    </row>
    <row r="1132" spans="6:9">
      <c r="F1132" s="7">
        <f>IF('W rejestracji'!$C$1139="","",'W rejestracji'!$C$1139)</f>
        <v>0</v>
      </c>
      <c r="G1132" s="7">
        <f>IF(Zarejestrowane!$C$1139="","",Zarejestrowane!$C$1139)</f>
        <v>0</v>
      </c>
      <c r="H1132" s="9">
        <f>IF(AND($F1132&lt;&gt;"",ISNUMBER(SEARCH('Nr rejestracyjny'!$F$5,$F1132))),COUNT($H$1:H1131)+1,"")</f>
        <v>0</v>
      </c>
      <c r="I1132" s="9">
        <f>IF(AND($G1132&lt;&gt;"",ISNUMBER(SEARCH('Nr rejestracyjny'!$F$5,$G1132))),COUNT($I$1:I1131)+1,"")</f>
        <v>0</v>
      </c>
    </row>
    <row r="1133" spans="6:9">
      <c r="F1133" s="7">
        <f>IF('W rejestracji'!$C$1140="","",'W rejestracji'!$C$1140)</f>
        <v>0</v>
      </c>
      <c r="G1133" s="7">
        <f>IF(Zarejestrowane!$C$1140="","",Zarejestrowane!$C$1140)</f>
        <v>0</v>
      </c>
      <c r="H1133" s="9">
        <f>IF(AND($F1133&lt;&gt;"",ISNUMBER(SEARCH('Nr rejestracyjny'!$F$5,$F1133))),COUNT($H$1:H1132)+1,"")</f>
        <v>0</v>
      </c>
      <c r="I1133" s="9">
        <f>IF(AND($G1133&lt;&gt;"",ISNUMBER(SEARCH('Nr rejestracyjny'!$F$5,$G1133))),COUNT($I$1:I1132)+1,"")</f>
        <v>0</v>
      </c>
    </row>
    <row r="1134" spans="6:9">
      <c r="F1134" s="7">
        <f>IF('W rejestracji'!$C$1141="","",'W rejestracji'!$C$1141)</f>
        <v>0</v>
      </c>
      <c r="G1134" s="7">
        <f>IF(Zarejestrowane!$C$1141="","",Zarejestrowane!$C$1141)</f>
        <v>0</v>
      </c>
      <c r="H1134" s="9">
        <f>IF(AND($F1134&lt;&gt;"",ISNUMBER(SEARCH('Nr rejestracyjny'!$F$5,$F1134))),COUNT($H$1:H1133)+1,"")</f>
        <v>0</v>
      </c>
      <c r="I1134" s="9">
        <f>IF(AND($G1134&lt;&gt;"",ISNUMBER(SEARCH('Nr rejestracyjny'!$F$5,$G1134))),COUNT($I$1:I1133)+1,"")</f>
        <v>0</v>
      </c>
    </row>
    <row r="1135" spans="6:9">
      <c r="F1135" s="7">
        <f>IF('W rejestracji'!$C$1142="","",'W rejestracji'!$C$1142)</f>
        <v>0</v>
      </c>
      <c r="G1135" s="7">
        <f>IF(Zarejestrowane!$C$1142="","",Zarejestrowane!$C$1142)</f>
        <v>0</v>
      </c>
      <c r="H1135" s="9">
        <f>IF(AND($F1135&lt;&gt;"",ISNUMBER(SEARCH('Nr rejestracyjny'!$F$5,$F1135))),COUNT($H$1:H1134)+1,"")</f>
        <v>0</v>
      </c>
      <c r="I1135" s="9">
        <f>IF(AND($G1135&lt;&gt;"",ISNUMBER(SEARCH('Nr rejestracyjny'!$F$5,$G1135))),COUNT($I$1:I1134)+1,"")</f>
        <v>0</v>
      </c>
    </row>
    <row r="1136" spans="6:9">
      <c r="F1136" s="7">
        <f>IF('W rejestracji'!$C$1143="","",'W rejestracji'!$C$1143)</f>
        <v>0</v>
      </c>
      <c r="G1136" s="7">
        <f>IF(Zarejestrowane!$C$1143="","",Zarejestrowane!$C$1143)</f>
        <v>0</v>
      </c>
      <c r="H1136" s="9">
        <f>IF(AND($F1136&lt;&gt;"",ISNUMBER(SEARCH('Nr rejestracyjny'!$F$5,$F1136))),COUNT($H$1:H1135)+1,"")</f>
        <v>0</v>
      </c>
      <c r="I1136" s="9">
        <f>IF(AND($G1136&lt;&gt;"",ISNUMBER(SEARCH('Nr rejestracyjny'!$F$5,$G1136))),COUNT($I$1:I1135)+1,"")</f>
        <v>0</v>
      </c>
    </row>
    <row r="1137" spans="6:9">
      <c r="F1137" s="7">
        <f>IF('W rejestracji'!$C$1144="","",'W rejestracji'!$C$1144)</f>
        <v>0</v>
      </c>
      <c r="G1137" s="7">
        <f>IF(Zarejestrowane!$C$1144="","",Zarejestrowane!$C$1144)</f>
        <v>0</v>
      </c>
      <c r="H1137" s="9">
        <f>IF(AND($F1137&lt;&gt;"",ISNUMBER(SEARCH('Nr rejestracyjny'!$F$5,$F1137))),COUNT($H$1:H1136)+1,"")</f>
        <v>0</v>
      </c>
      <c r="I1137" s="9">
        <f>IF(AND($G1137&lt;&gt;"",ISNUMBER(SEARCH('Nr rejestracyjny'!$F$5,$G1137))),COUNT($I$1:I1136)+1,"")</f>
        <v>0</v>
      </c>
    </row>
    <row r="1138" spans="6:9">
      <c r="F1138" s="7">
        <f>IF('W rejestracji'!$C$1145="","",'W rejestracji'!$C$1145)</f>
        <v>0</v>
      </c>
      <c r="G1138" s="7">
        <f>IF(Zarejestrowane!$C$1145="","",Zarejestrowane!$C$1145)</f>
        <v>0</v>
      </c>
      <c r="H1138" s="9">
        <f>IF(AND($F1138&lt;&gt;"",ISNUMBER(SEARCH('Nr rejestracyjny'!$F$5,$F1138))),COUNT($H$1:H1137)+1,"")</f>
        <v>0</v>
      </c>
      <c r="I1138" s="9">
        <f>IF(AND($G1138&lt;&gt;"",ISNUMBER(SEARCH('Nr rejestracyjny'!$F$5,$G1138))),COUNT($I$1:I1137)+1,"")</f>
        <v>0</v>
      </c>
    </row>
    <row r="1139" spans="6:9">
      <c r="F1139" s="7">
        <f>IF('W rejestracji'!$C$1146="","",'W rejestracji'!$C$1146)</f>
        <v>0</v>
      </c>
      <c r="G1139" s="7">
        <f>IF(Zarejestrowane!$C$1146="","",Zarejestrowane!$C$1146)</f>
        <v>0</v>
      </c>
      <c r="H1139" s="9">
        <f>IF(AND($F1139&lt;&gt;"",ISNUMBER(SEARCH('Nr rejestracyjny'!$F$5,$F1139))),COUNT($H$1:H1138)+1,"")</f>
        <v>0</v>
      </c>
      <c r="I1139" s="9">
        <f>IF(AND($G1139&lt;&gt;"",ISNUMBER(SEARCH('Nr rejestracyjny'!$F$5,$G1139))),COUNT($I$1:I1138)+1,"")</f>
        <v>0</v>
      </c>
    </row>
    <row r="1140" spans="6:9">
      <c r="F1140" s="7">
        <f>IF('W rejestracji'!$C$1147="","",'W rejestracji'!$C$1147)</f>
        <v>0</v>
      </c>
      <c r="G1140" s="7">
        <f>IF(Zarejestrowane!$C$1147="","",Zarejestrowane!$C$1147)</f>
        <v>0</v>
      </c>
      <c r="H1140" s="9">
        <f>IF(AND($F1140&lt;&gt;"",ISNUMBER(SEARCH('Nr rejestracyjny'!$F$5,$F1140))),COUNT($H$1:H1139)+1,"")</f>
        <v>0</v>
      </c>
      <c r="I1140" s="9">
        <f>IF(AND($G1140&lt;&gt;"",ISNUMBER(SEARCH('Nr rejestracyjny'!$F$5,$G1140))),COUNT($I$1:I1139)+1,"")</f>
        <v>0</v>
      </c>
    </row>
    <row r="1141" spans="6:9">
      <c r="F1141" s="7">
        <f>IF('W rejestracji'!$C$1148="","",'W rejestracji'!$C$1148)</f>
        <v>0</v>
      </c>
      <c r="G1141" s="7">
        <f>IF(Zarejestrowane!$C$1148="","",Zarejestrowane!$C$1148)</f>
        <v>0</v>
      </c>
      <c r="H1141" s="9">
        <f>IF(AND($F1141&lt;&gt;"",ISNUMBER(SEARCH('Nr rejestracyjny'!$F$5,$F1141))),COUNT($H$1:H1140)+1,"")</f>
        <v>0</v>
      </c>
      <c r="I1141" s="9">
        <f>IF(AND($G1141&lt;&gt;"",ISNUMBER(SEARCH('Nr rejestracyjny'!$F$5,$G1141))),COUNT($I$1:I1140)+1,"")</f>
        <v>0</v>
      </c>
    </row>
    <row r="1142" spans="6:9">
      <c r="F1142" s="7">
        <f>IF('W rejestracji'!$C$1149="","",'W rejestracji'!$C$1149)</f>
        <v>0</v>
      </c>
      <c r="G1142" s="7">
        <f>IF(Zarejestrowane!$C$1149="","",Zarejestrowane!$C$1149)</f>
        <v>0</v>
      </c>
      <c r="H1142" s="9">
        <f>IF(AND($F1142&lt;&gt;"",ISNUMBER(SEARCH('Nr rejestracyjny'!$F$5,$F1142))),COUNT($H$1:H1141)+1,"")</f>
        <v>0</v>
      </c>
      <c r="I1142" s="9">
        <f>IF(AND($G1142&lt;&gt;"",ISNUMBER(SEARCH('Nr rejestracyjny'!$F$5,$G1142))),COUNT($I$1:I1141)+1,"")</f>
        <v>0</v>
      </c>
    </row>
    <row r="1143" spans="6:9">
      <c r="F1143" s="7">
        <f>IF('W rejestracji'!$C$1150="","",'W rejestracji'!$C$1150)</f>
        <v>0</v>
      </c>
      <c r="G1143" s="7">
        <f>IF(Zarejestrowane!$C$1150="","",Zarejestrowane!$C$1150)</f>
        <v>0</v>
      </c>
      <c r="H1143" s="9">
        <f>IF(AND($F1143&lt;&gt;"",ISNUMBER(SEARCH('Nr rejestracyjny'!$F$5,$F1143))),COUNT($H$1:H1142)+1,"")</f>
        <v>0</v>
      </c>
      <c r="I1143" s="9">
        <f>IF(AND($G1143&lt;&gt;"",ISNUMBER(SEARCH('Nr rejestracyjny'!$F$5,$G1143))),COUNT($I$1:I1142)+1,"")</f>
        <v>0</v>
      </c>
    </row>
    <row r="1144" spans="6:9">
      <c r="F1144" s="7">
        <f>IF('W rejestracji'!$C$1151="","",'W rejestracji'!$C$1151)</f>
        <v>0</v>
      </c>
      <c r="G1144" s="7">
        <f>IF(Zarejestrowane!$C$1151="","",Zarejestrowane!$C$1151)</f>
        <v>0</v>
      </c>
      <c r="H1144" s="9">
        <f>IF(AND($F1144&lt;&gt;"",ISNUMBER(SEARCH('Nr rejestracyjny'!$F$5,$F1144))),COUNT($H$1:H1143)+1,"")</f>
        <v>0</v>
      </c>
      <c r="I1144" s="9">
        <f>IF(AND($G1144&lt;&gt;"",ISNUMBER(SEARCH('Nr rejestracyjny'!$F$5,$G1144))),COUNT($I$1:I1143)+1,"")</f>
        <v>0</v>
      </c>
    </row>
    <row r="1145" spans="6:9">
      <c r="F1145" s="7">
        <f>IF('W rejestracji'!$C$1152="","",'W rejestracji'!$C$1152)</f>
        <v>0</v>
      </c>
      <c r="G1145" s="7">
        <f>IF(Zarejestrowane!$C$1152="","",Zarejestrowane!$C$1152)</f>
        <v>0</v>
      </c>
      <c r="H1145" s="9">
        <f>IF(AND($F1145&lt;&gt;"",ISNUMBER(SEARCH('Nr rejestracyjny'!$F$5,$F1145))),COUNT($H$1:H1144)+1,"")</f>
        <v>0</v>
      </c>
      <c r="I1145" s="9">
        <f>IF(AND($G1145&lt;&gt;"",ISNUMBER(SEARCH('Nr rejestracyjny'!$F$5,$G1145))),COUNT($I$1:I1144)+1,"")</f>
        <v>0</v>
      </c>
    </row>
    <row r="1146" spans="6:9">
      <c r="F1146" s="7">
        <f>IF('W rejestracji'!$C$1153="","",'W rejestracji'!$C$1153)</f>
        <v>0</v>
      </c>
      <c r="G1146" s="7">
        <f>IF(Zarejestrowane!$C$1153="","",Zarejestrowane!$C$1153)</f>
        <v>0</v>
      </c>
      <c r="H1146" s="9">
        <f>IF(AND($F1146&lt;&gt;"",ISNUMBER(SEARCH('Nr rejestracyjny'!$F$5,$F1146))),COUNT($H$1:H1145)+1,"")</f>
        <v>0</v>
      </c>
      <c r="I1146" s="9">
        <f>IF(AND($G1146&lt;&gt;"",ISNUMBER(SEARCH('Nr rejestracyjny'!$F$5,$G1146))),COUNT($I$1:I1145)+1,"")</f>
        <v>0</v>
      </c>
    </row>
    <row r="1147" spans="6:9">
      <c r="F1147" s="7">
        <f>IF('W rejestracji'!$C$1154="","",'W rejestracji'!$C$1154)</f>
        <v>0</v>
      </c>
      <c r="G1147" s="7">
        <f>IF(Zarejestrowane!$C$1154="","",Zarejestrowane!$C$1154)</f>
        <v>0</v>
      </c>
      <c r="H1147" s="9">
        <f>IF(AND($F1147&lt;&gt;"",ISNUMBER(SEARCH('Nr rejestracyjny'!$F$5,$F1147))),COUNT($H$1:H1146)+1,"")</f>
        <v>0</v>
      </c>
      <c r="I1147" s="9">
        <f>IF(AND($G1147&lt;&gt;"",ISNUMBER(SEARCH('Nr rejestracyjny'!$F$5,$G1147))),COUNT($I$1:I1146)+1,"")</f>
        <v>0</v>
      </c>
    </row>
    <row r="1148" spans="6:9">
      <c r="F1148" s="7">
        <f>IF('W rejestracji'!$C$1155="","",'W rejestracji'!$C$1155)</f>
        <v>0</v>
      </c>
      <c r="G1148" s="7">
        <f>IF(Zarejestrowane!$C$1155="","",Zarejestrowane!$C$1155)</f>
        <v>0</v>
      </c>
      <c r="H1148" s="9">
        <f>IF(AND($F1148&lt;&gt;"",ISNUMBER(SEARCH('Nr rejestracyjny'!$F$5,$F1148))),COUNT($H$1:H1147)+1,"")</f>
        <v>0</v>
      </c>
      <c r="I1148" s="9">
        <f>IF(AND($G1148&lt;&gt;"",ISNUMBER(SEARCH('Nr rejestracyjny'!$F$5,$G1148))),COUNT($I$1:I1147)+1,"")</f>
        <v>0</v>
      </c>
    </row>
    <row r="1149" spans="6:9">
      <c r="F1149" s="7">
        <f>IF('W rejestracji'!$C$1156="","",'W rejestracji'!$C$1156)</f>
        <v>0</v>
      </c>
      <c r="G1149" s="7">
        <f>IF(Zarejestrowane!$C$1156="","",Zarejestrowane!$C$1156)</f>
        <v>0</v>
      </c>
      <c r="H1149" s="9">
        <f>IF(AND($F1149&lt;&gt;"",ISNUMBER(SEARCH('Nr rejestracyjny'!$F$5,$F1149))),COUNT($H$1:H1148)+1,"")</f>
        <v>0</v>
      </c>
      <c r="I1149" s="9">
        <f>IF(AND($G1149&lt;&gt;"",ISNUMBER(SEARCH('Nr rejestracyjny'!$F$5,$G1149))),COUNT($I$1:I1148)+1,"")</f>
        <v>0</v>
      </c>
    </row>
    <row r="1150" spans="6:9">
      <c r="F1150" s="7">
        <f>IF('W rejestracji'!$C$1157="","",'W rejestracji'!$C$1157)</f>
        <v>0</v>
      </c>
      <c r="G1150" s="7">
        <f>IF(Zarejestrowane!$C$1157="","",Zarejestrowane!$C$1157)</f>
        <v>0</v>
      </c>
      <c r="H1150" s="9">
        <f>IF(AND($F1150&lt;&gt;"",ISNUMBER(SEARCH('Nr rejestracyjny'!$F$5,$F1150))),COUNT($H$1:H1149)+1,"")</f>
        <v>0</v>
      </c>
      <c r="I1150" s="9">
        <f>IF(AND($G1150&lt;&gt;"",ISNUMBER(SEARCH('Nr rejestracyjny'!$F$5,$G1150))),COUNT($I$1:I1149)+1,"")</f>
        <v>0</v>
      </c>
    </row>
    <row r="1151" spans="6:9">
      <c r="F1151" s="7">
        <f>IF('W rejestracji'!$C$1158="","",'W rejestracji'!$C$1158)</f>
        <v>0</v>
      </c>
      <c r="G1151" s="7">
        <f>IF(Zarejestrowane!$C$1158="","",Zarejestrowane!$C$1158)</f>
        <v>0</v>
      </c>
      <c r="H1151" s="9">
        <f>IF(AND($F1151&lt;&gt;"",ISNUMBER(SEARCH('Nr rejestracyjny'!$F$5,$F1151))),COUNT($H$1:H1150)+1,"")</f>
        <v>0</v>
      </c>
      <c r="I1151" s="9">
        <f>IF(AND($G1151&lt;&gt;"",ISNUMBER(SEARCH('Nr rejestracyjny'!$F$5,$G1151))),COUNT($I$1:I1150)+1,"")</f>
        <v>0</v>
      </c>
    </row>
    <row r="1152" spans="6:9">
      <c r="F1152" s="7">
        <f>IF('W rejestracji'!$C$1159="","",'W rejestracji'!$C$1159)</f>
        <v>0</v>
      </c>
      <c r="G1152" s="7">
        <f>IF(Zarejestrowane!$C$1159="","",Zarejestrowane!$C$1159)</f>
        <v>0</v>
      </c>
      <c r="H1152" s="9">
        <f>IF(AND($F1152&lt;&gt;"",ISNUMBER(SEARCH('Nr rejestracyjny'!$F$5,$F1152))),COUNT($H$1:H1151)+1,"")</f>
        <v>0</v>
      </c>
      <c r="I1152" s="9">
        <f>IF(AND($G1152&lt;&gt;"",ISNUMBER(SEARCH('Nr rejestracyjny'!$F$5,$G1152))),COUNT($I$1:I1151)+1,"")</f>
        <v>0</v>
      </c>
    </row>
    <row r="1153" spans="6:9">
      <c r="F1153" s="7">
        <f>IF('W rejestracji'!$C$1160="","",'W rejestracji'!$C$1160)</f>
        <v>0</v>
      </c>
      <c r="G1153" s="7">
        <f>IF(Zarejestrowane!$C$1160="","",Zarejestrowane!$C$1160)</f>
        <v>0</v>
      </c>
      <c r="H1153" s="9">
        <f>IF(AND($F1153&lt;&gt;"",ISNUMBER(SEARCH('Nr rejestracyjny'!$F$5,$F1153))),COUNT($H$1:H1152)+1,"")</f>
        <v>0</v>
      </c>
      <c r="I1153" s="9">
        <f>IF(AND($G1153&lt;&gt;"",ISNUMBER(SEARCH('Nr rejestracyjny'!$F$5,$G1153))),COUNT($I$1:I1152)+1,"")</f>
        <v>0</v>
      </c>
    </row>
    <row r="1154" spans="6:9">
      <c r="F1154" s="7">
        <f>IF('W rejestracji'!$C$1161="","",'W rejestracji'!$C$1161)</f>
        <v>0</v>
      </c>
      <c r="G1154" s="7">
        <f>IF(Zarejestrowane!$C$1161="","",Zarejestrowane!$C$1161)</f>
        <v>0</v>
      </c>
      <c r="H1154" s="9">
        <f>IF(AND($F1154&lt;&gt;"",ISNUMBER(SEARCH('Nr rejestracyjny'!$F$5,$F1154))),COUNT($H$1:H1153)+1,"")</f>
        <v>0</v>
      </c>
      <c r="I1154" s="9">
        <f>IF(AND($G1154&lt;&gt;"",ISNUMBER(SEARCH('Nr rejestracyjny'!$F$5,$G1154))),COUNT($I$1:I1153)+1,"")</f>
        <v>0</v>
      </c>
    </row>
    <row r="1155" spans="6:9">
      <c r="F1155" s="7">
        <f>IF('W rejestracji'!$C$1162="","",'W rejestracji'!$C$1162)</f>
        <v>0</v>
      </c>
      <c r="G1155" s="7">
        <f>IF(Zarejestrowane!$C$1162="","",Zarejestrowane!$C$1162)</f>
        <v>0</v>
      </c>
      <c r="H1155" s="9">
        <f>IF(AND($F1155&lt;&gt;"",ISNUMBER(SEARCH('Nr rejestracyjny'!$F$5,$F1155))),COUNT($H$1:H1154)+1,"")</f>
        <v>0</v>
      </c>
      <c r="I1155" s="9">
        <f>IF(AND($G1155&lt;&gt;"",ISNUMBER(SEARCH('Nr rejestracyjny'!$F$5,$G1155))),COUNT($I$1:I1154)+1,"")</f>
        <v>0</v>
      </c>
    </row>
    <row r="1156" spans="6:9">
      <c r="F1156" s="7">
        <f>IF('W rejestracji'!$C$1163="","",'W rejestracji'!$C$1163)</f>
        <v>0</v>
      </c>
      <c r="G1156" s="7">
        <f>IF(Zarejestrowane!$C$1163="","",Zarejestrowane!$C$1163)</f>
        <v>0</v>
      </c>
      <c r="H1156" s="9">
        <f>IF(AND($F1156&lt;&gt;"",ISNUMBER(SEARCH('Nr rejestracyjny'!$F$5,$F1156))),COUNT($H$1:H1155)+1,"")</f>
        <v>0</v>
      </c>
      <c r="I1156" s="9">
        <f>IF(AND($G1156&lt;&gt;"",ISNUMBER(SEARCH('Nr rejestracyjny'!$F$5,$G1156))),COUNT($I$1:I1155)+1,"")</f>
        <v>0</v>
      </c>
    </row>
    <row r="1157" spans="6:9">
      <c r="F1157" s="7">
        <f>IF('W rejestracji'!$C$1164="","",'W rejestracji'!$C$1164)</f>
        <v>0</v>
      </c>
      <c r="G1157" s="7">
        <f>IF(Zarejestrowane!$C$1164="","",Zarejestrowane!$C$1164)</f>
        <v>0</v>
      </c>
      <c r="H1157" s="9">
        <f>IF(AND($F1157&lt;&gt;"",ISNUMBER(SEARCH('Nr rejestracyjny'!$F$5,$F1157))),COUNT($H$1:H1156)+1,"")</f>
        <v>0</v>
      </c>
      <c r="I1157" s="9">
        <f>IF(AND($G1157&lt;&gt;"",ISNUMBER(SEARCH('Nr rejestracyjny'!$F$5,$G1157))),COUNT($I$1:I1156)+1,"")</f>
        <v>0</v>
      </c>
    </row>
    <row r="1158" spans="6:9">
      <c r="F1158" s="7">
        <f>IF('W rejestracji'!$C$1165="","",'W rejestracji'!$C$1165)</f>
        <v>0</v>
      </c>
      <c r="G1158" s="7">
        <f>IF(Zarejestrowane!$C$1165="","",Zarejestrowane!$C$1165)</f>
        <v>0</v>
      </c>
      <c r="H1158" s="9">
        <f>IF(AND($F1158&lt;&gt;"",ISNUMBER(SEARCH('Nr rejestracyjny'!$F$5,$F1158))),COUNT($H$1:H1157)+1,"")</f>
        <v>0</v>
      </c>
      <c r="I1158" s="9">
        <f>IF(AND($G1158&lt;&gt;"",ISNUMBER(SEARCH('Nr rejestracyjny'!$F$5,$G1158))),COUNT($I$1:I1157)+1,"")</f>
        <v>0</v>
      </c>
    </row>
    <row r="1159" spans="6:9">
      <c r="F1159" s="7">
        <f>IF('W rejestracji'!$C$1166="","",'W rejestracji'!$C$1166)</f>
        <v>0</v>
      </c>
      <c r="G1159" s="7">
        <f>IF(Zarejestrowane!$C$1166="","",Zarejestrowane!$C$1166)</f>
        <v>0</v>
      </c>
      <c r="H1159" s="9">
        <f>IF(AND($F1159&lt;&gt;"",ISNUMBER(SEARCH('Nr rejestracyjny'!$F$5,$F1159))),COUNT($H$1:H1158)+1,"")</f>
        <v>0</v>
      </c>
      <c r="I1159" s="9">
        <f>IF(AND($G1159&lt;&gt;"",ISNUMBER(SEARCH('Nr rejestracyjny'!$F$5,$G1159))),COUNT($I$1:I1158)+1,"")</f>
        <v>0</v>
      </c>
    </row>
    <row r="1160" spans="6:9">
      <c r="F1160" s="7">
        <f>IF('W rejestracji'!$C$1167="","",'W rejestracji'!$C$1167)</f>
        <v>0</v>
      </c>
      <c r="G1160" s="7">
        <f>IF(Zarejestrowane!$C$1167="","",Zarejestrowane!$C$1167)</f>
        <v>0</v>
      </c>
      <c r="H1160" s="9">
        <f>IF(AND($F1160&lt;&gt;"",ISNUMBER(SEARCH('Nr rejestracyjny'!$F$5,$F1160))),COUNT($H$1:H1159)+1,"")</f>
        <v>0</v>
      </c>
      <c r="I1160" s="9">
        <f>IF(AND($G1160&lt;&gt;"",ISNUMBER(SEARCH('Nr rejestracyjny'!$F$5,$G1160))),COUNT($I$1:I1159)+1,"")</f>
        <v>0</v>
      </c>
    </row>
    <row r="1161" spans="6:9">
      <c r="F1161" s="7">
        <f>IF('W rejestracji'!$C$1168="","",'W rejestracji'!$C$1168)</f>
        <v>0</v>
      </c>
      <c r="G1161" s="7">
        <f>IF(Zarejestrowane!$C$1168="","",Zarejestrowane!$C$1168)</f>
        <v>0</v>
      </c>
      <c r="H1161" s="9">
        <f>IF(AND($F1161&lt;&gt;"",ISNUMBER(SEARCH('Nr rejestracyjny'!$F$5,$F1161))),COUNT($H$1:H1160)+1,"")</f>
        <v>0</v>
      </c>
      <c r="I1161" s="9">
        <f>IF(AND($G1161&lt;&gt;"",ISNUMBER(SEARCH('Nr rejestracyjny'!$F$5,$G1161))),COUNT($I$1:I1160)+1,"")</f>
        <v>0</v>
      </c>
    </row>
    <row r="1162" spans="6:9">
      <c r="F1162" s="7">
        <f>IF('W rejestracji'!$C$1169="","",'W rejestracji'!$C$1169)</f>
        <v>0</v>
      </c>
      <c r="G1162" s="7">
        <f>IF(Zarejestrowane!$C$1169="","",Zarejestrowane!$C$1169)</f>
        <v>0</v>
      </c>
      <c r="H1162" s="9">
        <f>IF(AND($F1162&lt;&gt;"",ISNUMBER(SEARCH('Nr rejestracyjny'!$F$5,$F1162))),COUNT($H$1:H1161)+1,"")</f>
        <v>0</v>
      </c>
      <c r="I1162" s="9">
        <f>IF(AND($G1162&lt;&gt;"",ISNUMBER(SEARCH('Nr rejestracyjny'!$F$5,$G1162))),COUNT($I$1:I1161)+1,"")</f>
        <v>0</v>
      </c>
    </row>
    <row r="1163" spans="6:9">
      <c r="F1163" s="7">
        <f>IF('W rejestracji'!$C$1170="","",'W rejestracji'!$C$1170)</f>
        <v>0</v>
      </c>
      <c r="G1163" s="7">
        <f>IF(Zarejestrowane!$C$1170="","",Zarejestrowane!$C$1170)</f>
        <v>0</v>
      </c>
      <c r="H1163" s="9">
        <f>IF(AND($F1163&lt;&gt;"",ISNUMBER(SEARCH('Nr rejestracyjny'!$F$5,$F1163))),COUNT($H$1:H1162)+1,"")</f>
        <v>0</v>
      </c>
      <c r="I1163" s="9">
        <f>IF(AND($G1163&lt;&gt;"",ISNUMBER(SEARCH('Nr rejestracyjny'!$F$5,$G1163))),COUNT($I$1:I1162)+1,"")</f>
        <v>0</v>
      </c>
    </row>
    <row r="1164" spans="6:9">
      <c r="F1164" s="7">
        <f>IF('W rejestracji'!$C$1171="","",'W rejestracji'!$C$1171)</f>
        <v>0</v>
      </c>
      <c r="G1164" s="7">
        <f>IF(Zarejestrowane!$C$1171="","",Zarejestrowane!$C$1171)</f>
        <v>0</v>
      </c>
      <c r="H1164" s="9">
        <f>IF(AND($F1164&lt;&gt;"",ISNUMBER(SEARCH('Nr rejestracyjny'!$F$5,$F1164))),COUNT($H$1:H1163)+1,"")</f>
        <v>0</v>
      </c>
      <c r="I1164" s="9">
        <f>IF(AND($G1164&lt;&gt;"",ISNUMBER(SEARCH('Nr rejestracyjny'!$F$5,$G1164))),COUNT($I$1:I1163)+1,"")</f>
        <v>0</v>
      </c>
    </row>
    <row r="1165" spans="6:9">
      <c r="F1165" s="7">
        <f>IF('W rejestracji'!$C$1172="","",'W rejestracji'!$C$1172)</f>
        <v>0</v>
      </c>
      <c r="G1165" s="7">
        <f>IF(Zarejestrowane!$C$1172="","",Zarejestrowane!$C$1172)</f>
        <v>0</v>
      </c>
      <c r="H1165" s="9">
        <f>IF(AND($F1165&lt;&gt;"",ISNUMBER(SEARCH('Nr rejestracyjny'!$F$5,$F1165))),COUNT($H$1:H1164)+1,"")</f>
        <v>0</v>
      </c>
      <c r="I1165" s="9">
        <f>IF(AND($G1165&lt;&gt;"",ISNUMBER(SEARCH('Nr rejestracyjny'!$F$5,$G1165))),COUNT($I$1:I1164)+1,"")</f>
        <v>0</v>
      </c>
    </row>
    <row r="1166" spans="6:9">
      <c r="F1166" s="7">
        <f>IF('W rejestracji'!$C$1173="","",'W rejestracji'!$C$1173)</f>
        <v>0</v>
      </c>
      <c r="G1166" s="7">
        <f>IF(Zarejestrowane!$C$1173="","",Zarejestrowane!$C$1173)</f>
        <v>0</v>
      </c>
      <c r="H1166" s="9">
        <f>IF(AND($F1166&lt;&gt;"",ISNUMBER(SEARCH('Nr rejestracyjny'!$F$5,$F1166))),COUNT($H$1:H1165)+1,"")</f>
        <v>0</v>
      </c>
      <c r="I1166" s="9">
        <f>IF(AND($G1166&lt;&gt;"",ISNUMBER(SEARCH('Nr rejestracyjny'!$F$5,$G1166))),COUNT($I$1:I1165)+1,"")</f>
        <v>0</v>
      </c>
    </row>
    <row r="1167" spans="6:9">
      <c r="F1167" s="7">
        <f>IF('W rejestracji'!$C$1174="","",'W rejestracji'!$C$1174)</f>
        <v>0</v>
      </c>
      <c r="G1167" s="7">
        <f>IF(Zarejestrowane!$C$1174="","",Zarejestrowane!$C$1174)</f>
        <v>0</v>
      </c>
      <c r="H1167" s="9">
        <f>IF(AND($F1167&lt;&gt;"",ISNUMBER(SEARCH('Nr rejestracyjny'!$F$5,$F1167))),COUNT($H$1:H1166)+1,"")</f>
        <v>0</v>
      </c>
      <c r="I1167" s="9">
        <f>IF(AND($G1167&lt;&gt;"",ISNUMBER(SEARCH('Nr rejestracyjny'!$F$5,$G1167))),COUNT($I$1:I1166)+1,"")</f>
        <v>0</v>
      </c>
    </row>
    <row r="1168" spans="6:9">
      <c r="F1168" s="7">
        <f>IF('W rejestracji'!$C$1175="","",'W rejestracji'!$C$1175)</f>
        <v>0</v>
      </c>
      <c r="G1168" s="7">
        <f>IF(Zarejestrowane!$C$1175="","",Zarejestrowane!$C$1175)</f>
        <v>0</v>
      </c>
      <c r="H1168" s="9">
        <f>IF(AND($F1168&lt;&gt;"",ISNUMBER(SEARCH('Nr rejestracyjny'!$F$5,$F1168))),COUNT($H$1:H1167)+1,"")</f>
        <v>0</v>
      </c>
      <c r="I1168" s="9">
        <f>IF(AND($G1168&lt;&gt;"",ISNUMBER(SEARCH('Nr rejestracyjny'!$F$5,$G1168))),COUNT($I$1:I1167)+1,"")</f>
        <v>0</v>
      </c>
    </row>
    <row r="1169" spans="6:9">
      <c r="F1169" s="7">
        <f>IF('W rejestracji'!$C$1176="","",'W rejestracji'!$C$1176)</f>
        <v>0</v>
      </c>
      <c r="G1169" s="7">
        <f>IF(Zarejestrowane!$C$1176="","",Zarejestrowane!$C$1176)</f>
        <v>0</v>
      </c>
      <c r="H1169" s="9">
        <f>IF(AND($F1169&lt;&gt;"",ISNUMBER(SEARCH('Nr rejestracyjny'!$F$5,$F1169))),COUNT($H$1:H1168)+1,"")</f>
        <v>0</v>
      </c>
      <c r="I1169" s="9">
        <f>IF(AND($G1169&lt;&gt;"",ISNUMBER(SEARCH('Nr rejestracyjny'!$F$5,$G1169))),COUNT($I$1:I1168)+1,"")</f>
        <v>0</v>
      </c>
    </row>
    <row r="1170" spans="6:9">
      <c r="F1170" s="7">
        <f>IF('W rejestracji'!$C$1177="","",'W rejestracji'!$C$1177)</f>
        <v>0</v>
      </c>
      <c r="G1170" s="7">
        <f>IF(Zarejestrowane!$C$1177="","",Zarejestrowane!$C$1177)</f>
        <v>0</v>
      </c>
      <c r="H1170" s="9">
        <f>IF(AND($F1170&lt;&gt;"",ISNUMBER(SEARCH('Nr rejestracyjny'!$F$5,$F1170))),COUNT($H$1:H1169)+1,"")</f>
        <v>0</v>
      </c>
      <c r="I1170" s="9">
        <f>IF(AND($G1170&lt;&gt;"",ISNUMBER(SEARCH('Nr rejestracyjny'!$F$5,$G1170))),COUNT($I$1:I1169)+1,"")</f>
        <v>0</v>
      </c>
    </row>
    <row r="1171" spans="6:9">
      <c r="F1171" s="7">
        <f>IF('W rejestracji'!$C$1178="","",'W rejestracji'!$C$1178)</f>
        <v>0</v>
      </c>
      <c r="G1171" s="7">
        <f>IF(Zarejestrowane!$C$1178="","",Zarejestrowane!$C$1178)</f>
        <v>0</v>
      </c>
      <c r="H1171" s="9">
        <f>IF(AND($F1171&lt;&gt;"",ISNUMBER(SEARCH('Nr rejestracyjny'!$F$5,$F1171))),COUNT($H$1:H1170)+1,"")</f>
        <v>0</v>
      </c>
      <c r="I1171" s="9">
        <f>IF(AND($G1171&lt;&gt;"",ISNUMBER(SEARCH('Nr rejestracyjny'!$F$5,$G1171))),COUNT($I$1:I1170)+1,"")</f>
        <v>0</v>
      </c>
    </row>
    <row r="1172" spans="6:9">
      <c r="F1172" s="7">
        <f>IF('W rejestracji'!$C$1179="","",'W rejestracji'!$C$1179)</f>
        <v>0</v>
      </c>
      <c r="G1172" s="7">
        <f>IF(Zarejestrowane!$C$1179="","",Zarejestrowane!$C$1179)</f>
        <v>0</v>
      </c>
      <c r="H1172" s="9">
        <f>IF(AND($F1172&lt;&gt;"",ISNUMBER(SEARCH('Nr rejestracyjny'!$F$5,$F1172))),COUNT($H$1:H1171)+1,"")</f>
        <v>0</v>
      </c>
      <c r="I1172" s="9">
        <f>IF(AND($G1172&lt;&gt;"",ISNUMBER(SEARCH('Nr rejestracyjny'!$F$5,$G1172))),COUNT($I$1:I1171)+1,"")</f>
        <v>0</v>
      </c>
    </row>
    <row r="1173" spans="6:9">
      <c r="F1173" s="7">
        <f>IF('W rejestracji'!$C$1180="","",'W rejestracji'!$C$1180)</f>
        <v>0</v>
      </c>
      <c r="G1173" s="7">
        <f>IF(Zarejestrowane!$C$1180="","",Zarejestrowane!$C$1180)</f>
        <v>0</v>
      </c>
      <c r="H1173" s="9">
        <f>IF(AND($F1173&lt;&gt;"",ISNUMBER(SEARCH('Nr rejestracyjny'!$F$5,$F1173))),COUNT($H$1:H1172)+1,"")</f>
        <v>0</v>
      </c>
      <c r="I1173" s="9">
        <f>IF(AND($G1173&lt;&gt;"",ISNUMBER(SEARCH('Nr rejestracyjny'!$F$5,$G1173))),COUNT($I$1:I1172)+1,"")</f>
        <v>0</v>
      </c>
    </row>
    <row r="1174" spans="6:9">
      <c r="F1174" s="7">
        <f>IF('W rejestracji'!$C$1181="","",'W rejestracji'!$C$1181)</f>
        <v>0</v>
      </c>
      <c r="G1174" s="7">
        <f>IF(Zarejestrowane!$C$1181="","",Zarejestrowane!$C$1181)</f>
        <v>0</v>
      </c>
      <c r="H1174" s="9">
        <f>IF(AND($F1174&lt;&gt;"",ISNUMBER(SEARCH('Nr rejestracyjny'!$F$5,$F1174))),COUNT($H$1:H1173)+1,"")</f>
        <v>0</v>
      </c>
      <c r="I1174" s="9">
        <f>IF(AND($G1174&lt;&gt;"",ISNUMBER(SEARCH('Nr rejestracyjny'!$F$5,$G1174))),COUNT($I$1:I1173)+1,"")</f>
        <v>0</v>
      </c>
    </row>
    <row r="1175" spans="6:9">
      <c r="F1175" s="7">
        <f>IF('W rejestracji'!$C$1182="","",'W rejestracji'!$C$1182)</f>
        <v>0</v>
      </c>
      <c r="G1175" s="7">
        <f>IF(Zarejestrowane!$C$1182="","",Zarejestrowane!$C$1182)</f>
        <v>0</v>
      </c>
      <c r="H1175" s="9">
        <f>IF(AND($F1175&lt;&gt;"",ISNUMBER(SEARCH('Nr rejestracyjny'!$F$5,$F1175))),COUNT($H$1:H1174)+1,"")</f>
        <v>0</v>
      </c>
      <c r="I1175" s="9">
        <f>IF(AND($G1175&lt;&gt;"",ISNUMBER(SEARCH('Nr rejestracyjny'!$F$5,$G1175))),COUNT($I$1:I1174)+1,"")</f>
        <v>0</v>
      </c>
    </row>
    <row r="1176" spans="6:9">
      <c r="F1176" s="7">
        <f>IF('W rejestracji'!$C$1183="","",'W rejestracji'!$C$1183)</f>
        <v>0</v>
      </c>
      <c r="G1176" s="7">
        <f>IF(Zarejestrowane!$C$1183="","",Zarejestrowane!$C$1183)</f>
        <v>0</v>
      </c>
      <c r="H1176" s="9">
        <f>IF(AND($F1176&lt;&gt;"",ISNUMBER(SEARCH('Nr rejestracyjny'!$F$5,$F1176))),COUNT($H$1:H1175)+1,"")</f>
        <v>0</v>
      </c>
      <c r="I1176" s="9">
        <f>IF(AND($G1176&lt;&gt;"",ISNUMBER(SEARCH('Nr rejestracyjny'!$F$5,$G1176))),COUNT($I$1:I1175)+1,"")</f>
        <v>0</v>
      </c>
    </row>
    <row r="1177" spans="6:9">
      <c r="F1177" s="7">
        <f>IF('W rejestracji'!$C$1184="","",'W rejestracji'!$C$1184)</f>
        <v>0</v>
      </c>
      <c r="G1177" s="7">
        <f>IF(Zarejestrowane!$C$1184="","",Zarejestrowane!$C$1184)</f>
        <v>0</v>
      </c>
      <c r="H1177" s="9">
        <f>IF(AND($F1177&lt;&gt;"",ISNUMBER(SEARCH('Nr rejestracyjny'!$F$5,$F1177))),COUNT($H$1:H1176)+1,"")</f>
        <v>0</v>
      </c>
      <c r="I1177" s="9">
        <f>IF(AND($G1177&lt;&gt;"",ISNUMBER(SEARCH('Nr rejestracyjny'!$F$5,$G1177))),COUNT($I$1:I1176)+1,"")</f>
        <v>0</v>
      </c>
    </row>
    <row r="1178" spans="6:9">
      <c r="F1178" s="7">
        <f>IF('W rejestracji'!$C$1185="","",'W rejestracji'!$C$1185)</f>
        <v>0</v>
      </c>
      <c r="G1178" s="7">
        <f>IF(Zarejestrowane!$C$1185="","",Zarejestrowane!$C$1185)</f>
        <v>0</v>
      </c>
      <c r="H1178" s="9">
        <f>IF(AND($F1178&lt;&gt;"",ISNUMBER(SEARCH('Nr rejestracyjny'!$F$5,$F1178))),COUNT($H$1:H1177)+1,"")</f>
        <v>0</v>
      </c>
      <c r="I1178" s="9">
        <f>IF(AND($G1178&lt;&gt;"",ISNUMBER(SEARCH('Nr rejestracyjny'!$F$5,$G1178))),COUNT($I$1:I1177)+1,"")</f>
        <v>0</v>
      </c>
    </row>
    <row r="1179" spans="6:9">
      <c r="F1179" s="7">
        <f>IF('W rejestracji'!$C$1186="","",'W rejestracji'!$C$1186)</f>
        <v>0</v>
      </c>
      <c r="G1179" s="7">
        <f>IF(Zarejestrowane!$C$1186="","",Zarejestrowane!$C$1186)</f>
        <v>0</v>
      </c>
      <c r="H1179" s="9">
        <f>IF(AND($F1179&lt;&gt;"",ISNUMBER(SEARCH('Nr rejestracyjny'!$F$5,$F1179))),COUNT($H$1:H1178)+1,"")</f>
        <v>0</v>
      </c>
      <c r="I1179" s="9">
        <f>IF(AND($G1179&lt;&gt;"",ISNUMBER(SEARCH('Nr rejestracyjny'!$F$5,$G1179))),COUNT($I$1:I1178)+1,"")</f>
        <v>0</v>
      </c>
    </row>
    <row r="1180" spans="6:9">
      <c r="F1180" s="7">
        <f>IF('W rejestracji'!$C$1187="","",'W rejestracji'!$C$1187)</f>
        <v>0</v>
      </c>
      <c r="G1180" s="7">
        <f>IF(Zarejestrowane!$C$1187="","",Zarejestrowane!$C$1187)</f>
        <v>0</v>
      </c>
      <c r="H1180" s="9">
        <f>IF(AND($F1180&lt;&gt;"",ISNUMBER(SEARCH('Nr rejestracyjny'!$F$5,$F1180))),COUNT($H$1:H1179)+1,"")</f>
        <v>0</v>
      </c>
      <c r="I1180" s="9">
        <f>IF(AND($G1180&lt;&gt;"",ISNUMBER(SEARCH('Nr rejestracyjny'!$F$5,$G1180))),COUNT($I$1:I1179)+1,"")</f>
        <v>0</v>
      </c>
    </row>
    <row r="1181" spans="6:9">
      <c r="F1181" s="7">
        <f>IF('W rejestracji'!$C$1188="","",'W rejestracji'!$C$1188)</f>
        <v>0</v>
      </c>
      <c r="G1181" s="7">
        <f>IF(Zarejestrowane!$C$1188="","",Zarejestrowane!$C$1188)</f>
        <v>0</v>
      </c>
      <c r="H1181" s="9">
        <f>IF(AND($F1181&lt;&gt;"",ISNUMBER(SEARCH('Nr rejestracyjny'!$F$5,$F1181))),COUNT($H$1:H1180)+1,"")</f>
        <v>0</v>
      </c>
      <c r="I1181" s="9">
        <f>IF(AND($G1181&lt;&gt;"",ISNUMBER(SEARCH('Nr rejestracyjny'!$F$5,$G1181))),COUNT($I$1:I1180)+1,"")</f>
        <v>0</v>
      </c>
    </row>
    <row r="1182" spans="6:9">
      <c r="F1182" s="7">
        <f>IF('W rejestracji'!$C$1189="","",'W rejestracji'!$C$1189)</f>
        <v>0</v>
      </c>
      <c r="G1182" s="7">
        <f>IF(Zarejestrowane!$C$1189="","",Zarejestrowane!$C$1189)</f>
        <v>0</v>
      </c>
      <c r="H1182" s="9">
        <f>IF(AND($F1182&lt;&gt;"",ISNUMBER(SEARCH('Nr rejestracyjny'!$F$5,$F1182))),COUNT($H$1:H1181)+1,"")</f>
        <v>0</v>
      </c>
      <c r="I1182" s="9">
        <f>IF(AND($G1182&lt;&gt;"",ISNUMBER(SEARCH('Nr rejestracyjny'!$F$5,$G1182))),COUNT($I$1:I1181)+1,"")</f>
        <v>0</v>
      </c>
    </row>
    <row r="1183" spans="6:9">
      <c r="F1183" s="7">
        <f>IF('W rejestracji'!$C$1190="","",'W rejestracji'!$C$1190)</f>
        <v>0</v>
      </c>
      <c r="G1183" s="7">
        <f>IF(Zarejestrowane!$C$1190="","",Zarejestrowane!$C$1190)</f>
        <v>0</v>
      </c>
      <c r="H1183" s="9">
        <f>IF(AND($F1183&lt;&gt;"",ISNUMBER(SEARCH('Nr rejestracyjny'!$F$5,$F1183))),COUNT($H$1:H1182)+1,"")</f>
        <v>0</v>
      </c>
      <c r="I1183" s="9">
        <f>IF(AND($G1183&lt;&gt;"",ISNUMBER(SEARCH('Nr rejestracyjny'!$F$5,$G1183))),COUNT($I$1:I1182)+1,"")</f>
        <v>0</v>
      </c>
    </row>
    <row r="1184" spans="6:9">
      <c r="F1184" s="7">
        <f>IF('W rejestracji'!$C$1191="","",'W rejestracji'!$C$1191)</f>
        <v>0</v>
      </c>
      <c r="G1184" s="7">
        <f>IF(Zarejestrowane!$C$1191="","",Zarejestrowane!$C$1191)</f>
        <v>0</v>
      </c>
      <c r="H1184" s="9">
        <f>IF(AND($F1184&lt;&gt;"",ISNUMBER(SEARCH('Nr rejestracyjny'!$F$5,$F1184))),COUNT($H$1:H1183)+1,"")</f>
        <v>0</v>
      </c>
      <c r="I1184" s="9">
        <f>IF(AND($G1184&lt;&gt;"",ISNUMBER(SEARCH('Nr rejestracyjny'!$F$5,$G1184))),COUNT($I$1:I1183)+1,"")</f>
        <v>0</v>
      </c>
    </row>
    <row r="1185" spans="6:9">
      <c r="F1185" s="7">
        <f>IF('W rejestracji'!$C$1192="","",'W rejestracji'!$C$1192)</f>
        <v>0</v>
      </c>
      <c r="G1185" s="7">
        <f>IF(Zarejestrowane!$C$1192="","",Zarejestrowane!$C$1192)</f>
        <v>0</v>
      </c>
      <c r="H1185" s="9">
        <f>IF(AND($F1185&lt;&gt;"",ISNUMBER(SEARCH('Nr rejestracyjny'!$F$5,$F1185))),COUNT($H$1:H1184)+1,"")</f>
        <v>0</v>
      </c>
      <c r="I1185" s="9">
        <f>IF(AND($G1185&lt;&gt;"",ISNUMBER(SEARCH('Nr rejestracyjny'!$F$5,$G1185))),COUNT($I$1:I1184)+1,"")</f>
        <v>0</v>
      </c>
    </row>
    <row r="1186" spans="6:9">
      <c r="F1186" s="7">
        <f>IF('W rejestracji'!$C$1193="","",'W rejestracji'!$C$1193)</f>
        <v>0</v>
      </c>
      <c r="G1186" s="7">
        <f>IF(Zarejestrowane!$C$1193="","",Zarejestrowane!$C$1193)</f>
        <v>0</v>
      </c>
      <c r="H1186" s="9">
        <f>IF(AND($F1186&lt;&gt;"",ISNUMBER(SEARCH('Nr rejestracyjny'!$F$5,$F1186))),COUNT($H$1:H1185)+1,"")</f>
        <v>0</v>
      </c>
      <c r="I1186" s="9">
        <f>IF(AND($G1186&lt;&gt;"",ISNUMBER(SEARCH('Nr rejestracyjny'!$F$5,$G1186))),COUNT($I$1:I1185)+1,"")</f>
        <v>0</v>
      </c>
    </row>
    <row r="1187" spans="6:9">
      <c r="F1187" s="7">
        <f>IF('W rejestracji'!$C$1194="","",'W rejestracji'!$C$1194)</f>
        <v>0</v>
      </c>
      <c r="G1187" s="7">
        <f>IF(Zarejestrowane!$C$1194="","",Zarejestrowane!$C$1194)</f>
        <v>0</v>
      </c>
      <c r="H1187" s="9">
        <f>IF(AND($F1187&lt;&gt;"",ISNUMBER(SEARCH('Nr rejestracyjny'!$F$5,$F1187))),COUNT($H$1:H1186)+1,"")</f>
        <v>0</v>
      </c>
      <c r="I1187" s="9">
        <f>IF(AND($G1187&lt;&gt;"",ISNUMBER(SEARCH('Nr rejestracyjny'!$F$5,$G1187))),COUNT($I$1:I1186)+1,"")</f>
        <v>0</v>
      </c>
    </row>
    <row r="1188" spans="6:9">
      <c r="F1188" s="7">
        <f>IF('W rejestracji'!$C$1195="","",'W rejestracji'!$C$1195)</f>
        <v>0</v>
      </c>
      <c r="G1188" s="7">
        <f>IF(Zarejestrowane!$C$1195="","",Zarejestrowane!$C$1195)</f>
        <v>0</v>
      </c>
      <c r="H1188" s="9">
        <f>IF(AND($F1188&lt;&gt;"",ISNUMBER(SEARCH('Nr rejestracyjny'!$F$5,$F1188))),COUNT($H$1:H1187)+1,"")</f>
        <v>0</v>
      </c>
      <c r="I1188" s="9">
        <f>IF(AND($G1188&lt;&gt;"",ISNUMBER(SEARCH('Nr rejestracyjny'!$F$5,$G1188))),COUNT($I$1:I1187)+1,"")</f>
        <v>0</v>
      </c>
    </row>
    <row r="1189" spans="6:9">
      <c r="F1189" s="7">
        <f>IF('W rejestracji'!$C$1196="","",'W rejestracji'!$C$1196)</f>
        <v>0</v>
      </c>
      <c r="G1189" s="7">
        <f>IF(Zarejestrowane!$C$1196="","",Zarejestrowane!$C$1196)</f>
        <v>0</v>
      </c>
      <c r="H1189" s="9">
        <f>IF(AND($F1189&lt;&gt;"",ISNUMBER(SEARCH('Nr rejestracyjny'!$F$5,$F1189))),COUNT($H$1:H1188)+1,"")</f>
        <v>0</v>
      </c>
      <c r="I1189" s="9">
        <f>IF(AND($G1189&lt;&gt;"",ISNUMBER(SEARCH('Nr rejestracyjny'!$F$5,$G1189))),COUNT($I$1:I1188)+1,"")</f>
        <v>0</v>
      </c>
    </row>
    <row r="1190" spans="6:9">
      <c r="F1190" s="7">
        <f>IF('W rejestracji'!$C$1197="","",'W rejestracji'!$C$1197)</f>
        <v>0</v>
      </c>
      <c r="G1190" s="7">
        <f>IF(Zarejestrowane!$C$1197="","",Zarejestrowane!$C$1197)</f>
        <v>0</v>
      </c>
      <c r="H1190" s="9">
        <f>IF(AND($F1190&lt;&gt;"",ISNUMBER(SEARCH('Nr rejestracyjny'!$F$5,$F1190))),COUNT($H$1:H1189)+1,"")</f>
        <v>0</v>
      </c>
      <c r="I1190" s="9">
        <f>IF(AND($G1190&lt;&gt;"",ISNUMBER(SEARCH('Nr rejestracyjny'!$F$5,$G1190))),COUNT($I$1:I1189)+1,"")</f>
        <v>0</v>
      </c>
    </row>
    <row r="1191" spans="6:9">
      <c r="F1191" s="7">
        <f>IF('W rejestracji'!$C$1198="","",'W rejestracji'!$C$1198)</f>
        <v>0</v>
      </c>
      <c r="G1191" s="7">
        <f>IF(Zarejestrowane!$C$1198="","",Zarejestrowane!$C$1198)</f>
        <v>0</v>
      </c>
      <c r="H1191" s="9">
        <f>IF(AND($F1191&lt;&gt;"",ISNUMBER(SEARCH('Nr rejestracyjny'!$F$5,$F1191))),COUNT($H$1:H1190)+1,"")</f>
        <v>0</v>
      </c>
      <c r="I1191" s="9">
        <f>IF(AND($G1191&lt;&gt;"",ISNUMBER(SEARCH('Nr rejestracyjny'!$F$5,$G1191))),COUNT($I$1:I1190)+1,"")</f>
        <v>0</v>
      </c>
    </row>
    <row r="1192" spans="6:9">
      <c r="F1192" s="7">
        <f>IF('W rejestracji'!$C$1199="","",'W rejestracji'!$C$1199)</f>
        <v>0</v>
      </c>
      <c r="G1192" s="7">
        <f>IF(Zarejestrowane!$C$1199="","",Zarejestrowane!$C$1199)</f>
        <v>0</v>
      </c>
      <c r="H1192" s="9">
        <f>IF(AND($F1192&lt;&gt;"",ISNUMBER(SEARCH('Nr rejestracyjny'!$F$5,$F1192))),COUNT($H$1:H1191)+1,"")</f>
        <v>0</v>
      </c>
      <c r="I1192" s="9">
        <f>IF(AND($G1192&lt;&gt;"",ISNUMBER(SEARCH('Nr rejestracyjny'!$F$5,$G1192))),COUNT($I$1:I1191)+1,"")</f>
        <v>0</v>
      </c>
    </row>
    <row r="1193" spans="6:9">
      <c r="F1193" s="7">
        <f>IF('W rejestracji'!$C$1200="","",'W rejestracji'!$C$1200)</f>
        <v>0</v>
      </c>
      <c r="G1193" s="7">
        <f>IF(Zarejestrowane!$C$1200="","",Zarejestrowane!$C$1200)</f>
        <v>0</v>
      </c>
      <c r="H1193" s="9">
        <f>IF(AND($F1193&lt;&gt;"",ISNUMBER(SEARCH('Nr rejestracyjny'!$F$5,$F1193))),COUNT($H$1:H1192)+1,"")</f>
        <v>0</v>
      </c>
      <c r="I1193" s="9">
        <f>IF(AND($G1193&lt;&gt;"",ISNUMBER(SEARCH('Nr rejestracyjny'!$F$5,$G1193))),COUNT($I$1:I1192)+1,"")</f>
        <v>0</v>
      </c>
    </row>
    <row r="1194" spans="6:9">
      <c r="F1194" s="7">
        <f>IF('W rejestracji'!$C$1201="","",'W rejestracji'!$C$1201)</f>
        <v>0</v>
      </c>
      <c r="G1194" s="7">
        <f>IF(Zarejestrowane!$C$1201="","",Zarejestrowane!$C$1201)</f>
        <v>0</v>
      </c>
      <c r="H1194" s="9">
        <f>IF(AND($F1194&lt;&gt;"",ISNUMBER(SEARCH('Nr rejestracyjny'!$F$5,$F1194))),COUNT($H$1:H1193)+1,"")</f>
        <v>0</v>
      </c>
      <c r="I1194" s="9">
        <f>IF(AND($G1194&lt;&gt;"",ISNUMBER(SEARCH('Nr rejestracyjny'!$F$5,$G1194))),COUNT($I$1:I1193)+1,"")</f>
        <v>0</v>
      </c>
    </row>
    <row r="1195" spans="6:9">
      <c r="F1195" s="7">
        <f>IF('W rejestracji'!$C$1202="","",'W rejestracji'!$C$1202)</f>
        <v>0</v>
      </c>
      <c r="G1195" s="7">
        <f>IF(Zarejestrowane!$C$1202="","",Zarejestrowane!$C$1202)</f>
        <v>0</v>
      </c>
      <c r="H1195" s="9">
        <f>IF(AND($F1195&lt;&gt;"",ISNUMBER(SEARCH('Nr rejestracyjny'!$F$5,$F1195))),COUNT($H$1:H1194)+1,"")</f>
        <v>0</v>
      </c>
      <c r="I1195" s="9">
        <f>IF(AND($G1195&lt;&gt;"",ISNUMBER(SEARCH('Nr rejestracyjny'!$F$5,$G1195))),COUNT($I$1:I1194)+1,"")</f>
        <v>0</v>
      </c>
    </row>
    <row r="1196" spans="6:9">
      <c r="F1196" s="7">
        <f>IF('W rejestracji'!$C$1203="","",'W rejestracji'!$C$1203)</f>
        <v>0</v>
      </c>
      <c r="G1196" s="7">
        <f>IF(Zarejestrowane!$C$1203="","",Zarejestrowane!$C$1203)</f>
        <v>0</v>
      </c>
      <c r="H1196" s="9">
        <f>IF(AND($F1196&lt;&gt;"",ISNUMBER(SEARCH('Nr rejestracyjny'!$F$5,$F1196))),COUNT($H$1:H1195)+1,"")</f>
        <v>0</v>
      </c>
      <c r="I1196" s="9">
        <f>IF(AND($G1196&lt;&gt;"",ISNUMBER(SEARCH('Nr rejestracyjny'!$F$5,$G1196))),COUNT($I$1:I1195)+1,"")</f>
        <v>0</v>
      </c>
    </row>
    <row r="1197" spans="6:9">
      <c r="F1197" s="7">
        <f>IF('W rejestracji'!$C$1204="","",'W rejestracji'!$C$1204)</f>
        <v>0</v>
      </c>
      <c r="G1197" s="7">
        <f>IF(Zarejestrowane!$C$1204="","",Zarejestrowane!$C$1204)</f>
        <v>0</v>
      </c>
      <c r="H1197" s="9">
        <f>IF(AND($F1197&lt;&gt;"",ISNUMBER(SEARCH('Nr rejestracyjny'!$F$5,$F1197))),COUNT($H$1:H1196)+1,"")</f>
        <v>0</v>
      </c>
      <c r="I1197" s="9">
        <f>IF(AND($G1197&lt;&gt;"",ISNUMBER(SEARCH('Nr rejestracyjny'!$F$5,$G1197))),COUNT($I$1:I1196)+1,"")</f>
        <v>0</v>
      </c>
    </row>
    <row r="1198" spans="6:9">
      <c r="F1198" s="7">
        <f>IF('W rejestracji'!$C$1205="","",'W rejestracji'!$C$1205)</f>
        <v>0</v>
      </c>
      <c r="G1198" s="7">
        <f>IF(Zarejestrowane!$C$1205="","",Zarejestrowane!$C$1205)</f>
        <v>0</v>
      </c>
      <c r="H1198" s="9">
        <f>IF(AND($F1198&lt;&gt;"",ISNUMBER(SEARCH('Nr rejestracyjny'!$F$5,$F1198))),COUNT($H$1:H1197)+1,"")</f>
        <v>0</v>
      </c>
      <c r="I1198" s="9">
        <f>IF(AND($G1198&lt;&gt;"",ISNUMBER(SEARCH('Nr rejestracyjny'!$F$5,$G1198))),COUNT($I$1:I1197)+1,"")</f>
        <v>0</v>
      </c>
    </row>
    <row r="1199" spans="6:9">
      <c r="F1199" s="7">
        <f>IF('W rejestracji'!$C$1206="","",'W rejestracji'!$C$1206)</f>
        <v>0</v>
      </c>
      <c r="G1199" s="7">
        <f>IF(Zarejestrowane!$C$1206="","",Zarejestrowane!$C$1206)</f>
        <v>0</v>
      </c>
      <c r="H1199" s="9">
        <f>IF(AND($F1199&lt;&gt;"",ISNUMBER(SEARCH('Nr rejestracyjny'!$F$5,$F1199))),COUNT($H$1:H1198)+1,"")</f>
        <v>0</v>
      </c>
      <c r="I1199" s="9">
        <f>IF(AND($G1199&lt;&gt;"",ISNUMBER(SEARCH('Nr rejestracyjny'!$F$5,$G1199))),COUNT($I$1:I1198)+1,"")</f>
        <v>0</v>
      </c>
    </row>
    <row r="1200" spans="6:9">
      <c r="F1200" s="7">
        <f>IF('W rejestracji'!$C$1207="","",'W rejestracji'!$C$1207)</f>
        <v>0</v>
      </c>
      <c r="G1200" s="7">
        <f>IF(Zarejestrowane!$C$1207="","",Zarejestrowane!$C$1207)</f>
        <v>0</v>
      </c>
      <c r="H1200" s="9">
        <f>IF(AND($F1200&lt;&gt;"",ISNUMBER(SEARCH('Nr rejestracyjny'!$F$5,$F1200))),COUNT($H$1:H1199)+1,"")</f>
        <v>0</v>
      </c>
      <c r="I1200" s="9">
        <f>IF(AND($G1200&lt;&gt;"",ISNUMBER(SEARCH('Nr rejestracyjny'!$F$5,$G1200))),COUNT($I$1:I1199)+1,"")</f>
        <v>0</v>
      </c>
    </row>
    <row r="1201" spans="6:9">
      <c r="F1201" s="7">
        <f>IF('W rejestracji'!$C$1208="","",'W rejestracji'!$C$1208)</f>
        <v>0</v>
      </c>
      <c r="G1201" s="7">
        <f>IF(Zarejestrowane!$C$1208="","",Zarejestrowane!$C$1208)</f>
        <v>0</v>
      </c>
      <c r="H1201" s="9">
        <f>IF(AND($F1201&lt;&gt;"",ISNUMBER(SEARCH('Nr rejestracyjny'!$F$5,$F1201))),COUNT($H$1:H1200)+1,"")</f>
        <v>0</v>
      </c>
      <c r="I1201" s="9">
        <f>IF(AND($G1201&lt;&gt;"",ISNUMBER(SEARCH('Nr rejestracyjny'!$F$5,$G1201))),COUNT($I$1:I1200)+1,"")</f>
        <v>0</v>
      </c>
    </row>
    <row r="1202" spans="6:9">
      <c r="F1202" s="7">
        <f>IF('W rejestracji'!$C$1209="","",'W rejestracji'!$C$1209)</f>
        <v>0</v>
      </c>
      <c r="G1202" s="7">
        <f>IF(Zarejestrowane!$C$1209="","",Zarejestrowane!$C$1209)</f>
        <v>0</v>
      </c>
      <c r="H1202" s="9">
        <f>IF(AND($F1202&lt;&gt;"",ISNUMBER(SEARCH('Nr rejestracyjny'!$F$5,$F1202))),COUNT($H$1:H1201)+1,"")</f>
        <v>0</v>
      </c>
      <c r="I1202" s="9">
        <f>IF(AND($G1202&lt;&gt;"",ISNUMBER(SEARCH('Nr rejestracyjny'!$F$5,$G1202))),COUNT($I$1:I1201)+1,"")</f>
        <v>0</v>
      </c>
    </row>
    <row r="1203" spans="6:9">
      <c r="F1203" s="7">
        <f>IF('W rejestracji'!$C$1210="","",'W rejestracji'!$C$1210)</f>
        <v>0</v>
      </c>
      <c r="G1203" s="7">
        <f>IF(Zarejestrowane!$C$1210="","",Zarejestrowane!$C$1210)</f>
        <v>0</v>
      </c>
      <c r="H1203" s="9">
        <f>IF(AND($F1203&lt;&gt;"",ISNUMBER(SEARCH('Nr rejestracyjny'!$F$5,$F1203))),COUNT($H$1:H1202)+1,"")</f>
        <v>0</v>
      </c>
      <c r="I1203" s="9">
        <f>IF(AND($G1203&lt;&gt;"",ISNUMBER(SEARCH('Nr rejestracyjny'!$F$5,$G1203))),COUNT($I$1:I1202)+1,"")</f>
        <v>0</v>
      </c>
    </row>
    <row r="1204" spans="6:9">
      <c r="F1204" s="7">
        <f>IF('W rejestracji'!$C$1211="","",'W rejestracji'!$C$1211)</f>
        <v>0</v>
      </c>
      <c r="G1204" s="7">
        <f>IF(Zarejestrowane!$C$1211="","",Zarejestrowane!$C$1211)</f>
        <v>0</v>
      </c>
      <c r="H1204" s="9">
        <f>IF(AND($F1204&lt;&gt;"",ISNUMBER(SEARCH('Nr rejestracyjny'!$F$5,$F1204))),COUNT($H$1:H1203)+1,"")</f>
        <v>0</v>
      </c>
      <c r="I1204" s="9">
        <f>IF(AND($G1204&lt;&gt;"",ISNUMBER(SEARCH('Nr rejestracyjny'!$F$5,$G1204))),COUNT($I$1:I1203)+1,"")</f>
        <v>0</v>
      </c>
    </row>
    <row r="1205" spans="6:9">
      <c r="F1205" s="7">
        <f>IF('W rejestracji'!$C$1212="","",'W rejestracji'!$C$1212)</f>
        <v>0</v>
      </c>
      <c r="G1205" s="7">
        <f>IF(Zarejestrowane!$C$1212="","",Zarejestrowane!$C$1212)</f>
        <v>0</v>
      </c>
      <c r="H1205" s="9">
        <f>IF(AND($F1205&lt;&gt;"",ISNUMBER(SEARCH('Nr rejestracyjny'!$F$5,$F1205))),COUNT($H$1:H1204)+1,"")</f>
        <v>0</v>
      </c>
      <c r="I1205" s="9">
        <f>IF(AND($G1205&lt;&gt;"",ISNUMBER(SEARCH('Nr rejestracyjny'!$F$5,$G1205))),COUNT($I$1:I1204)+1,"")</f>
        <v>0</v>
      </c>
    </row>
    <row r="1206" spans="6:9">
      <c r="F1206" s="7">
        <f>IF('W rejestracji'!$C$1213="","",'W rejestracji'!$C$1213)</f>
        <v>0</v>
      </c>
      <c r="G1206" s="7">
        <f>IF(Zarejestrowane!$C$1213="","",Zarejestrowane!$C$1213)</f>
        <v>0</v>
      </c>
      <c r="H1206" s="9">
        <f>IF(AND($F1206&lt;&gt;"",ISNUMBER(SEARCH('Nr rejestracyjny'!$F$5,$F1206))),COUNT($H$1:H1205)+1,"")</f>
        <v>0</v>
      </c>
      <c r="I1206" s="9">
        <f>IF(AND($G1206&lt;&gt;"",ISNUMBER(SEARCH('Nr rejestracyjny'!$F$5,$G1206))),COUNT($I$1:I1205)+1,"")</f>
        <v>0</v>
      </c>
    </row>
    <row r="1207" spans="6:9">
      <c r="F1207" s="7">
        <f>IF('W rejestracji'!$C$1214="","",'W rejestracji'!$C$1214)</f>
        <v>0</v>
      </c>
      <c r="G1207" s="7">
        <f>IF(Zarejestrowane!$C$1214="","",Zarejestrowane!$C$1214)</f>
        <v>0</v>
      </c>
      <c r="H1207" s="9">
        <f>IF(AND($F1207&lt;&gt;"",ISNUMBER(SEARCH('Nr rejestracyjny'!$F$5,$F1207))),COUNT($H$1:H1206)+1,"")</f>
        <v>0</v>
      </c>
      <c r="I1207" s="9">
        <f>IF(AND($G1207&lt;&gt;"",ISNUMBER(SEARCH('Nr rejestracyjny'!$F$5,$G1207))),COUNT($I$1:I1206)+1,"")</f>
        <v>0</v>
      </c>
    </row>
    <row r="1208" spans="6:9">
      <c r="F1208" s="7">
        <f>IF('W rejestracji'!$C$1215="","",'W rejestracji'!$C$1215)</f>
        <v>0</v>
      </c>
      <c r="G1208" s="7">
        <f>IF(Zarejestrowane!$C$1215="","",Zarejestrowane!$C$1215)</f>
        <v>0</v>
      </c>
      <c r="H1208" s="9">
        <f>IF(AND($F1208&lt;&gt;"",ISNUMBER(SEARCH('Nr rejestracyjny'!$F$5,$F1208))),COUNT($H$1:H1207)+1,"")</f>
        <v>0</v>
      </c>
      <c r="I1208" s="9">
        <f>IF(AND($G1208&lt;&gt;"",ISNUMBER(SEARCH('Nr rejestracyjny'!$F$5,$G1208))),COUNT($I$1:I1207)+1,"")</f>
        <v>0</v>
      </c>
    </row>
    <row r="1209" spans="6:9">
      <c r="F1209" s="7">
        <f>IF('W rejestracji'!$C$1216="","",'W rejestracji'!$C$1216)</f>
        <v>0</v>
      </c>
      <c r="G1209" s="7">
        <f>IF(Zarejestrowane!$C$1216="","",Zarejestrowane!$C$1216)</f>
        <v>0</v>
      </c>
      <c r="H1209" s="9">
        <f>IF(AND($F1209&lt;&gt;"",ISNUMBER(SEARCH('Nr rejestracyjny'!$F$5,$F1209))),COUNT($H$1:H1208)+1,"")</f>
        <v>0</v>
      </c>
      <c r="I1209" s="9">
        <f>IF(AND($G1209&lt;&gt;"",ISNUMBER(SEARCH('Nr rejestracyjny'!$F$5,$G1209))),COUNT($I$1:I1208)+1,"")</f>
        <v>0</v>
      </c>
    </row>
    <row r="1210" spans="6:9">
      <c r="F1210" s="7">
        <f>IF('W rejestracji'!$C$1217="","",'W rejestracji'!$C$1217)</f>
        <v>0</v>
      </c>
      <c r="G1210" s="7">
        <f>IF(Zarejestrowane!$C$1217="","",Zarejestrowane!$C$1217)</f>
        <v>0</v>
      </c>
      <c r="H1210" s="9">
        <f>IF(AND($F1210&lt;&gt;"",ISNUMBER(SEARCH('Nr rejestracyjny'!$F$5,$F1210))),COUNT($H$1:H1209)+1,"")</f>
        <v>0</v>
      </c>
      <c r="I1210" s="9">
        <f>IF(AND($G1210&lt;&gt;"",ISNUMBER(SEARCH('Nr rejestracyjny'!$F$5,$G1210))),COUNT($I$1:I1209)+1,"")</f>
        <v>0</v>
      </c>
    </row>
    <row r="1211" spans="6:9">
      <c r="F1211" s="7">
        <f>IF('W rejestracji'!$C$1218="","",'W rejestracji'!$C$1218)</f>
        <v>0</v>
      </c>
      <c r="G1211" s="7">
        <f>IF(Zarejestrowane!$C$1218="","",Zarejestrowane!$C$1218)</f>
        <v>0</v>
      </c>
      <c r="H1211" s="9">
        <f>IF(AND($F1211&lt;&gt;"",ISNUMBER(SEARCH('Nr rejestracyjny'!$F$5,$F1211))),COUNT($H$1:H1210)+1,"")</f>
        <v>0</v>
      </c>
      <c r="I1211" s="9">
        <f>IF(AND($G1211&lt;&gt;"",ISNUMBER(SEARCH('Nr rejestracyjny'!$F$5,$G1211))),COUNT($I$1:I1210)+1,"")</f>
        <v>0</v>
      </c>
    </row>
    <row r="1212" spans="6:9">
      <c r="F1212" s="7">
        <f>IF('W rejestracji'!$C$1219="","",'W rejestracji'!$C$1219)</f>
        <v>0</v>
      </c>
      <c r="G1212" s="7">
        <f>IF(Zarejestrowane!$C$1219="","",Zarejestrowane!$C$1219)</f>
        <v>0</v>
      </c>
      <c r="H1212" s="9">
        <f>IF(AND($F1212&lt;&gt;"",ISNUMBER(SEARCH('Nr rejestracyjny'!$F$5,$F1212))),COUNT($H$1:H1211)+1,"")</f>
        <v>0</v>
      </c>
      <c r="I1212" s="9">
        <f>IF(AND($G1212&lt;&gt;"",ISNUMBER(SEARCH('Nr rejestracyjny'!$F$5,$G1212))),COUNT($I$1:I1211)+1,"")</f>
        <v>0</v>
      </c>
    </row>
    <row r="1213" spans="6:9">
      <c r="F1213" s="7">
        <f>IF('W rejestracji'!$C$1220="","",'W rejestracji'!$C$1220)</f>
        <v>0</v>
      </c>
      <c r="G1213" s="7">
        <f>IF(Zarejestrowane!$C$1220="","",Zarejestrowane!$C$1220)</f>
        <v>0</v>
      </c>
      <c r="H1213" s="9">
        <f>IF(AND($F1213&lt;&gt;"",ISNUMBER(SEARCH('Nr rejestracyjny'!$F$5,$F1213))),COUNT($H$1:H1212)+1,"")</f>
        <v>0</v>
      </c>
      <c r="I1213" s="9">
        <f>IF(AND($G1213&lt;&gt;"",ISNUMBER(SEARCH('Nr rejestracyjny'!$F$5,$G1213))),COUNT($I$1:I1212)+1,"")</f>
        <v>0</v>
      </c>
    </row>
    <row r="1214" spans="6:9">
      <c r="F1214" s="7">
        <f>IF('W rejestracji'!$C$1221="","",'W rejestracji'!$C$1221)</f>
        <v>0</v>
      </c>
      <c r="G1214" s="7">
        <f>IF(Zarejestrowane!$C$1221="","",Zarejestrowane!$C$1221)</f>
        <v>0</v>
      </c>
      <c r="H1214" s="9">
        <f>IF(AND($F1214&lt;&gt;"",ISNUMBER(SEARCH('Nr rejestracyjny'!$F$5,$F1214))),COUNT($H$1:H1213)+1,"")</f>
        <v>0</v>
      </c>
      <c r="I1214" s="9">
        <f>IF(AND($G1214&lt;&gt;"",ISNUMBER(SEARCH('Nr rejestracyjny'!$F$5,$G1214))),COUNT($I$1:I1213)+1,"")</f>
        <v>0</v>
      </c>
    </row>
    <row r="1215" spans="6:9">
      <c r="F1215" s="7">
        <f>IF('W rejestracji'!$C$1222="","",'W rejestracji'!$C$1222)</f>
        <v>0</v>
      </c>
      <c r="G1215" s="7">
        <f>IF(Zarejestrowane!$C$1222="","",Zarejestrowane!$C$1222)</f>
        <v>0</v>
      </c>
      <c r="H1215" s="9">
        <f>IF(AND($F1215&lt;&gt;"",ISNUMBER(SEARCH('Nr rejestracyjny'!$F$5,$F1215))),COUNT($H$1:H1214)+1,"")</f>
        <v>0</v>
      </c>
      <c r="I1215" s="9">
        <f>IF(AND($G1215&lt;&gt;"",ISNUMBER(SEARCH('Nr rejestracyjny'!$F$5,$G1215))),COUNT($I$1:I1214)+1,"")</f>
        <v>0</v>
      </c>
    </row>
    <row r="1216" spans="6:9">
      <c r="F1216" s="7">
        <f>IF('W rejestracji'!$C$1223="","",'W rejestracji'!$C$1223)</f>
        <v>0</v>
      </c>
      <c r="G1216" s="7">
        <f>IF(Zarejestrowane!$C$1223="","",Zarejestrowane!$C$1223)</f>
        <v>0</v>
      </c>
      <c r="H1216" s="9">
        <f>IF(AND($F1216&lt;&gt;"",ISNUMBER(SEARCH('Nr rejestracyjny'!$F$5,$F1216))),COUNT($H$1:H1215)+1,"")</f>
        <v>0</v>
      </c>
      <c r="I1216" s="9">
        <f>IF(AND($G1216&lt;&gt;"",ISNUMBER(SEARCH('Nr rejestracyjny'!$F$5,$G1216))),COUNT($I$1:I1215)+1,"")</f>
        <v>0</v>
      </c>
    </row>
    <row r="1217" spans="6:9">
      <c r="F1217" s="7">
        <f>IF('W rejestracji'!$C$1224="","",'W rejestracji'!$C$1224)</f>
        <v>0</v>
      </c>
      <c r="G1217" s="7">
        <f>IF(Zarejestrowane!$C$1224="","",Zarejestrowane!$C$1224)</f>
        <v>0</v>
      </c>
      <c r="H1217" s="9">
        <f>IF(AND($F1217&lt;&gt;"",ISNUMBER(SEARCH('Nr rejestracyjny'!$F$5,$F1217))),COUNT($H$1:H1216)+1,"")</f>
        <v>0</v>
      </c>
      <c r="I1217" s="9">
        <f>IF(AND($G1217&lt;&gt;"",ISNUMBER(SEARCH('Nr rejestracyjny'!$F$5,$G1217))),COUNT($I$1:I1216)+1,"")</f>
        <v>0</v>
      </c>
    </row>
    <row r="1218" spans="6:9">
      <c r="F1218" s="7">
        <f>IF('W rejestracji'!$C$1225="","",'W rejestracji'!$C$1225)</f>
        <v>0</v>
      </c>
      <c r="G1218" s="7">
        <f>IF(Zarejestrowane!$C$1225="","",Zarejestrowane!$C$1225)</f>
        <v>0</v>
      </c>
      <c r="H1218" s="9">
        <f>IF(AND($F1218&lt;&gt;"",ISNUMBER(SEARCH('Nr rejestracyjny'!$F$5,$F1218))),COUNT($H$1:H1217)+1,"")</f>
        <v>0</v>
      </c>
      <c r="I1218" s="9">
        <f>IF(AND($G1218&lt;&gt;"",ISNUMBER(SEARCH('Nr rejestracyjny'!$F$5,$G1218))),COUNT($I$1:I1217)+1,"")</f>
        <v>0</v>
      </c>
    </row>
    <row r="1219" spans="6:9">
      <c r="F1219" s="7">
        <f>IF('W rejestracji'!$C$1226="","",'W rejestracji'!$C$1226)</f>
        <v>0</v>
      </c>
      <c r="G1219" s="7">
        <f>IF(Zarejestrowane!$C$1226="","",Zarejestrowane!$C$1226)</f>
        <v>0</v>
      </c>
      <c r="H1219" s="9">
        <f>IF(AND($F1219&lt;&gt;"",ISNUMBER(SEARCH('Nr rejestracyjny'!$F$5,$F1219))),COUNT($H$1:H1218)+1,"")</f>
        <v>0</v>
      </c>
      <c r="I1219" s="9">
        <f>IF(AND($G1219&lt;&gt;"",ISNUMBER(SEARCH('Nr rejestracyjny'!$F$5,$G1219))),COUNT($I$1:I1218)+1,"")</f>
        <v>0</v>
      </c>
    </row>
    <row r="1220" spans="6:9">
      <c r="F1220" s="7">
        <f>IF('W rejestracji'!$C$1227="","",'W rejestracji'!$C$1227)</f>
        <v>0</v>
      </c>
      <c r="G1220" s="7">
        <f>IF(Zarejestrowane!$C$1227="","",Zarejestrowane!$C$1227)</f>
        <v>0</v>
      </c>
      <c r="H1220" s="9">
        <f>IF(AND($F1220&lt;&gt;"",ISNUMBER(SEARCH('Nr rejestracyjny'!$F$5,$F1220))),COUNT($H$1:H1219)+1,"")</f>
        <v>0</v>
      </c>
      <c r="I1220" s="9">
        <f>IF(AND($G1220&lt;&gt;"",ISNUMBER(SEARCH('Nr rejestracyjny'!$F$5,$G1220))),COUNT($I$1:I1219)+1,"")</f>
        <v>0</v>
      </c>
    </row>
    <row r="1221" spans="6:9">
      <c r="F1221" s="7">
        <f>IF('W rejestracji'!$C$1228="","",'W rejestracji'!$C$1228)</f>
        <v>0</v>
      </c>
      <c r="G1221" s="7">
        <f>IF(Zarejestrowane!$C$1228="","",Zarejestrowane!$C$1228)</f>
        <v>0</v>
      </c>
      <c r="H1221" s="9">
        <f>IF(AND($F1221&lt;&gt;"",ISNUMBER(SEARCH('Nr rejestracyjny'!$F$5,$F1221))),COUNT($H$1:H1220)+1,"")</f>
        <v>0</v>
      </c>
      <c r="I1221" s="9">
        <f>IF(AND($G1221&lt;&gt;"",ISNUMBER(SEARCH('Nr rejestracyjny'!$F$5,$G1221))),COUNT($I$1:I1220)+1,"")</f>
        <v>0</v>
      </c>
    </row>
    <row r="1222" spans="6:9">
      <c r="F1222" s="7">
        <f>IF('W rejestracji'!$C$1229="","",'W rejestracji'!$C$1229)</f>
        <v>0</v>
      </c>
      <c r="G1222" s="7">
        <f>IF(Zarejestrowane!$C$1229="","",Zarejestrowane!$C$1229)</f>
        <v>0</v>
      </c>
      <c r="H1222" s="9">
        <f>IF(AND($F1222&lt;&gt;"",ISNUMBER(SEARCH('Nr rejestracyjny'!$F$5,$F1222))),COUNT($H$1:H1221)+1,"")</f>
        <v>0</v>
      </c>
      <c r="I1222" s="9">
        <f>IF(AND($G1222&lt;&gt;"",ISNUMBER(SEARCH('Nr rejestracyjny'!$F$5,$G1222))),COUNT($I$1:I1221)+1,"")</f>
        <v>0</v>
      </c>
    </row>
    <row r="1223" spans="6:9">
      <c r="F1223" s="7">
        <f>IF('W rejestracji'!$C$1230="","",'W rejestracji'!$C$1230)</f>
        <v>0</v>
      </c>
      <c r="G1223" s="7">
        <f>IF(Zarejestrowane!$C$1230="","",Zarejestrowane!$C$1230)</f>
        <v>0</v>
      </c>
      <c r="H1223" s="9">
        <f>IF(AND($F1223&lt;&gt;"",ISNUMBER(SEARCH('Nr rejestracyjny'!$F$5,$F1223))),COUNT($H$1:H1222)+1,"")</f>
        <v>0</v>
      </c>
      <c r="I1223" s="9">
        <f>IF(AND($G1223&lt;&gt;"",ISNUMBER(SEARCH('Nr rejestracyjny'!$F$5,$G1223))),COUNT($I$1:I1222)+1,"")</f>
        <v>0</v>
      </c>
    </row>
    <row r="1224" spans="6:9">
      <c r="F1224" s="7">
        <f>IF('W rejestracji'!$C$1231="","",'W rejestracji'!$C$1231)</f>
        <v>0</v>
      </c>
      <c r="G1224" s="7">
        <f>IF(Zarejestrowane!$C$1231="","",Zarejestrowane!$C$1231)</f>
        <v>0</v>
      </c>
      <c r="H1224" s="9">
        <f>IF(AND($F1224&lt;&gt;"",ISNUMBER(SEARCH('Nr rejestracyjny'!$F$5,$F1224))),COUNT($H$1:H1223)+1,"")</f>
        <v>0</v>
      </c>
      <c r="I1224" s="9">
        <f>IF(AND($G1224&lt;&gt;"",ISNUMBER(SEARCH('Nr rejestracyjny'!$F$5,$G1224))),COUNT($I$1:I1223)+1,"")</f>
        <v>0</v>
      </c>
    </row>
    <row r="1225" spans="6:9">
      <c r="F1225" s="7">
        <f>IF('W rejestracji'!$C$1232="","",'W rejestracji'!$C$1232)</f>
        <v>0</v>
      </c>
      <c r="G1225" s="7">
        <f>IF(Zarejestrowane!$C$1232="","",Zarejestrowane!$C$1232)</f>
        <v>0</v>
      </c>
      <c r="H1225" s="9">
        <f>IF(AND($F1225&lt;&gt;"",ISNUMBER(SEARCH('Nr rejestracyjny'!$F$5,$F1225))),COUNT($H$1:H1224)+1,"")</f>
        <v>0</v>
      </c>
      <c r="I1225" s="9">
        <f>IF(AND($G1225&lt;&gt;"",ISNUMBER(SEARCH('Nr rejestracyjny'!$F$5,$G1225))),COUNT($I$1:I1224)+1,"")</f>
        <v>0</v>
      </c>
    </row>
    <row r="1226" spans="6:9">
      <c r="F1226" s="7">
        <f>IF('W rejestracji'!$C$1233="","",'W rejestracji'!$C$1233)</f>
        <v>0</v>
      </c>
      <c r="G1226" s="7">
        <f>IF(Zarejestrowane!$C$1233="","",Zarejestrowane!$C$1233)</f>
        <v>0</v>
      </c>
      <c r="H1226" s="9">
        <f>IF(AND($F1226&lt;&gt;"",ISNUMBER(SEARCH('Nr rejestracyjny'!$F$5,$F1226))),COUNT($H$1:H1225)+1,"")</f>
        <v>0</v>
      </c>
      <c r="I1226" s="9">
        <f>IF(AND($G1226&lt;&gt;"",ISNUMBER(SEARCH('Nr rejestracyjny'!$F$5,$G1226))),COUNT($I$1:I1225)+1,"")</f>
        <v>0</v>
      </c>
    </row>
    <row r="1227" spans="6:9">
      <c r="F1227" s="7">
        <f>IF('W rejestracji'!$C$1234="","",'W rejestracji'!$C$1234)</f>
        <v>0</v>
      </c>
      <c r="G1227" s="7">
        <f>IF(Zarejestrowane!$C$1234="","",Zarejestrowane!$C$1234)</f>
        <v>0</v>
      </c>
      <c r="H1227" s="9">
        <f>IF(AND($F1227&lt;&gt;"",ISNUMBER(SEARCH('Nr rejestracyjny'!$F$5,$F1227))),COUNT($H$1:H1226)+1,"")</f>
        <v>0</v>
      </c>
      <c r="I1227" s="9">
        <f>IF(AND($G1227&lt;&gt;"",ISNUMBER(SEARCH('Nr rejestracyjny'!$F$5,$G1227))),COUNT($I$1:I1226)+1,"")</f>
        <v>0</v>
      </c>
    </row>
    <row r="1228" spans="6:9">
      <c r="F1228" s="7">
        <f>IF('W rejestracji'!$C$1235="","",'W rejestracji'!$C$1235)</f>
        <v>0</v>
      </c>
      <c r="G1228" s="7">
        <f>IF(Zarejestrowane!$C$1235="","",Zarejestrowane!$C$1235)</f>
        <v>0</v>
      </c>
      <c r="H1228" s="9">
        <f>IF(AND($F1228&lt;&gt;"",ISNUMBER(SEARCH('Nr rejestracyjny'!$F$5,$F1228))),COUNT($H$1:H1227)+1,"")</f>
        <v>0</v>
      </c>
      <c r="I1228" s="9">
        <f>IF(AND($G1228&lt;&gt;"",ISNUMBER(SEARCH('Nr rejestracyjny'!$F$5,$G1228))),COUNT($I$1:I1227)+1,"")</f>
        <v>0</v>
      </c>
    </row>
    <row r="1229" spans="6:9">
      <c r="F1229" s="7">
        <f>IF('W rejestracji'!$C$1236="","",'W rejestracji'!$C$1236)</f>
        <v>0</v>
      </c>
      <c r="G1229" s="7">
        <f>IF(Zarejestrowane!$C$1236="","",Zarejestrowane!$C$1236)</f>
        <v>0</v>
      </c>
      <c r="H1229" s="9">
        <f>IF(AND($F1229&lt;&gt;"",ISNUMBER(SEARCH('Nr rejestracyjny'!$F$5,$F1229))),COUNT($H$1:H1228)+1,"")</f>
        <v>0</v>
      </c>
      <c r="I1229" s="9">
        <f>IF(AND($G1229&lt;&gt;"",ISNUMBER(SEARCH('Nr rejestracyjny'!$F$5,$G1229))),COUNT($I$1:I1228)+1,"")</f>
        <v>0</v>
      </c>
    </row>
    <row r="1230" spans="6:9">
      <c r="F1230" s="7">
        <f>IF('W rejestracji'!$C$1237="","",'W rejestracji'!$C$1237)</f>
        <v>0</v>
      </c>
      <c r="G1230" s="7">
        <f>IF(Zarejestrowane!$C$1237="","",Zarejestrowane!$C$1237)</f>
        <v>0</v>
      </c>
      <c r="H1230" s="9">
        <f>IF(AND($F1230&lt;&gt;"",ISNUMBER(SEARCH('Nr rejestracyjny'!$F$5,$F1230))),COUNT($H$1:H1229)+1,"")</f>
        <v>0</v>
      </c>
      <c r="I1230" s="9">
        <f>IF(AND($G1230&lt;&gt;"",ISNUMBER(SEARCH('Nr rejestracyjny'!$F$5,$G1230))),COUNT($I$1:I1229)+1,"")</f>
        <v>0</v>
      </c>
    </row>
    <row r="1231" spans="6:9">
      <c r="F1231" s="7">
        <f>IF('W rejestracji'!$C$1238="","",'W rejestracji'!$C$1238)</f>
        <v>0</v>
      </c>
      <c r="G1231" s="7">
        <f>IF(Zarejestrowane!$C$1238="","",Zarejestrowane!$C$1238)</f>
        <v>0</v>
      </c>
      <c r="H1231" s="9">
        <f>IF(AND($F1231&lt;&gt;"",ISNUMBER(SEARCH('Nr rejestracyjny'!$F$5,$F1231))),COUNT($H$1:H1230)+1,"")</f>
        <v>0</v>
      </c>
      <c r="I1231" s="9">
        <f>IF(AND($G1231&lt;&gt;"",ISNUMBER(SEARCH('Nr rejestracyjny'!$F$5,$G1231))),COUNT($I$1:I1230)+1,"")</f>
        <v>0</v>
      </c>
    </row>
    <row r="1232" spans="6:9">
      <c r="F1232" s="7">
        <f>IF('W rejestracji'!$C$1239="","",'W rejestracji'!$C$1239)</f>
        <v>0</v>
      </c>
      <c r="G1232" s="7">
        <f>IF(Zarejestrowane!$C$1239="","",Zarejestrowane!$C$1239)</f>
        <v>0</v>
      </c>
      <c r="H1232" s="9">
        <f>IF(AND($F1232&lt;&gt;"",ISNUMBER(SEARCH('Nr rejestracyjny'!$F$5,$F1232))),COUNT($H$1:H1231)+1,"")</f>
        <v>0</v>
      </c>
      <c r="I1232" s="9">
        <f>IF(AND($G1232&lt;&gt;"",ISNUMBER(SEARCH('Nr rejestracyjny'!$F$5,$G1232))),COUNT($I$1:I1231)+1,"")</f>
        <v>0</v>
      </c>
    </row>
    <row r="1233" spans="6:9">
      <c r="F1233" s="7">
        <f>IF('W rejestracji'!$C$1240="","",'W rejestracji'!$C$1240)</f>
        <v>0</v>
      </c>
      <c r="G1233" s="7">
        <f>IF(Zarejestrowane!$C$1240="","",Zarejestrowane!$C$1240)</f>
        <v>0</v>
      </c>
      <c r="H1233" s="9">
        <f>IF(AND($F1233&lt;&gt;"",ISNUMBER(SEARCH('Nr rejestracyjny'!$F$5,$F1233))),COUNT($H$1:H1232)+1,"")</f>
        <v>0</v>
      </c>
      <c r="I1233" s="9">
        <f>IF(AND($G1233&lt;&gt;"",ISNUMBER(SEARCH('Nr rejestracyjny'!$F$5,$G1233))),COUNT($I$1:I1232)+1,"")</f>
        <v>0</v>
      </c>
    </row>
    <row r="1234" spans="6:9">
      <c r="F1234" s="7">
        <f>IF('W rejestracji'!$C$1241="","",'W rejestracji'!$C$1241)</f>
        <v>0</v>
      </c>
      <c r="G1234" s="7">
        <f>IF(Zarejestrowane!$C$1241="","",Zarejestrowane!$C$1241)</f>
        <v>0</v>
      </c>
      <c r="H1234" s="9">
        <f>IF(AND($F1234&lt;&gt;"",ISNUMBER(SEARCH('Nr rejestracyjny'!$F$5,$F1234))),COUNT($H$1:H1233)+1,"")</f>
        <v>0</v>
      </c>
      <c r="I1234" s="9">
        <f>IF(AND($G1234&lt;&gt;"",ISNUMBER(SEARCH('Nr rejestracyjny'!$F$5,$G1234))),COUNT($I$1:I1233)+1,"")</f>
        <v>0</v>
      </c>
    </row>
    <row r="1235" spans="6:9">
      <c r="F1235" s="7">
        <f>IF('W rejestracji'!$C$1242="","",'W rejestracji'!$C$1242)</f>
        <v>0</v>
      </c>
      <c r="G1235" s="7">
        <f>IF(Zarejestrowane!$C$1242="","",Zarejestrowane!$C$1242)</f>
        <v>0</v>
      </c>
      <c r="H1235" s="9">
        <f>IF(AND($F1235&lt;&gt;"",ISNUMBER(SEARCH('Nr rejestracyjny'!$F$5,$F1235))),COUNT($H$1:H1234)+1,"")</f>
        <v>0</v>
      </c>
      <c r="I1235" s="9">
        <f>IF(AND($G1235&lt;&gt;"",ISNUMBER(SEARCH('Nr rejestracyjny'!$F$5,$G1235))),COUNT($I$1:I1234)+1,"")</f>
        <v>0</v>
      </c>
    </row>
    <row r="1236" spans="6:9">
      <c r="F1236" s="7">
        <f>IF('W rejestracji'!$C$1243="","",'W rejestracji'!$C$1243)</f>
        <v>0</v>
      </c>
      <c r="G1236" s="7">
        <f>IF(Zarejestrowane!$C$1243="","",Zarejestrowane!$C$1243)</f>
        <v>0</v>
      </c>
      <c r="H1236" s="9">
        <f>IF(AND($F1236&lt;&gt;"",ISNUMBER(SEARCH('Nr rejestracyjny'!$F$5,$F1236))),COUNT($H$1:H1235)+1,"")</f>
        <v>0</v>
      </c>
      <c r="I1236" s="9">
        <f>IF(AND($G1236&lt;&gt;"",ISNUMBER(SEARCH('Nr rejestracyjny'!$F$5,$G1236))),COUNT($I$1:I1235)+1,"")</f>
        <v>0</v>
      </c>
    </row>
    <row r="1237" spans="6:9">
      <c r="F1237" s="7">
        <f>IF('W rejestracji'!$C$1244="","",'W rejestracji'!$C$1244)</f>
        <v>0</v>
      </c>
      <c r="G1237" s="7">
        <f>IF(Zarejestrowane!$C$1244="","",Zarejestrowane!$C$1244)</f>
        <v>0</v>
      </c>
      <c r="H1237" s="9">
        <f>IF(AND($F1237&lt;&gt;"",ISNUMBER(SEARCH('Nr rejestracyjny'!$F$5,$F1237))),COUNT($H$1:H1236)+1,"")</f>
        <v>0</v>
      </c>
      <c r="I1237" s="9">
        <f>IF(AND($G1237&lt;&gt;"",ISNUMBER(SEARCH('Nr rejestracyjny'!$F$5,$G1237))),COUNT($I$1:I1236)+1,"")</f>
        <v>0</v>
      </c>
    </row>
    <row r="1238" spans="6:9">
      <c r="F1238" s="7">
        <f>IF('W rejestracji'!$C$1245="","",'W rejestracji'!$C$1245)</f>
        <v>0</v>
      </c>
      <c r="G1238" s="7">
        <f>IF(Zarejestrowane!$C$1245="","",Zarejestrowane!$C$1245)</f>
        <v>0</v>
      </c>
      <c r="H1238" s="9">
        <f>IF(AND($F1238&lt;&gt;"",ISNUMBER(SEARCH('Nr rejestracyjny'!$F$5,$F1238))),COUNT($H$1:H1237)+1,"")</f>
        <v>0</v>
      </c>
      <c r="I1238" s="9">
        <f>IF(AND($G1238&lt;&gt;"",ISNUMBER(SEARCH('Nr rejestracyjny'!$F$5,$G1238))),COUNT($I$1:I1237)+1,"")</f>
        <v>0</v>
      </c>
    </row>
    <row r="1239" spans="6:9">
      <c r="F1239" s="7">
        <f>IF('W rejestracji'!$C$1246="","",'W rejestracji'!$C$1246)</f>
        <v>0</v>
      </c>
      <c r="G1239" s="7">
        <f>IF(Zarejestrowane!$C$1246="","",Zarejestrowane!$C$1246)</f>
        <v>0</v>
      </c>
      <c r="H1239" s="9">
        <f>IF(AND($F1239&lt;&gt;"",ISNUMBER(SEARCH('Nr rejestracyjny'!$F$5,$F1239))),COUNT($H$1:H1238)+1,"")</f>
        <v>0</v>
      </c>
      <c r="I1239" s="9">
        <f>IF(AND($G1239&lt;&gt;"",ISNUMBER(SEARCH('Nr rejestracyjny'!$F$5,$G1239))),COUNT($I$1:I1238)+1,"")</f>
        <v>0</v>
      </c>
    </row>
    <row r="1240" spans="6:9">
      <c r="F1240" s="7">
        <f>IF('W rejestracji'!$C$1247="","",'W rejestracji'!$C$1247)</f>
        <v>0</v>
      </c>
      <c r="G1240" s="7">
        <f>IF(Zarejestrowane!$C$1247="","",Zarejestrowane!$C$1247)</f>
        <v>0</v>
      </c>
      <c r="H1240" s="9">
        <f>IF(AND($F1240&lt;&gt;"",ISNUMBER(SEARCH('Nr rejestracyjny'!$F$5,$F1240))),COUNT($H$1:H1239)+1,"")</f>
        <v>0</v>
      </c>
      <c r="I1240" s="9">
        <f>IF(AND($G1240&lt;&gt;"",ISNUMBER(SEARCH('Nr rejestracyjny'!$F$5,$G1240))),COUNT($I$1:I1239)+1,"")</f>
        <v>0</v>
      </c>
    </row>
    <row r="1241" spans="6:9">
      <c r="F1241" s="7">
        <f>IF('W rejestracji'!$C$1248="","",'W rejestracji'!$C$1248)</f>
        <v>0</v>
      </c>
      <c r="G1241" s="7">
        <f>IF(Zarejestrowane!$C$1248="","",Zarejestrowane!$C$1248)</f>
        <v>0</v>
      </c>
      <c r="H1241" s="9">
        <f>IF(AND($F1241&lt;&gt;"",ISNUMBER(SEARCH('Nr rejestracyjny'!$F$5,$F1241))),COUNT($H$1:H1240)+1,"")</f>
        <v>0</v>
      </c>
      <c r="I1241" s="9">
        <f>IF(AND($G1241&lt;&gt;"",ISNUMBER(SEARCH('Nr rejestracyjny'!$F$5,$G1241))),COUNT($I$1:I1240)+1,"")</f>
        <v>0</v>
      </c>
    </row>
    <row r="1242" spans="6:9">
      <c r="F1242" s="7">
        <f>IF('W rejestracji'!$C$1249="","",'W rejestracji'!$C$1249)</f>
        <v>0</v>
      </c>
      <c r="G1242" s="7">
        <f>IF(Zarejestrowane!$C$1249="","",Zarejestrowane!$C$1249)</f>
        <v>0</v>
      </c>
      <c r="H1242" s="9">
        <f>IF(AND($F1242&lt;&gt;"",ISNUMBER(SEARCH('Nr rejestracyjny'!$F$5,$F1242))),COUNT($H$1:H1241)+1,"")</f>
        <v>0</v>
      </c>
      <c r="I1242" s="9">
        <f>IF(AND($G1242&lt;&gt;"",ISNUMBER(SEARCH('Nr rejestracyjny'!$F$5,$G1242))),COUNT($I$1:I1241)+1,"")</f>
        <v>0</v>
      </c>
    </row>
    <row r="1243" spans="6:9">
      <c r="F1243" s="7">
        <f>IF('W rejestracji'!$C$1250="","",'W rejestracji'!$C$1250)</f>
        <v>0</v>
      </c>
      <c r="G1243" s="7">
        <f>IF(Zarejestrowane!$C$1250="","",Zarejestrowane!$C$1250)</f>
        <v>0</v>
      </c>
      <c r="H1243" s="9">
        <f>IF(AND($F1243&lt;&gt;"",ISNUMBER(SEARCH('Nr rejestracyjny'!$F$5,$F1243))),COUNT($H$1:H1242)+1,"")</f>
        <v>0</v>
      </c>
      <c r="I1243" s="9">
        <f>IF(AND($G1243&lt;&gt;"",ISNUMBER(SEARCH('Nr rejestracyjny'!$F$5,$G1243))),COUNT($I$1:I1242)+1,"")</f>
        <v>0</v>
      </c>
    </row>
    <row r="1244" spans="6:9">
      <c r="F1244" s="7">
        <f>IF('W rejestracji'!$C$1251="","",'W rejestracji'!$C$1251)</f>
        <v>0</v>
      </c>
      <c r="G1244" s="7">
        <f>IF(Zarejestrowane!$C$1251="","",Zarejestrowane!$C$1251)</f>
        <v>0</v>
      </c>
      <c r="H1244" s="9">
        <f>IF(AND($F1244&lt;&gt;"",ISNUMBER(SEARCH('Nr rejestracyjny'!$F$5,$F1244))),COUNT($H$1:H1243)+1,"")</f>
        <v>0</v>
      </c>
      <c r="I1244" s="9">
        <f>IF(AND($G1244&lt;&gt;"",ISNUMBER(SEARCH('Nr rejestracyjny'!$F$5,$G1244))),COUNT($I$1:I1243)+1,"")</f>
        <v>0</v>
      </c>
    </row>
    <row r="1245" spans="6:9">
      <c r="F1245" s="7">
        <f>IF('W rejestracji'!$C$1252="","",'W rejestracji'!$C$1252)</f>
        <v>0</v>
      </c>
      <c r="G1245" s="7">
        <f>IF(Zarejestrowane!$C$1252="","",Zarejestrowane!$C$1252)</f>
        <v>0</v>
      </c>
      <c r="H1245" s="9">
        <f>IF(AND($F1245&lt;&gt;"",ISNUMBER(SEARCH('Nr rejestracyjny'!$F$5,$F1245))),COUNT($H$1:H1244)+1,"")</f>
        <v>0</v>
      </c>
      <c r="I1245" s="9">
        <f>IF(AND($G1245&lt;&gt;"",ISNUMBER(SEARCH('Nr rejestracyjny'!$F$5,$G1245))),COUNT($I$1:I1244)+1,"")</f>
        <v>0</v>
      </c>
    </row>
    <row r="1246" spans="6:9">
      <c r="F1246" s="7">
        <f>IF('W rejestracji'!$C$1253="","",'W rejestracji'!$C$1253)</f>
        <v>0</v>
      </c>
      <c r="G1246" s="7">
        <f>IF(Zarejestrowane!$C$1253="","",Zarejestrowane!$C$1253)</f>
        <v>0</v>
      </c>
      <c r="H1246" s="9">
        <f>IF(AND($F1246&lt;&gt;"",ISNUMBER(SEARCH('Nr rejestracyjny'!$F$5,$F1246))),COUNT($H$1:H1245)+1,"")</f>
        <v>0</v>
      </c>
      <c r="I1246" s="9">
        <f>IF(AND($G1246&lt;&gt;"",ISNUMBER(SEARCH('Nr rejestracyjny'!$F$5,$G1246))),COUNT($I$1:I1245)+1,"")</f>
        <v>0</v>
      </c>
    </row>
    <row r="1247" spans="6:9">
      <c r="F1247" s="7">
        <f>IF('W rejestracji'!$C$1254="","",'W rejestracji'!$C$1254)</f>
        <v>0</v>
      </c>
      <c r="G1247" s="7">
        <f>IF(Zarejestrowane!$C$1254="","",Zarejestrowane!$C$1254)</f>
        <v>0</v>
      </c>
      <c r="H1247" s="9">
        <f>IF(AND($F1247&lt;&gt;"",ISNUMBER(SEARCH('Nr rejestracyjny'!$F$5,$F1247))),COUNT($H$1:H1246)+1,"")</f>
        <v>0</v>
      </c>
      <c r="I1247" s="9">
        <f>IF(AND($G1247&lt;&gt;"",ISNUMBER(SEARCH('Nr rejestracyjny'!$F$5,$G1247))),COUNT($I$1:I1246)+1,"")</f>
        <v>0</v>
      </c>
    </row>
    <row r="1248" spans="6:9">
      <c r="F1248" s="7">
        <f>IF('W rejestracji'!$C$1255="","",'W rejestracji'!$C$1255)</f>
        <v>0</v>
      </c>
      <c r="G1248" s="7">
        <f>IF(Zarejestrowane!$C$1255="","",Zarejestrowane!$C$1255)</f>
        <v>0</v>
      </c>
      <c r="H1248" s="9">
        <f>IF(AND($F1248&lt;&gt;"",ISNUMBER(SEARCH('Nr rejestracyjny'!$F$5,$F1248))),COUNT($H$1:H1247)+1,"")</f>
        <v>0</v>
      </c>
      <c r="I1248" s="9">
        <f>IF(AND($G1248&lt;&gt;"",ISNUMBER(SEARCH('Nr rejestracyjny'!$F$5,$G1248))),COUNT($I$1:I1247)+1,"")</f>
        <v>0</v>
      </c>
    </row>
    <row r="1249" spans="6:9">
      <c r="F1249" s="7">
        <f>IF('W rejestracji'!$C$1256="","",'W rejestracji'!$C$1256)</f>
        <v>0</v>
      </c>
      <c r="G1249" s="7">
        <f>IF(Zarejestrowane!$C$1256="","",Zarejestrowane!$C$1256)</f>
        <v>0</v>
      </c>
      <c r="H1249" s="9">
        <f>IF(AND($F1249&lt;&gt;"",ISNUMBER(SEARCH('Nr rejestracyjny'!$F$5,$F1249))),COUNT($H$1:H1248)+1,"")</f>
        <v>0</v>
      </c>
      <c r="I1249" s="9">
        <f>IF(AND($G1249&lt;&gt;"",ISNUMBER(SEARCH('Nr rejestracyjny'!$F$5,$G1249))),COUNT($I$1:I1248)+1,"")</f>
        <v>0</v>
      </c>
    </row>
    <row r="1250" spans="6:9">
      <c r="F1250" s="7">
        <f>IF('W rejestracji'!$C$1257="","",'W rejestracji'!$C$1257)</f>
        <v>0</v>
      </c>
      <c r="G1250" s="7">
        <f>IF(Zarejestrowane!$C$1257="","",Zarejestrowane!$C$1257)</f>
        <v>0</v>
      </c>
      <c r="H1250" s="9">
        <f>IF(AND($F1250&lt;&gt;"",ISNUMBER(SEARCH('Nr rejestracyjny'!$F$5,$F1250))),COUNT($H$1:H1249)+1,"")</f>
        <v>0</v>
      </c>
      <c r="I1250" s="9">
        <f>IF(AND($G1250&lt;&gt;"",ISNUMBER(SEARCH('Nr rejestracyjny'!$F$5,$G1250))),COUNT($I$1:I1249)+1,"")</f>
        <v>0</v>
      </c>
    </row>
    <row r="1251" spans="6:9">
      <c r="F1251" s="7">
        <f>IF('W rejestracji'!$C$1258="","",'W rejestracji'!$C$1258)</f>
        <v>0</v>
      </c>
      <c r="G1251" s="7">
        <f>IF(Zarejestrowane!$C$1258="","",Zarejestrowane!$C$1258)</f>
        <v>0</v>
      </c>
      <c r="H1251" s="9">
        <f>IF(AND($F1251&lt;&gt;"",ISNUMBER(SEARCH('Nr rejestracyjny'!$F$5,$F1251))),COUNT($H$1:H1250)+1,"")</f>
        <v>0</v>
      </c>
      <c r="I1251" s="9">
        <f>IF(AND($G1251&lt;&gt;"",ISNUMBER(SEARCH('Nr rejestracyjny'!$F$5,$G1251))),COUNT($I$1:I1250)+1,"")</f>
        <v>0</v>
      </c>
    </row>
    <row r="1252" spans="6:9">
      <c r="F1252" s="7">
        <f>IF('W rejestracji'!$C$1259="","",'W rejestracji'!$C$1259)</f>
        <v>0</v>
      </c>
      <c r="G1252" s="7">
        <f>IF(Zarejestrowane!$C$1259="","",Zarejestrowane!$C$1259)</f>
        <v>0</v>
      </c>
      <c r="H1252" s="9">
        <f>IF(AND($F1252&lt;&gt;"",ISNUMBER(SEARCH('Nr rejestracyjny'!$F$5,$F1252))),COUNT($H$1:H1251)+1,"")</f>
        <v>0</v>
      </c>
      <c r="I1252" s="9">
        <f>IF(AND($G1252&lt;&gt;"",ISNUMBER(SEARCH('Nr rejestracyjny'!$F$5,$G1252))),COUNT($I$1:I1251)+1,"")</f>
        <v>0</v>
      </c>
    </row>
    <row r="1253" spans="6:9">
      <c r="F1253" s="7">
        <f>IF('W rejestracji'!$C$1260="","",'W rejestracji'!$C$1260)</f>
        <v>0</v>
      </c>
      <c r="G1253" s="7">
        <f>IF(Zarejestrowane!$C$1260="","",Zarejestrowane!$C$1260)</f>
        <v>0</v>
      </c>
      <c r="H1253" s="9">
        <f>IF(AND($F1253&lt;&gt;"",ISNUMBER(SEARCH('Nr rejestracyjny'!$F$5,$F1253))),COUNT($H$1:H1252)+1,"")</f>
        <v>0</v>
      </c>
      <c r="I1253" s="9">
        <f>IF(AND($G1253&lt;&gt;"",ISNUMBER(SEARCH('Nr rejestracyjny'!$F$5,$G1253))),COUNT($I$1:I1252)+1,"")</f>
        <v>0</v>
      </c>
    </row>
    <row r="1254" spans="6:9">
      <c r="F1254" s="7">
        <f>IF('W rejestracji'!$C$1261="","",'W rejestracji'!$C$1261)</f>
        <v>0</v>
      </c>
      <c r="G1254" s="7">
        <f>IF(Zarejestrowane!$C$1261="","",Zarejestrowane!$C$1261)</f>
        <v>0</v>
      </c>
      <c r="H1254" s="9">
        <f>IF(AND($F1254&lt;&gt;"",ISNUMBER(SEARCH('Nr rejestracyjny'!$F$5,$F1254))),COUNT($H$1:H1253)+1,"")</f>
        <v>0</v>
      </c>
      <c r="I1254" s="9">
        <f>IF(AND($G1254&lt;&gt;"",ISNUMBER(SEARCH('Nr rejestracyjny'!$F$5,$G1254))),COUNT($I$1:I1253)+1,"")</f>
        <v>0</v>
      </c>
    </row>
    <row r="1255" spans="6:9">
      <c r="F1255" s="7">
        <f>IF('W rejestracji'!$C$1262="","",'W rejestracji'!$C$1262)</f>
        <v>0</v>
      </c>
      <c r="G1255" s="7">
        <f>IF(Zarejestrowane!$C$1262="","",Zarejestrowane!$C$1262)</f>
        <v>0</v>
      </c>
      <c r="H1255" s="9">
        <f>IF(AND($F1255&lt;&gt;"",ISNUMBER(SEARCH('Nr rejestracyjny'!$F$5,$F1255))),COUNT($H$1:H1254)+1,"")</f>
        <v>0</v>
      </c>
      <c r="I1255" s="9">
        <f>IF(AND($G1255&lt;&gt;"",ISNUMBER(SEARCH('Nr rejestracyjny'!$F$5,$G1255))),COUNT($I$1:I1254)+1,"")</f>
        <v>0</v>
      </c>
    </row>
    <row r="1256" spans="6:9">
      <c r="F1256" s="7">
        <f>IF('W rejestracji'!$C$1263="","",'W rejestracji'!$C$1263)</f>
        <v>0</v>
      </c>
      <c r="G1256" s="7">
        <f>IF(Zarejestrowane!$C$1263="","",Zarejestrowane!$C$1263)</f>
        <v>0</v>
      </c>
      <c r="H1256" s="9">
        <f>IF(AND($F1256&lt;&gt;"",ISNUMBER(SEARCH('Nr rejestracyjny'!$F$5,$F1256))),COUNT($H$1:H1255)+1,"")</f>
        <v>0</v>
      </c>
      <c r="I1256" s="9">
        <f>IF(AND($G1256&lt;&gt;"",ISNUMBER(SEARCH('Nr rejestracyjny'!$F$5,$G1256))),COUNT($I$1:I1255)+1,"")</f>
        <v>0</v>
      </c>
    </row>
    <row r="1257" spans="6:9">
      <c r="F1257" s="7">
        <f>IF('W rejestracji'!$C$1264="","",'W rejestracji'!$C$1264)</f>
        <v>0</v>
      </c>
      <c r="G1257" s="7">
        <f>IF(Zarejestrowane!$C$1264="","",Zarejestrowane!$C$1264)</f>
        <v>0</v>
      </c>
      <c r="H1257" s="9">
        <f>IF(AND($F1257&lt;&gt;"",ISNUMBER(SEARCH('Nr rejestracyjny'!$F$5,$F1257))),COUNT($H$1:H1256)+1,"")</f>
        <v>0</v>
      </c>
      <c r="I1257" s="9">
        <f>IF(AND($G1257&lt;&gt;"",ISNUMBER(SEARCH('Nr rejestracyjny'!$F$5,$G1257))),COUNT($I$1:I1256)+1,"")</f>
        <v>0</v>
      </c>
    </row>
    <row r="1258" spans="6:9">
      <c r="F1258" s="7">
        <f>IF('W rejestracji'!$C$1265="","",'W rejestracji'!$C$1265)</f>
        <v>0</v>
      </c>
      <c r="G1258" s="7">
        <f>IF(Zarejestrowane!$C$1265="","",Zarejestrowane!$C$1265)</f>
        <v>0</v>
      </c>
      <c r="H1258" s="9">
        <f>IF(AND($F1258&lt;&gt;"",ISNUMBER(SEARCH('Nr rejestracyjny'!$F$5,$F1258))),COUNT($H$1:H1257)+1,"")</f>
        <v>0</v>
      </c>
      <c r="I1258" s="9">
        <f>IF(AND($G1258&lt;&gt;"",ISNUMBER(SEARCH('Nr rejestracyjny'!$F$5,$G1258))),COUNT($I$1:I1257)+1,"")</f>
        <v>0</v>
      </c>
    </row>
    <row r="1259" spans="6:9">
      <c r="F1259" s="7">
        <f>IF('W rejestracji'!$C$1266="","",'W rejestracji'!$C$1266)</f>
        <v>0</v>
      </c>
      <c r="G1259" s="7">
        <f>IF(Zarejestrowane!$C$1266="","",Zarejestrowane!$C$1266)</f>
        <v>0</v>
      </c>
      <c r="H1259" s="9">
        <f>IF(AND($F1259&lt;&gt;"",ISNUMBER(SEARCH('Nr rejestracyjny'!$F$5,$F1259))),COUNT($H$1:H1258)+1,"")</f>
        <v>0</v>
      </c>
      <c r="I1259" s="9">
        <f>IF(AND($G1259&lt;&gt;"",ISNUMBER(SEARCH('Nr rejestracyjny'!$F$5,$G1259))),COUNT($I$1:I1258)+1,"")</f>
        <v>0</v>
      </c>
    </row>
    <row r="1260" spans="6:9">
      <c r="F1260" s="7">
        <f>IF('W rejestracji'!$C$1267="","",'W rejestracji'!$C$1267)</f>
        <v>0</v>
      </c>
      <c r="G1260" s="7">
        <f>IF(Zarejestrowane!$C$1267="","",Zarejestrowane!$C$1267)</f>
        <v>0</v>
      </c>
      <c r="H1260" s="9">
        <f>IF(AND($F1260&lt;&gt;"",ISNUMBER(SEARCH('Nr rejestracyjny'!$F$5,$F1260))),COUNT($H$1:H1259)+1,"")</f>
        <v>0</v>
      </c>
      <c r="I1260" s="9">
        <f>IF(AND($G1260&lt;&gt;"",ISNUMBER(SEARCH('Nr rejestracyjny'!$F$5,$G1260))),COUNT($I$1:I1259)+1,"")</f>
        <v>0</v>
      </c>
    </row>
    <row r="1261" spans="6:9">
      <c r="F1261" s="7">
        <f>IF('W rejestracji'!$C$1268="","",'W rejestracji'!$C$1268)</f>
        <v>0</v>
      </c>
      <c r="G1261" s="7">
        <f>IF(Zarejestrowane!$C$1268="","",Zarejestrowane!$C$1268)</f>
        <v>0</v>
      </c>
      <c r="H1261" s="9">
        <f>IF(AND($F1261&lt;&gt;"",ISNUMBER(SEARCH('Nr rejestracyjny'!$F$5,$F1261))),COUNT($H$1:H1260)+1,"")</f>
        <v>0</v>
      </c>
      <c r="I1261" s="9">
        <f>IF(AND($G1261&lt;&gt;"",ISNUMBER(SEARCH('Nr rejestracyjny'!$F$5,$G1261))),COUNT($I$1:I1260)+1,"")</f>
        <v>0</v>
      </c>
    </row>
    <row r="1262" spans="6:9">
      <c r="F1262" s="7">
        <f>IF('W rejestracji'!$C$1269="","",'W rejestracji'!$C$1269)</f>
        <v>0</v>
      </c>
      <c r="G1262" s="7">
        <f>IF(Zarejestrowane!$C$1269="","",Zarejestrowane!$C$1269)</f>
        <v>0</v>
      </c>
      <c r="H1262" s="9">
        <f>IF(AND($F1262&lt;&gt;"",ISNUMBER(SEARCH('Nr rejestracyjny'!$F$5,$F1262))),COUNT($H$1:H1261)+1,"")</f>
        <v>0</v>
      </c>
      <c r="I1262" s="9">
        <f>IF(AND($G1262&lt;&gt;"",ISNUMBER(SEARCH('Nr rejestracyjny'!$F$5,$G1262))),COUNT($I$1:I1261)+1,"")</f>
        <v>0</v>
      </c>
    </row>
    <row r="1263" spans="6:9">
      <c r="F1263" s="7">
        <f>IF('W rejestracji'!$C$1270="","",'W rejestracji'!$C$1270)</f>
        <v>0</v>
      </c>
      <c r="G1263" s="7">
        <f>IF(Zarejestrowane!$C$1270="","",Zarejestrowane!$C$1270)</f>
        <v>0</v>
      </c>
      <c r="H1263" s="9">
        <f>IF(AND($F1263&lt;&gt;"",ISNUMBER(SEARCH('Nr rejestracyjny'!$F$5,$F1263))),COUNT($H$1:H1262)+1,"")</f>
        <v>0</v>
      </c>
      <c r="I1263" s="9">
        <f>IF(AND($G1263&lt;&gt;"",ISNUMBER(SEARCH('Nr rejestracyjny'!$F$5,$G1263))),COUNT($I$1:I1262)+1,"")</f>
        <v>0</v>
      </c>
    </row>
    <row r="1264" spans="6:9">
      <c r="F1264" s="7">
        <f>IF('W rejestracji'!$C$1271="","",'W rejestracji'!$C$1271)</f>
        <v>0</v>
      </c>
      <c r="G1264" s="7">
        <f>IF(Zarejestrowane!$C$1271="","",Zarejestrowane!$C$1271)</f>
        <v>0</v>
      </c>
      <c r="H1264" s="9">
        <f>IF(AND($F1264&lt;&gt;"",ISNUMBER(SEARCH('Nr rejestracyjny'!$F$5,$F1264))),COUNT($H$1:H1263)+1,"")</f>
        <v>0</v>
      </c>
      <c r="I1264" s="9">
        <f>IF(AND($G1264&lt;&gt;"",ISNUMBER(SEARCH('Nr rejestracyjny'!$F$5,$G1264))),COUNT($I$1:I1263)+1,"")</f>
        <v>0</v>
      </c>
    </row>
    <row r="1265" spans="6:9">
      <c r="F1265" s="7">
        <f>IF('W rejestracji'!$C$1272="","",'W rejestracji'!$C$1272)</f>
        <v>0</v>
      </c>
      <c r="G1265" s="7">
        <f>IF(Zarejestrowane!$C$1272="","",Zarejestrowane!$C$1272)</f>
        <v>0</v>
      </c>
      <c r="H1265" s="9">
        <f>IF(AND($F1265&lt;&gt;"",ISNUMBER(SEARCH('Nr rejestracyjny'!$F$5,$F1265))),COUNT($H$1:H1264)+1,"")</f>
        <v>0</v>
      </c>
      <c r="I1265" s="9">
        <f>IF(AND($G1265&lt;&gt;"",ISNUMBER(SEARCH('Nr rejestracyjny'!$F$5,$G1265))),COUNT($I$1:I1264)+1,"")</f>
        <v>0</v>
      </c>
    </row>
    <row r="1266" spans="6:9">
      <c r="F1266" s="7">
        <f>IF('W rejestracji'!$C$1273="","",'W rejestracji'!$C$1273)</f>
        <v>0</v>
      </c>
      <c r="G1266" s="7">
        <f>IF(Zarejestrowane!$C$1273="","",Zarejestrowane!$C$1273)</f>
        <v>0</v>
      </c>
      <c r="H1266" s="9">
        <f>IF(AND($F1266&lt;&gt;"",ISNUMBER(SEARCH('Nr rejestracyjny'!$F$5,$F1266))),COUNT($H$1:H1265)+1,"")</f>
        <v>0</v>
      </c>
      <c r="I1266" s="9">
        <f>IF(AND($G1266&lt;&gt;"",ISNUMBER(SEARCH('Nr rejestracyjny'!$F$5,$G1266))),COUNT($I$1:I1265)+1,"")</f>
        <v>0</v>
      </c>
    </row>
    <row r="1267" spans="6:9">
      <c r="F1267" s="7">
        <f>IF('W rejestracji'!$C$1274="","",'W rejestracji'!$C$1274)</f>
        <v>0</v>
      </c>
      <c r="G1267" s="7">
        <f>IF(Zarejestrowane!$C$1274="","",Zarejestrowane!$C$1274)</f>
        <v>0</v>
      </c>
      <c r="H1267" s="9">
        <f>IF(AND($F1267&lt;&gt;"",ISNUMBER(SEARCH('Nr rejestracyjny'!$F$5,$F1267))),COUNT($H$1:H1266)+1,"")</f>
        <v>0</v>
      </c>
      <c r="I1267" s="9">
        <f>IF(AND($G1267&lt;&gt;"",ISNUMBER(SEARCH('Nr rejestracyjny'!$F$5,$G1267))),COUNT($I$1:I1266)+1,"")</f>
        <v>0</v>
      </c>
    </row>
    <row r="1268" spans="6:9">
      <c r="F1268" s="7">
        <f>IF('W rejestracji'!$C$1275="","",'W rejestracji'!$C$1275)</f>
        <v>0</v>
      </c>
      <c r="G1268" s="7">
        <f>IF(Zarejestrowane!$C$1275="","",Zarejestrowane!$C$1275)</f>
        <v>0</v>
      </c>
      <c r="H1268" s="9">
        <f>IF(AND($F1268&lt;&gt;"",ISNUMBER(SEARCH('Nr rejestracyjny'!$F$5,$F1268))),COUNT($H$1:H1267)+1,"")</f>
        <v>0</v>
      </c>
      <c r="I1268" s="9">
        <f>IF(AND($G1268&lt;&gt;"",ISNUMBER(SEARCH('Nr rejestracyjny'!$F$5,$G1268))),COUNT($I$1:I1267)+1,"")</f>
        <v>0</v>
      </c>
    </row>
    <row r="1269" spans="6:9">
      <c r="F1269" s="7">
        <f>IF('W rejestracji'!$C$1276="","",'W rejestracji'!$C$1276)</f>
        <v>0</v>
      </c>
      <c r="G1269" s="7">
        <f>IF(Zarejestrowane!$C$1276="","",Zarejestrowane!$C$1276)</f>
        <v>0</v>
      </c>
      <c r="H1269" s="9">
        <f>IF(AND($F1269&lt;&gt;"",ISNUMBER(SEARCH('Nr rejestracyjny'!$F$5,$F1269))),COUNT($H$1:H1268)+1,"")</f>
        <v>0</v>
      </c>
      <c r="I1269" s="9">
        <f>IF(AND($G1269&lt;&gt;"",ISNUMBER(SEARCH('Nr rejestracyjny'!$F$5,$G1269))),COUNT($I$1:I1268)+1,"")</f>
        <v>0</v>
      </c>
    </row>
    <row r="1270" spans="6:9">
      <c r="F1270" s="7">
        <f>IF('W rejestracji'!$C$1277="","",'W rejestracji'!$C$1277)</f>
        <v>0</v>
      </c>
      <c r="G1270" s="7">
        <f>IF(Zarejestrowane!$C$1277="","",Zarejestrowane!$C$1277)</f>
        <v>0</v>
      </c>
      <c r="H1270" s="9">
        <f>IF(AND($F1270&lt;&gt;"",ISNUMBER(SEARCH('Nr rejestracyjny'!$F$5,$F1270))),COUNT($H$1:H1269)+1,"")</f>
        <v>0</v>
      </c>
      <c r="I1270" s="9">
        <f>IF(AND($G1270&lt;&gt;"",ISNUMBER(SEARCH('Nr rejestracyjny'!$F$5,$G1270))),COUNT($I$1:I1269)+1,"")</f>
        <v>0</v>
      </c>
    </row>
    <row r="1271" spans="6:9">
      <c r="F1271" s="7">
        <f>IF('W rejestracji'!$C$1278="","",'W rejestracji'!$C$1278)</f>
        <v>0</v>
      </c>
      <c r="G1271" s="7">
        <f>IF(Zarejestrowane!$C$1278="","",Zarejestrowane!$C$1278)</f>
        <v>0</v>
      </c>
      <c r="H1271" s="9">
        <f>IF(AND($F1271&lt;&gt;"",ISNUMBER(SEARCH('Nr rejestracyjny'!$F$5,$F1271))),COUNT($H$1:H1270)+1,"")</f>
        <v>0</v>
      </c>
      <c r="I1271" s="9">
        <f>IF(AND($G1271&lt;&gt;"",ISNUMBER(SEARCH('Nr rejestracyjny'!$F$5,$G1271))),COUNT($I$1:I1270)+1,"")</f>
        <v>0</v>
      </c>
    </row>
    <row r="1272" spans="6:9">
      <c r="F1272" s="7">
        <f>IF('W rejestracji'!$C$1279="","",'W rejestracji'!$C$1279)</f>
        <v>0</v>
      </c>
      <c r="G1272" s="7">
        <f>IF(Zarejestrowane!$C$1279="","",Zarejestrowane!$C$1279)</f>
        <v>0</v>
      </c>
      <c r="H1272" s="9">
        <f>IF(AND($F1272&lt;&gt;"",ISNUMBER(SEARCH('Nr rejestracyjny'!$F$5,$F1272))),COUNT($H$1:H1271)+1,"")</f>
        <v>0</v>
      </c>
      <c r="I1272" s="9">
        <f>IF(AND($G1272&lt;&gt;"",ISNUMBER(SEARCH('Nr rejestracyjny'!$F$5,$G1272))),COUNT($I$1:I1271)+1,"")</f>
        <v>0</v>
      </c>
    </row>
    <row r="1273" spans="6:9">
      <c r="F1273" s="7">
        <f>IF('W rejestracji'!$C$1280="","",'W rejestracji'!$C$1280)</f>
        <v>0</v>
      </c>
      <c r="G1273" s="7">
        <f>IF(Zarejestrowane!$C$1280="","",Zarejestrowane!$C$1280)</f>
        <v>0</v>
      </c>
      <c r="H1273" s="9">
        <f>IF(AND($F1273&lt;&gt;"",ISNUMBER(SEARCH('Nr rejestracyjny'!$F$5,$F1273))),COUNT($H$1:H1272)+1,"")</f>
        <v>0</v>
      </c>
      <c r="I1273" s="9">
        <f>IF(AND($G1273&lt;&gt;"",ISNUMBER(SEARCH('Nr rejestracyjny'!$F$5,$G1273))),COUNT($I$1:I1272)+1,"")</f>
        <v>0</v>
      </c>
    </row>
    <row r="1274" spans="6:9">
      <c r="F1274" s="7">
        <f>IF('W rejestracji'!$C$1281="","",'W rejestracji'!$C$1281)</f>
        <v>0</v>
      </c>
      <c r="G1274" s="7">
        <f>IF(Zarejestrowane!$C$1281="","",Zarejestrowane!$C$1281)</f>
        <v>0</v>
      </c>
      <c r="H1274" s="9">
        <f>IF(AND($F1274&lt;&gt;"",ISNUMBER(SEARCH('Nr rejestracyjny'!$F$5,$F1274))),COUNT($H$1:H1273)+1,"")</f>
        <v>0</v>
      </c>
      <c r="I1274" s="9">
        <f>IF(AND($G1274&lt;&gt;"",ISNUMBER(SEARCH('Nr rejestracyjny'!$F$5,$G1274))),COUNT($I$1:I1273)+1,"")</f>
        <v>0</v>
      </c>
    </row>
    <row r="1275" spans="6:9">
      <c r="F1275" s="7">
        <f>IF('W rejestracji'!$C$1282="","",'W rejestracji'!$C$1282)</f>
        <v>0</v>
      </c>
      <c r="G1275" s="7">
        <f>IF(Zarejestrowane!$C$1282="","",Zarejestrowane!$C$1282)</f>
        <v>0</v>
      </c>
      <c r="H1275" s="9">
        <f>IF(AND($F1275&lt;&gt;"",ISNUMBER(SEARCH('Nr rejestracyjny'!$F$5,$F1275))),COUNT($H$1:H1274)+1,"")</f>
        <v>0</v>
      </c>
      <c r="I1275" s="9">
        <f>IF(AND($G1275&lt;&gt;"",ISNUMBER(SEARCH('Nr rejestracyjny'!$F$5,$G1275))),COUNT($I$1:I1274)+1,"")</f>
        <v>0</v>
      </c>
    </row>
    <row r="1276" spans="6:9">
      <c r="F1276" s="7">
        <f>IF('W rejestracji'!$C$1283="","",'W rejestracji'!$C$1283)</f>
        <v>0</v>
      </c>
      <c r="G1276" s="7">
        <f>IF(Zarejestrowane!$C$1283="","",Zarejestrowane!$C$1283)</f>
        <v>0</v>
      </c>
      <c r="H1276" s="9">
        <f>IF(AND($F1276&lt;&gt;"",ISNUMBER(SEARCH('Nr rejestracyjny'!$F$5,$F1276))),COUNT($H$1:H1275)+1,"")</f>
        <v>0</v>
      </c>
      <c r="I1276" s="9">
        <f>IF(AND($G1276&lt;&gt;"",ISNUMBER(SEARCH('Nr rejestracyjny'!$F$5,$G1276))),COUNT($I$1:I1275)+1,"")</f>
        <v>0</v>
      </c>
    </row>
    <row r="1277" spans="6:9">
      <c r="F1277" s="7">
        <f>IF('W rejestracji'!$C$1284="","",'W rejestracji'!$C$1284)</f>
        <v>0</v>
      </c>
      <c r="G1277" s="7">
        <f>IF(Zarejestrowane!$C$1284="","",Zarejestrowane!$C$1284)</f>
        <v>0</v>
      </c>
      <c r="H1277" s="9">
        <f>IF(AND($F1277&lt;&gt;"",ISNUMBER(SEARCH('Nr rejestracyjny'!$F$5,$F1277))),COUNT($H$1:H1276)+1,"")</f>
        <v>0</v>
      </c>
      <c r="I1277" s="9">
        <f>IF(AND($G1277&lt;&gt;"",ISNUMBER(SEARCH('Nr rejestracyjny'!$F$5,$G1277))),COUNT($I$1:I1276)+1,"")</f>
        <v>0</v>
      </c>
    </row>
    <row r="1278" spans="6:9">
      <c r="F1278" s="7">
        <f>IF('W rejestracji'!$C$1285="","",'W rejestracji'!$C$1285)</f>
        <v>0</v>
      </c>
      <c r="G1278" s="7">
        <f>IF(Zarejestrowane!$C$1285="","",Zarejestrowane!$C$1285)</f>
        <v>0</v>
      </c>
      <c r="H1278" s="9">
        <f>IF(AND($F1278&lt;&gt;"",ISNUMBER(SEARCH('Nr rejestracyjny'!$F$5,$F1278))),COUNT($H$1:H1277)+1,"")</f>
        <v>0</v>
      </c>
      <c r="I1278" s="9">
        <f>IF(AND($G1278&lt;&gt;"",ISNUMBER(SEARCH('Nr rejestracyjny'!$F$5,$G1278))),COUNT($I$1:I1277)+1,"")</f>
        <v>0</v>
      </c>
    </row>
    <row r="1279" spans="6:9">
      <c r="F1279" s="7">
        <f>IF('W rejestracji'!$C$1286="","",'W rejestracji'!$C$1286)</f>
        <v>0</v>
      </c>
      <c r="G1279" s="7">
        <f>IF(Zarejestrowane!$C$1286="","",Zarejestrowane!$C$1286)</f>
        <v>0</v>
      </c>
      <c r="H1279" s="9">
        <f>IF(AND($F1279&lt;&gt;"",ISNUMBER(SEARCH('Nr rejestracyjny'!$F$5,$F1279))),COUNT($H$1:H1278)+1,"")</f>
        <v>0</v>
      </c>
      <c r="I1279" s="9">
        <f>IF(AND($G1279&lt;&gt;"",ISNUMBER(SEARCH('Nr rejestracyjny'!$F$5,$G1279))),COUNT($I$1:I1278)+1,"")</f>
        <v>0</v>
      </c>
    </row>
    <row r="1280" spans="6:9">
      <c r="F1280" s="7">
        <f>IF('W rejestracji'!$C$1287="","",'W rejestracji'!$C$1287)</f>
        <v>0</v>
      </c>
      <c r="G1280" s="7">
        <f>IF(Zarejestrowane!$C$1287="","",Zarejestrowane!$C$1287)</f>
        <v>0</v>
      </c>
      <c r="H1280" s="9">
        <f>IF(AND($F1280&lt;&gt;"",ISNUMBER(SEARCH('Nr rejestracyjny'!$F$5,$F1280))),COUNT($H$1:H1279)+1,"")</f>
        <v>0</v>
      </c>
      <c r="I1280" s="9">
        <f>IF(AND($G1280&lt;&gt;"",ISNUMBER(SEARCH('Nr rejestracyjny'!$F$5,$G1280))),COUNT($I$1:I1279)+1,"")</f>
        <v>0</v>
      </c>
    </row>
    <row r="1281" spans="6:9">
      <c r="F1281" s="7">
        <f>IF('W rejestracji'!$C$1288="","",'W rejestracji'!$C$1288)</f>
        <v>0</v>
      </c>
      <c r="G1281" s="7">
        <f>IF(Zarejestrowane!$C$1288="","",Zarejestrowane!$C$1288)</f>
        <v>0</v>
      </c>
      <c r="H1281" s="9">
        <f>IF(AND($F1281&lt;&gt;"",ISNUMBER(SEARCH('Nr rejestracyjny'!$F$5,$F1281))),COUNT($H$1:H1280)+1,"")</f>
        <v>0</v>
      </c>
      <c r="I1281" s="9">
        <f>IF(AND($G1281&lt;&gt;"",ISNUMBER(SEARCH('Nr rejestracyjny'!$F$5,$G1281))),COUNT($I$1:I1280)+1,"")</f>
        <v>0</v>
      </c>
    </row>
    <row r="1282" spans="6:9">
      <c r="F1282" s="7">
        <f>IF('W rejestracji'!$C$1289="","",'W rejestracji'!$C$1289)</f>
        <v>0</v>
      </c>
      <c r="G1282" s="7">
        <f>IF(Zarejestrowane!$C$1289="","",Zarejestrowane!$C$1289)</f>
        <v>0</v>
      </c>
      <c r="H1282" s="9">
        <f>IF(AND($F1282&lt;&gt;"",ISNUMBER(SEARCH('Nr rejestracyjny'!$F$5,$F1282))),COUNT($H$1:H1281)+1,"")</f>
        <v>0</v>
      </c>
      <c r="I1282" s="9">
        <f>IF(AND($G1282&lt;&gt;"",ISNUMBER(SEARCH('Nr rejestracyjny'!$F$5,$G1282))),COUNT($I$1:I1281)+1,"")</f>
        <v>0</v>
      </c>
    </row>
    <row r="1283" spans="6:9">
      <c r="F1283" s="7">
        <f>IF('W rejestracji'!$C$1290="","",'W rejestracji'!$C$1290)</f>
        <v>0</v>
      </c>
      <c r="G1283" s="7">
        <f>IF(Zarejestrowane!$C$1290="","",Zarejestrowane!$C$1290)</f>
        <v>0</v>
      </c>
      <c r="H1283" s="9">
        <f>IF(AND($F1283&lt;&gt;"",ISNUMBER(SEARCH('Nr rejestracyjny'!$F$5,$F1283))),COUNT($H$1:H1282)+1,"")</f>
        <v>0</v>
      </c>
      <c r="I1283" s="9">
        <f>IF(AND($G1283&lt;&gt;"",ISNUMBER(SEARCH('Nr rejestracyjny'!$F$5,$G1283))),COUNT($I$1:I1282)+1,"")</f>
        <v>0</v>
      </c>
    </row>
    <row r="1284" spans="6:9">
      <c r="F1284" s="7">
        <f>IF('W rejestracji'!$C$1291="","",'W rejestracji'!$C$1291)</f>
        <v>0</v>
      </c>
      <c r="G1284" s="7">
        <f>IF(Zarejestrowane!$C$1291="","",Zarejestrowane!$C$1291)</f>
        <v>0</v>
      </c>
      <c r="H1284" s="9">
        <f>IF(AND($F1284&lt;&gt;"",ISNUMBER(SEARCH('Nr rejestracyjny'!$F$5,$F1284))),COUNT($H$1:H1283)+1,"")</f>
        <v>0</v>
      </c>
      <c r="I1284" s="9">
        <f>IF(AND($G1284&lt;&gt;"",ISNUMBER(SEARCH('Nr rejestracyjny'!$F$5,$G1284))),COUNT($I$1:I1283)+1,"")</f>
        <v>0</v>
      </c>
    </row>
    <row r="1285" spans="6:9">
      <c r="F1285" s="7">
        <f>IF('W rejestracji'!$C$1292="","",'W rejestracji'!$C$1292)</f>
        <v>0</v>
      </c>
      <c r="G1285" s="7">
        <f>IF(Zarejestrowane!$C$1292="","",Zarejestrowane!$C$1292)</f>
        <v>0</v>
      </c>
      <c r="H1285" s="9">
        <f>IF(AND($F1285&lt;&gt;"",ISNUMBER(SEARCH('Nr rejestracyjny'!$F$5,$F1285))),COUNT($H$1:H1284)+1,"")</f>
        <v>0</v>
      </c>
      <c r="I1285" s="9">
        <f>IF(AND($G1285&lt;&gt;"",ISNUMBER(SEARCH('Nr rejestracyjny'!$F$5,$G1285))),COUNT($I$1:I1284)+1,"")</f>
        <v>0</v>
      </c>
    </row>
    <row r="1286" spans="6:9">
      <c r="F1286" s="7">
        <f>IF('W rejestracji'!$C$1293="","",'W rejestracji'!$C$1293)</f>
        <v>0</v>
      </c>
      <c r="G1286" s="7">
        <f>IF(Zarejestrowane!$C$1293="","",Zarejestrowane!$C$1293)</f>
        <v>0</v>
      </c>
      <c r="H1286" s="9">
        <f>IF(AND($F1286&lt;&gt;"",ISNUMBER(SEARCH('Nr rejestracyjny'!$F$5,$F1286))),COUNT($H$1:H1285)+1,"")</f>
        <v>0</v>
      </c>
      <c r="I1286" s="9">
        <f>IF(AND($G1286&lt;&gt;"",ISNUMBER(SEARCH('Nr rejestracyjny'!$F$5,$G1286))),COUNT($I$1:I1285)+1,"")</f>
        <v>0</v>
      </c>
    </row>
    <row r="1287" spans="6:9">
      <c r="F1287" s="7">
        <f>IF('W rejestracji'!$C$1294="","",'W rejestracji'!$C$1294)</f>
        <v>0</v>
      </c>
      <c r="G1287" s="7">
        <f>IF(Zarejestrowane!$C$1294="","",Zarejestrowane!$C$1294)</f>
        <v>0</v>
      </c>
      <c r="H1287" s="9">
        <f>IF(AND($F1287&lt;&gt;"",ISNUMBER(SEARCH('Nr rejestracyjny'!$F$5,$F1287))),COUNT($H$1:H1286)+1,"")</f>
        <v>0</v>
      </c>
      <c r="I1287" s="9">
        <f>IF(AND($G1287&lt;&gt;"",ISNUMBER(SEARCH('Nr rejestracyjny'!$F$5,$G1287))),COUNT($I$1:I1286)+1,"")</f>
        <v>0</v>
      </c>
    </row>
    <row r="1288" spans="6:9">
      <c r="F1288" s="7">
        <f>IF('W rejestracji'!$C$1295="","",'W rejestracji'!$C$1295)</f>
        <v>0</v>
      </c>
      <c r="G1288" s="7">
        <f>IF(Zarejestrowane!$C$1295="","",Zarejestrowane!$C$1295)</f>
        <v>0</v>
      </c>
      <c r="H1288" s="9">
        <f>IF(AND($F1288&lt;&gt;"",ISNUMBER(SEARCH('Nr rejestracyjny'!$F$5,$F1288))),COUNT($H$1:H1287)+1,"")</f>
        <v>0</v>
      </c>
      <c r="I1288" s="9">
        <f>IF(AND($G1288&lt;&gt;"",ISNUMBER(SEARCH('Nr rejestracyjny'!$F$5,$G1288))),COUNT($I$1:I1287)+1,"")</f>
        <v>0</v>
      </c>
    </row>
    <row r="1289" spans="6:9">
      <c r="F1289" s="7">
        <f>IF('W rejestracji'!$C$1296="","",'W rejestracji'!$C$1296)</f>
        <v>0</v>
      </c>
      <c r="G1289" s="7">
        <f>IF(Zarejestrowane!$C$1296="","",Zarejestrowane!$C$1296)</f>
        <v>0</v>
      </c>
      <c r="H1289" s="9">
        <f>IF(AND($F1289&lt;&gt;"",ISNUMBER(SEARCH('Nr rejestracyjny'!$F$5,$F1289))),COUNT($H$1:H1288)+1,"")</f>
        <v>0</v>
      </c>
      <c r="I1289" s="9">
        <f>IF(AND($G1289&lt;&gt;"",ISNUMBER(SEARCH('Nr rejestracyjny'!$F$5,$G1289))),COUNT($I$1:I1288)+1,"")</f>
        <v>0</v>
      </c>
    </row>
    <row r="1290" spans="6:9">
      <c r="F1290" s="7">
        <f>IF('W rejestracji'!$C$1297="","",'W rejestracji'!$C$1297)</f>
        <v>0</v>
      </c>
      <c r="G1290" s="7">
        <f>IF(Zarejestrowane!$C$1297="","",Zarejestrowane!$C$1297)</f>
        <v>0</v>
      </c>
      <c r="H1290" s="9">
        <f>IF(AND($F1290&lt;&gt;"",ISNUMBER(SEARCH('Nr rejestracyjny'!$F$5,$F1290))),COUNT($H$1:H1289)+1,"")</f>
        <v>0</v>
      </c>
      <c r="I1290" s="9">
        <f>IF(AND($G1290&lt;&gt;"",ISNUMBER(SEARCH('Nr rejestracyjny'!$F$5,$G1290))),COUNT($I$1:I1289)+1,"")</f>
        <v>0</v>
      </c>
    </row>
    <row r="1291" spans="6:9">
      <c r="F1291" s="7">
        <f>IF('W rejestracji'!$C$1298="","",'W rejestracji'!$C$1298)</f>
        <v>0</v>
      </c>
      <c r="G1291" s="7">
        <f>IF(Zarejestrowane!$C$1298="","",Zarejestrowane!$C$1298)</f>
        <v>0</v>
      </c>
      <c r="H1291" s="9">
        <f>IF(AND($F1291&lt;&gt;"",ISNUMBER(SEARCH('Nr rejestracyjny'!$F$5,$F1291))),COUNT($H$1:H1290)+1,"")</f>
        <v>0</v>
      </c>
      <c r="I1291" s="9">
        <f>IF(AND($G1291&lt;&gt;"",ISNUMBER(SEARCH('Nr rejestracyjny'!$F$5,$G1291))),COUNT($I$1:I1290)+1,"")</f>
        <v>0</v>
      </c>
    </row>
    <row r="1292" spans="6:9">
      <c r="F1292" s="7">
        <f>IF('W rejestracji'!$C$1299="","",'W rejestracji'!$C$1299)</f>
        <v>0</v>
      </c>
      <c r="G1292" s="7">
        <f>IF(Zarejestrowane!$C$1299="","",Zarejestrowane!$C$1299)</f>
        <v>0</v>
      </c>
      <c r="H1292" s="9">
        <f>IF(AND($F1292&lt;&gt;"",ISNUMBER(SEARCH('Nr rejestracyjny'!$F$5,$F1292))),COUNT($H$1:H1291)+1,"")</f>
        <v>0</v>
      </c>
      <c r="I1292" s="9">
        <f>IF(AND($G1292&lt;&gt;"",ISNUMBER(SEARCH('Nr rejestracyjny'!$F$5,$G1292))),COUNT($I$1:I1291)+1,"")</f>
        <v>0</v>
      </c>
    </row>
    <row r="1293" spans="6:9">
      <c r="F1293" s="7">
        <f>IF('W rejestracji'!$C$1300="","",'W rejestracji'!$C$1300)</f>
        <v>0</v>
      </c>
      <c r="G1293" s="7">
        <f>IF(Zarejestrowane!$C$1300="","",Zarejestrowane!$C$1300)</f>
        <v>0</v>
      </c>
      <c r="H1293" s="9">
        <f>IF(AND($F1293&lt;&gt;"",ISNUMBER(SEARCH('Nr rejestracyjny'!$F$5,$F1293))),COUNT($H$1:H1292)+1,"")</f>
        <v>0</v>
      </c>
      <c r="I1293" s="9">
        <f>IF(AND($G1293&lt;&gt;"",ISNUMBER(SEARCH('Nr rejestracyjny'!$F$5,$G1293))),COUNT($I$1:I1292)+1,"")</f>
        <v>0</v>
      </c>
    </row>
    <row r="1294" spans="6:9">
      <c r="F1294" s="7">
        <f>IF('W rejestracji'!$C$1301="","",'W rejestracji'!$C$1301)</f>
        <v>0</v>
      </c>
      <c r="G1294" s="7">
        <f>IF(Zarejestrowane!$C$1301="","",Zarejestrowane!$C$1301)</f>
        <v>0</v>
      </c>
      <c r="H1294" s="9">
        <f>IF(AND($F1294&lt;&gt;"",ISNUMBER(SEARCH('Nr rejestracyjny'!$F$5,$F1294))),COUNT($H$1:H1293)+1,"")</f>
        <v>0</v>
      </c>
      <c r="I1294" s="9">
        <f>IF(AND($G1294&lt;&gt;"",ISNUMBER(SEARCH('Nr rejestracyjny'!$F$5,$G1294))),COUNT($I$1:I1293)+1,"")</f>
        <v>0</v>
      </c>
    </row>
    <row r="1295" spans="6:9">
      <c r="F1295" s="7">
        <f>IF('W rejestracji'!$C$1302="","",'W rejestracji'!$C$1302)</f>
        <v>0</v>
      </c>
      <c r="G1295" s="7">
        <f>IF(Zarejestrowane!$C$1302="","",Zarejestrowane!$C$1302)</f>
        <v>0</v>
      </c>
      <c r="H1295" s="9">
        <f>IF(AND($F1295&lt;&gt;"",ISNUMBER(SEARCH('Nr rejestracyjny'!$F$5,$F1295))),COUNT($H$1:H1294)+1,"")</f>
        <v>0</v>
      </c>
      <c r="I1295" s="9">
        <f>IF(AND($G1295&lt;&gt;"",ISNUMBER(SEARCH('Nr rejestracyjny'!$F$5,$G1295))),COUNT($I$1:I1294)+1,"")</f>
        <v>0</v>
      </c>
    </row>
    <row r="1296" spans="6:9">
      <c r="F1296" s="7">
        <f>IF('W rejestracji'!$C$1303="","",'W rejestracji'!$C$1303)</f>
        <v>0</v>
      </c>
      <c r="G1296" s="7">
        <f>IF(Zarejestrowane!$C$1303="","",Zarejestrowane!$C$1303)</f>
        <v>0</v>
      </c>
      <c r="H1296" s="9">
        <f>IF(AND($F1296&lt;&gt;"",ISNUMBER(SEARCH('Nr rejestracyjny'!$F$5,$F1296))),COUNT($H$1:H1295)+1,"")</f>
        <v>0</v>
      </c>
      <c r="I1296" s="9">
        <f>IF(AND($G1296&lt;&gt;"",ISNUMBER(SEARCH('Nr rejestracyjny'!$F$5,$G1296))),COUNT($I$1:I1295)+1,"")</f>
        <v>0</v>
      </c>
    </row>
    <row r="1297" spans="6:9">
      <c r="F1297" s="7">
        <f>IF('W rejestracji'!$C$1304="","",'W rejestracji'!$C$1304)</f>
        <v>0</v>
      </c>
      <c r="G1297" s="7">
        <f>IF(Zarejestrowane!$C$1304="","",Zarejestrowane!$C$1304)</f>
        <v>0</v>
      </c>
      <c r="H1297" s="9">
        <f>IF(AND($F1297&lt;&gt;"",ISNUMBER(SEARCH('Nr rejestracyjny'!$F$5,$F1297))),COUNT($H$1:H1296)+1,"")</f>
        <v>0</v>
      </c>
      <c r="I1297" s="9">
        <f>IF(AND($G1297&lt;&gt;"",ISNUMBER(SEARCH('Nr rejestracyjny'!$F$5,$G1297))),COUNT($I$1:I1296)+1,"")</f>
        <v>0</v>
      </c>
    </row>
    <row r="1298" spans="6:9">
      <c r="F1298" s="7">
        <f>IF('W rejestracji'!$C$1305="","",'W rejestracji'!$C$1305)</f>
        <v>0</v>
      </c>
      <c r="G1298" s="7">
        <f>IF(Zarejestrowane!$C$1305="","",Zarejestrowane!$C$1305)</f>
        <v>0</v>
      </c>
      <c r="H1298" s="9">
        <f>IF(AND($F1298&lt;&gt;"",ISNUMBER(SEARCH('Nr rejestracyjny'!$F$5,$F1298))),COUNT($H$1:H1297)+1,"")</f>
        <v>0</v>
      </c>
      <c r="I1298" s="9">
        <f>IF(AND($G1298&lt;&gt;"",ISNUMBER(SEARCH('Nr rejestracyjny'!$F$5,$G1298))),COUNT($I$1:I1297)+1,"")</f>
        <v>0</v>
      </c>
    </row>
    <row r="1299" spans="6:9">
      <c r="F1299" s="7">
        <f>IF('W rejestracji'!$C$1306="","",'W rejestracji'!$C$1306)</f>
        <v>0</v>
      </c>
      <c r="G1299" s="7">
        <f>IF(Zarejestrowane!$C$1306="","",Zarejestrowane!$C$1306)</f>
        <v>0</v>
      </c>
      <c r="H1299" s="9">
        <f>IF(AND($F1299&lt;&gt;"",ISNUMBER(SEARCH('Nr rejestracyjny'!$F$5,$F1299))),COUNT($H$1:H1298)+1,"")</f>
        <v>0</v>
      </c>
      <c r="I1299" s="9">
        <f>IF(AND($G1299&lt;&gt;"",ISNUMBER(SEARCH('Nr rejestracyjny'!$F$5,$G1299))),COUNT($I$1:I1298)+1,"")</f>
        <v>0</v>
      </c>
    </row>
    <row r="1300" spans="6:9">
      <c r="F1300" s="7">
        <f>IF('W rejestracji'!$C$1307="","",'W rejestracji'!$C$1307)</f>
        <v>0</v>
      </c>
      <c r="G1300" s="7">
        <f>IF(Zarejestrowane!$C$1307="","",Zarejestrowane!$C$1307)</f>
        <v>0</v>
      </c>
      <c r="H1300" s="9">
        <f>IF(AND($F1300&lt;&gt;"",ISNUMBER(SEARCH('Nr rejestracyjny'!$F$5,$F1300))),COUNT($H$1:H1299)+1,"")</f>
        <v>0</v>
      </c>
      <c r="I1300" s="9">
        <f>IF(AND($G1300&lt;&gt;"",ISNUMBER(SEARCH('Nr rejestracyjny'!$F$5,$G1300))),COUNT($I$1:I1299)+1,"")</f>
        <v>0</v>
      </c>
    </row>
    <row r="1301" spans="6:9">
      <c r="F1301" s="7">
        <f>IF('W rejestracji'!$C$1308="","",'W rejestracji'!$C$1308)</f>
        <v>0</v>
      </c>
      <c r="G1301" s="7">
        <f>IF(Zarejestrowane!$C$1308="","",Zarejestrowane!$C$1308)</f>
        <v>0</v>
      </c>
      <c r="H1301" s="9">
        <f>IF(AND($F1301&lt;&gt;"",ISNUMBER(SEARCH('Nr rejestracyjny'!$F$5,$F1301))),COUNT($H$1:H1300)+1,"")</f>
        <v>0</v>
      </c>
      <c r="I1301" s="9">
        <f>IF(AND($G1301&lt;&gt;"",ISNUMBER(SEARCH('Nr rejestracyjny'!$F$5,$G1301))),COUNT($I$1:I1300)+1,"")</f>
        <v>0</v>
      </c>
    </row>
    <row r="1302" spans="6:9">
      <c r="F1302" s="7">
        <f>IF('W rejestracji'!$C$1309="","",'W rejestracji'!$C$1309)</f>
        <v>0</v>
      </c>
      <c r="G1302" s="7">
        <f>IF(Zarejestrowane!$C$1309="","",Zarejestrowane!$C$1309)</f>
        <v>0</v>
      </c>
      <c r="H1302" s="9">
        <f>IF(AND($F1302&lt;&gt;"",ISNUMBER(SEARCH('Nr rejestracyjny'!$F$5,$F1302))),COUNT($H$1:H1301)+1,"")</f>
        <v>0</v>
      </c>
      <c r="I1302" s="9">
        <f>IF(AND($G1302&lt;&gt;"",ISNUMBER(SEARCH('Nr rejestracyjny'!$F$5,$G1302))),COUNT($I$1:I1301)+1,"")</f>
        <v>0</v>
      </c>
    </row>
    <row r="1303" spans="6:9">
      <c r="F1303" s="7">
        <f>IF('W rejestracji'!$C$1310="","",'W rejestracji'!$C$1310)</f>
        <v>0</v>
      </c>
      <c r="G1303" s="7">
        <f>IF(Zarejestrowane!$C$1310="","",Zarejestrowane!$C$1310)</f>
        <v>0</v>
      </c>
      <c r="H1303" s="9">
        <f>IF(AND($F1303&lt;&gt;"",ISNUMBER(SEARCH('Nr rejestracyjny'!$F$5,$F1303))),COUNT($H$1:H1302)+1,"")</f>
        <v>0</v>
      </c>
      <c r="I1303" s="9">
        <f>IF(AND($G1303&lt;&gt;"",ISNUMBER(SEARCH('Nr rejestracyjny'!$F$5,$G1303))),COUNT($I$1:I1302)+1,"")</f>
        <v>0</v>
      </c>
    </row>
    <row r="1304" spans="6:9">
      <c r="F1304" s="7">
        <f>IF('W rejestracji'!$C$1311="","",'W rejestracji'!$C$1311)</f>
        <v>0</v>
      </c>
      <c r="G1304" s="7">
        <f>IF(Zarejestrowane!$C$1311="","",Zarejestrowane!$C$1311)</f>
        <v>0</v>
      </c>
      <c r="H1304" s="9">
        <f>IF(AND($F1304&lt;&gt;"",ISNUMBER(SEARCH('Nr rejestracyjny'!$F$5,$F1304))),COUNT($H$1:H1303)+1,"")</f>
        <v>0</v>
      </c>
      <c r="I1304" s="9">
        <f>IF(AND($G1304&lt;&gt;"",ISNUMBER(SEARCH('Nr rejestracyjny'!$F$5,$G1304))),COUNT($I$1:I1303)+1,"")</f>
        <v>0</v>
      </c>
    </row>
    <row r="1305" spans="6:9">
      <c r="F1305" s="7">
        <f>IF('W rejestracji'!$C$1312="","",'W rejestracji'!$C$1312)</f>
        <v>0</v>
      </c>
      <c r="G1305" s="7">
        <f>IF(Zarejestrowane!$C$1312="","",Zarejestrowane!$C$1312)</f>
        <v>0</v>
      </c>
      <c r="H1305" s="9">
        <f>IF(AND($F1305&lt;&gt;"",ISNUMBER(SEARCH('Nr rejestracyjny'!$F$5,$F1305))),COUNT($H$1:H1304)+1,"")</f>
        <v>0</v>
      </c>
      <c r="I1305" s="9">
        <f>IF(AND($G1305&lt;&gt;"",ISNUMBER(SEARCH('Nr rejestracyjny'!$F$5,$G1305))),COUNT($I$1:I1304)+1,"")</f>
        <v>0</v>
      </c>
    </row>
    <row r="1306" spans="6:9">
      <c r="F1306" s="7">
        <f>IF('W rejestracji'!$C$1313="","",'W rejestracji'!$C$1313)</f>
        <v>0</v>
      </c>
      <c r="G1306" s="7">
        <f>IF(Zarejestrowane!$C$1313="","",Zarejestrowane!$C$1313)</f>
        <v>0</v>
      </c>
      <c r="H1306" s="9">
        <f>IF(AND($F1306&lt;&gt;"",ISNUMBER(SEARCH('Nr rejestracyjny'!$F$5,$F1306))),COUNT($H$1:H1305)+1,"")</f>
        <v>0</v>
      </c>
      <c r="I1306" s="9">
        <f>IF(AND($G1306&lt;&gt;"",ISNUMBER(SEARCH('Nr rejestracyjny'!$F$5,$G1306))),COUNT($I$1:I1305)+1,"")</f>
        <v>0</v>
      </c>
    </row>
    <row r="1307" spans="6:9">
      <c r="F1307" s="7">
        <f>IF('W rejestracji'!$C$1314="","",'W rejestracji'!$C$1314)</f>
        <v>0</v>
      </c>
      <c r="G1307" s="7">
        <f>IF(Zarejestrowane!$C$1314="","",Zarejestrowane!$C$1314)</f>
        <v>0</v>
      </c>
      <c r="H1307" s="9">
        <f>IF(AND($F1307&lt;&gt;"",ISNUMBER(SEARCH('Nr rejestracyjny'!$F$5,$F1307))),COUNT($H$1:H1306)+1,"")</f>
        <v>0</v>
      </c>
      <c r="I1307" s="9">
        <f>IF(AND($G1307&lt;&gt;"",ISNUMBER(SEARCH('Nr rejestracyjny'!$F$5,$G1307))),COUNT($I$1:I1306)+1,"")</f>
        <v>0</v>
      </c>
    </row>
    <row r="1308" spans="6:9">
      <c r="F1308" s="7">
        <f>IF('W rejestracji'!$C$1315="","",'W rejestracji'!$C$1315)</f>
        <v>0</v>
      </c>
      <c r="G1308" s="7">
        <f>IF(Zarejestrowane!$C$1315="","",Zarejestrowane!$C$1315)</f>
        <v>0</v>
      </c>
      <c r="H1308" s="9">
        <f>IF(AND($F1308&lt;&gt;"",ISNUMBER(SEARCH('Nr rejestracyjny'!$F$5,$F1308))),COUNT($H$1:H1307)+1,"")</f>
        <v>0</v>
      </c>
      <c r="I1308" s="9">
        <f>IF(AND($G1308&lt;&gt;"",ISNUMBER(SEARCH('Nr rejestracyjny'!$F$5,$G1308))),COUNT($I$1:I1307)+1,"")</f>
        <v>0</v>
      </c>
    </row>
    <row r="1309" spans="6:9">
      <c r="F1309" s="7">
        <f>IF('W rejestracji'!$C$1316="","",'W rejestracji'!$C$1316)</f>
        <v>0</v>
      </c>
      <c r="G1309" s="7">
        <f>IF(Zarejestrowane!$C$1316="","",Zarejestrowane!$C$1316)</f>
        <v>0</v>
      </c>
      <c r="H1309" s="9">
        <f>IF(AND($F1309&lt;&gt;"",ISNUMBER(SEARCH('Nr rejestracyjny'!$F$5,$F1309))),COUNT($H$1:H1308)+1,"")</f>
        <v>0</v>
      </c>
      <c r="I1309" s="9">
        <f>IF(AND($G1309&lt;&gt;"",ISNUMBER(SEARCH('Nr rejestracyjny'!$F$5,$G1309))),COUNT($I$1:I1308)+1,"")</f>
        <v>0</v>
      </c>
    </row>
    <row r="1310" spans="6:9">
      <c r="F1310" s="7">
        <f>IF('W rejestracji'!$C$1317="","",'W rejestracji'!$C$1317)</f>
        <v>0</v>
      </c>
      <c r="G1310" s="7">
        <f>IF(Zarejestrowane!$C$1317="","",Zarejestrowane!$C$1317)</f>
        <v>0</v>
      </c>
      <c r="H1310" s="9">
        <f>IF(AND($F1310&lt;&gt;"",ISNUMBER(SEARCH('Nr rejestracyjny'!$F$5,$F1310))),COUNT($H$1:H1309)+1,"")</f>
        <v>0</v>
      </c>
      <c r="I1310" s="9">
        <f>IF(AND($G1310&lt;&gt;"",ISNUMBER(SEARCH('Nr rejestracyjny'!$F$5,$G1310))),COUNT($I$1:I1309)+1,"")</f>
        <v>0</v>
      </c>
    </row>
    <row r="1311" spans="6:9">
      <c r="F1311" s="7">
        <f>IF('W rejestracji'!$C$1318="","",'W rejestracji'!$C$1318)</f>
        <v>0</v>
      </c>
      <c r="G1311" s="7">
        <f>IF(Zarejestrowane!$C$1318="","",Zarejestrowane!$C$1318)</f>
        <v>0</v>
      </c>
      <c r="H1311" s="9">
        <f>IF(AND($F1311&lt;&gt;"",ISNUMBER(SEARCH('Nr rejestracyjny'!$F$5,$F1311))),COUNT($H$1:H1310)+1,"")</f>
        <v>0</v>
      </c>
      <c r="I1311" s="9">
        <f>IF(AND($G1311&lt;&gt;"",ISNUMBER(SEARCH('Nr rejestracyjny'!$F$5,$G1311))),COUNT($I$1:I1310)+1,"")</f>
        <v>0</v>
      </c>
    </row>
    <row r="1312" spans="6:9">
      <c r="F1312" s="7">
        <f>IF('W rejestracji'!$C$1319="","",'W rejestracji'!$C$1319)</f>
        <v>0</v>
      </c>
      <c r="G1312" s="7">
        <f>IF(Zarejestrowane!$C$1319="","",Zarejestrowane!$C$1319)</f>
        <v>0</v>
      </c>
      <c r="H1312" s="9">
        <f>IF(AND($F1312&lt;&gt;"",ISNUMBER(SEARCH('Nr rejestracyjny'!$F$5,$F1312))),COUNT($H$1:H1311)+1,"")</f>
        <v>0</v>
      </c>
      <c r="I1312" s="9">
        <f>IF(AND($G1312&lt;&gt;"",ISNUMBER(SEARCH('Nr rejestracyjny'!$F$5,$G1312))),COUNT($I$1:I1311)+1,"")</f>
        <v>0</v>
      </c>
    </row>
    <row r="1313" spans="6:9">
      <c r="F1313" s="7">
        <f>IF('W rejestracji'!$C$1320="","",'W rejestracji'!$C$1320)</f>
        <v>0</v>
      </c>
      <c r="G1313" s="7">
        <f>IF(Zarejestrowane!$C$1320="","",Zarejestrowane!$C$1320)</f>
        <v>0</v>
      </c>
      <c r="H1313" s="9">
        <f>IF(AND($F1313&lt;&gt;"",ISNUMBER(SEARCH('Nr rejestracyjny'!$F$5,$F1313))),COUNT($H$1:H1312)+1,"")</f>
        <v>0</v>
      </c>
      <c r="I1313" s="9">
        <f>IF(AND($G1313&lt;&gt;"",ISNUMBER(SEARCH('Nr rejestracyjny'!$F$5,$G1313))),COUNT($I$1:I1312)+1,"")</f>
        <v>0</v>
      </c>
    </row>
    <row r="1314" spans="6:9">
      <c r="F1314" s="7">
        <f>IF('W rejestracji'!$C$1321="","",'W rejestracji'!$C$1321)</f>
        <v>0</v>
      </c>
      <c r="G1314" s="7">
        <f>IF(Zarejestrowane!$C$1321="","",Zarejestrowane!$C$1321)</f>
        <v>0</v>
      </c>
      <c r="H1314" s="9">
        <f>IF(AND($F1314&lt;&gt;"",ISNUMBER(SEARCH('Nr rejestracyjny'!$F$5,$F1314))),COUNT($H$1:H1313)+1,"")</f>
        <v>0</v>
      </c>
      <c r="I1314" s="9">
        <f>IF(AND($G1314&lt;&gt;"",ISNUMBER(SEARCH('Nr rejestracyjny'!$F$5,$G1314))),COUNT($I$1:I1313)+1,"")</f>
        <v>0</v>
      </c>
    </row>
    <row r="1315" spans="6:9">
      <c r="F1315" s="7">
        <f>IF('W rejestracji'!$C$1322="","",'W rejestracji'!$C$1322)</f>
        <v>0</v>
      </c>
      <c r="G1315" s="7">
        <f>IF(Zarejestrowane!$C$1322="","",Zarejestrowane!$C$1322)</f>
        <v>0</v>
      </c>
      <c r="H1315" s="9">
        <f>IF(AND($F1315&lt;&gt;"",ISNUMBER(SEARCH('Nr rejestracyjny'!$F$5,$F1315))),COUNT($H$1:H1314)+1,"")</f>
        <v>0</v>
      </c>
      <c r="I1315" s="9">
        <f>IF(AND($G1315&lt;&gt;"",ISNUMBER(SEARCH('Nr rejestracyjny'!$F$5,$G1315))),COUNT($I$1:I1314)+1,"")</f>
        <v>0</v>
      </c>
    </row>
    <row r="1316" spans="6:9">
      <c r="F1316" s="7">
        <f>IF('W rejestracji'!$C$1323="","",'W rejestracji'!$C$1323)</f>
        <v>0</v>
      </c>
      <c r="G1316" s="7">
        <f>IF(Zarejestrowane!$C$1323="","",Zarejestrowane!$C$1323)</f>
        <v>0</v>
      </c>
      <c r="H1316" s="9">
        <f>IF(AND($F1316&lt;&gt;"",ISNUMBER(SEARCH('Nr rejestracyjny'!$F$5,$F1316))),COUNT($H$1:H1315)+1,"")</f>
        <v>0</v>
      </c>
      <c r="I1316" s="9">
        <f>IF(AND($G1316&lt;&gt;"",ISNUMBER(SEARCH('Nr rejestracyjny'!$F$5,$G1316))),COUNT($I$1:I1315)+1,"")</f>
        <v>0</v>
      </c>
    </row>
    <row r="1317" spans="6:9">
      <c r="F1317" s="7">
        <f>IF('W rejestracji'!$C$1324="","",'W rejestracji'!$C$1324)</f>
        <v>0</v>
      </c>
      <c r="G1317" s="7">
        <f>IF(Zarejestrowane!$C$1324="","",Zarejestrowane!$C$1324)</f>
        <v>0</v>
      </c>
      <c r="H1317" s="9">
        <f>IF(AND($F1317&lt;&gt;"",ISNUMBER(SEARCH('Nr rejestracyjny'!$F$5,$F1317))),COUNT($H$1:H1316)+1,"")</f>
        <v>0</v>
      </c>
      <c r="I1317" s="9">
        <f>IF(AND($G1317&lt;&gt;"",ISNUMBER(SEARCH('Nr rejestracyjny'!$F$5,$G1317))),COUNT($I$1:I1316)+1,"")</f>
        <v>0</v>
      </c>
    </row>
    <row r="1318" spans="6:9">
      <c r="F1318" s="7">
        <f>IF('W rejestracji'!$C$1325="","",'W rejestracji'!$C$1325)</f>
        <v>0</v>
      </c>
      <c r="G1318" s="7">
        <f>IF(Zarejestrowane!$C$1325="","",Zarejestrowane!$C$1325)</f>
        <v>0</v>
      </c>
      <c r="H1318" s="9">
        <f>IF(AND($F1318&lt;&gt;"",ISNUMBER(SEARCH('Nr rejestracyjny'!$F$5,$F1318))),COUNT($H$1:H1317)+1,"")</f>
        <v>0</v>
      </c>
      <c r="I1318" s="9">
        <f>IF(AND($G1318&lt;&gt;"",ISNUMBER(SEARCH('Nr rejestracyjny'!$F$5,$G1318))),COUNT($I$1:I1317)+1,"")</f>
        <v>0</v>
      </c>
    </row>
    <row r="1319" spans="6:9">
      <c r="F1319" s="7">
        <f>IF('W rejestracji'!$C$1326="","",'W rejestracji'!$C$1326)</f>
        <v>0</v>
      </c>
      <c r="G1319" s="7">
        <f>IF(Zarejestrowane!$C$1326="","",Zarejestrowane!$C$1326)</f>
        <v>0</v>
      </c>
      <c r="H1319" s="9">
        <f>IF(AND($F1319&lt;&gt;"",ISNUMBER(SEARCH('Nr rejestracyjny'!$F$5,$F1319))),COUNT($H$1:H1318)+1,"")</f>
        <v>0</v>
      </c>
      <c r="I1319" s="9">
        <f>IF(AND($G1319&lt;&gt;"",ISNUMBER(SEARCH('Nr rejestracyjny'!$F$5,$G1319))),COUNT($I$1:I1318)+1,"")</f>
        <v>0</v>
      </c>
    </row>
    <row r="1320" spans="6:9">
      <c r="F1320" s="7">
        <f>IF('W rejestracji'!$C$1327="","",'W rejestracji'!$C$1327)</f>
        <v>0</v>
      </c>
      <c r="G1320" s="7">
        <f>IF(Zarejestrowane!$C$1327="","",Zarejestrowane!$C$1327)</f>
        <v>0</v>
      </c>
      <c r="H1320" s="9">
        <f>IF(AND($F1320&lt;&gt;"",ISNUMBER(SEARCH('Nr rejestracyjny'!$F$5,$F1320))),COUNT($H$1:H1319)+1,"")</f>
        <v>0</v>
      </c>
      <c r="I1320" s="9">
        <f>IF(AND($G1320&lt;&gt;"",ISNUMBER(SEARCH('Nr rejestracyjny'!$F$5,$G1320))),COUNT($I$1:I1319)+1,"")</f>
        <v>0</v>
      </c>
    </row>
    <row r="1321" spans="6:9">
      <c r="F1321" s="7">
        <f>IF('W rejestracji'!$C$1328="","",'W rejestracji'!$C$1328)</f>
        <v>0</v>
      </c>
      <c r="G1321" s="7">
        <f>IF(Zarejestrowane!$C$1328="","",Zarejestrowane!$C$1328)</f>
        <v>0</v>
      </c>
      <c r="H1321" s="9">
        <f>IF(AND($F1321&lt;&gt;"",ISNUMBER(SEARCH('Nr rejestracyjny'!$F$5,$F1321))),COUNT($H$1:H1320)+1,"")</f>
        <v>0</v>
      </c>
      <c r="I1321" s="9">
        <f>IF(AND($G1321&lt;&gt;"",ISNUMBER(SEARCH('Nr rejestracyjny'!$F$5,$G1321))),COUNT($I$1:I1320)+1,"")</f>
        <v>0</v>
      </c>
    </row>
    <row r="1322" spans="6:9">
      <c r="F1322" s="7">
        <f>IF('W rejestracji'!$C$1329="","",'W rejestracji'!$C$1329)</f>
        <v>0</v>
      </c>
      <c r="G1322" s="7">
        <f>IF(Zarejestrowane!$C$1329="","",Zarejestrowane!$C$1329)</f>
        <v>0</v>
      </c>
      <c r="H1322" s="9">
        <f>IF(AND($F1322&lt;&gt;"",ISNUMBER(SEARCH('Nr rejestracyjny'!$F$5,$F1322))),COUNT($H$1:H1321)+1,"")</f>
        <v>0</v>
      </c>
      <c r="I1322" s="9">
        <f>IF(AND($G1322&lt;&gt;"",ISNUMBER(SEARCH('Nr rejestracyjny'!$F$5,$G1322))),COUNT($I$1:I1321)+1,"")</f>
        <v>0</v>
      </c>
    </row>
    <row r="1323" spans="6:9">
      <c r="F1323" s="7">
        <f>IF('W rejestracji'!$C$1330="","",'W rejestracji'!$C$1330)</f>
        <v>0</v>
      </c>
      <c r="G1323" s="7">
        <f>IF(Zarejestrowane!$C$1330="","",Zarejestrowane!$C$1330)</f>
        <v>0</v>
      </c>
      <c r="H1323" s="9">
        <f>IF(AND($F1323&lt;&gt;"",ISNUMBER(SEARCH('Nr rejestracyjny'!$F$5,$F1323))),COUNT($H$1:H1322)+1,"")</f>
        <v>0</v>
      </c>
      <c r="I1323" s="9">
        <f>IF(AND($G1323&lt;&gt;"",ISNUMBER(SEARCH('Nr rejestracyjny'!$F$5,$G1323))),COUNT($I$1:I1322)+1,"")</f>
        <v>0</v>
      </c>
    </row>
    <row r="1324" spans="6:9">
      <c r="F1324" s="7">
        <f>IF('W rejestracji'!$C$1331="","",'W rejestracji'!$C$1331)</f>
        <v>0</v>
      </c>
      <c r="G1324" s="7">
        <f>IF(Zarejestrowane!$C$1331="","",Zarejestrowane!$C$1331)</f>
        <v>0</v>
      </c>
      <c r="H1324" s="9">
        <f>IF(AND($F1324&lt;&gt;"",ISNUMBER(SEARCH('Nr rejestracyjny'!$F$5,$F1324))),COUNT($H$1:H1323)+1,"")</f>
        <v>0</v>
      </c>
      <c r="I1324" s="9">
        <f>IF(AND($G1324&lt;&gt;"",ISNUMBER(SEARCH('Nr rejestracyjny'!$F$5,$G1324))),COUNT($I$1:I1323)+1,"")</f>
        <v>0</v>
      </c>
    </row>
    <row r="1325" spans="6:9">
      <c r="F1325" s="7">
        <f>IF('W rejestracji'!$C$1332="","",'W rejestracji'!$C$1332)</f>
        <v>0</v>
      </c>
      <c r="G1325" s="7">
        <f>IF(Zarejestrowane!$C$1332="","",Zarejestrowane!$C$1332)</f>
        <v>0</v>
      </c>
      <c r="H1325" s="9">
        <f>IF(AND($F1325&lt;&gt;"",ISNUMBER(SEARCH('Nr rejestracyjny'!$F$5,$F1325))),COUNT($H$1:H1324)+1,"")</f>
        <v>0</v>
      </c>
      <c r="I1325" s="9">
        <f>IF(AND($G1325&lt;&gt;"",ISNUMBER(SEARCH('Nr rejestracyjny'!$F$5,$G1325))),COUNT($I$1:I1324)+1,"")</f>
        <v>0</v>
      </c>
    </row>
    <row r="1326" spans="6:9">
      <c r="F1326" s="7">
        <f>IF('W rejestracji'!$C$1333="","",'W rejestracji'!$C$1333)</f>
        <v>0</v>
      </c>
      <c r="G1326" s="7">
        <f>IF(Zarejestrowane!$C$1333="","",Zarejestrowane!$C$1333)</f>
        <v>0</v>
      </c>
      <c r="H1326" s="9">
        <f>IF(AND($F1326&lt;&gt;"",ISNUMBER(SEARCH('Nr rejestracyjny'!$F$5,$F1326))),COUNT($H$1:H1325)+1,"")</f>
        <v>0</v>
      </c>
      <c r="I1326" s="9">
        <f>IF(AND($G1326&lt;&gt;"",ISNUMBER(SEARCH('Nr rejestracyjny'!$F$5,$G1326))),COUNT($I$1:I1325)+1,"")</f>
        <v>0</v>
      </c>
    </row>
    <row r="1327" spans="6:9">
      <c r="F1327" s="7">
        <f>IF('W rejestracji'!$C$1334="","",'W rejestracji'!$C$1334)</f>
        <v>0</v>
      </c>
      <c r="G1327" s="7">
        <f>IF(Zarejestrowane!$C$1334="","",Zarejestrowane!$C$1334)</f>
        <v>0</v>
      </c>
      <c r="H1327" s="9">
        <f>IF(AND($F1327&lt;&gt;"",ISNUMBER(SEARCH('Nr rejestracyjny'!$F$5,$F1327))),COUNT($H$1:H1326)+1,"")</f>
        <v>0</v>
      </c>
      <c r="I1327" s="9">
        <f>IF(AND($G1327&lt;&gt;"",ISNUMBER(SEARCH('Nr rejestracyjny'!$F$5,$G1327))),COUNT($I$1:I1326)+1,"")</f>
        <v>0</v>
      </c>
    </row>
    <row r="1328" spans="6:9">
      <c r="F1328" s="7">
        <f>IF('W rejestracji'!$C$1335="","",'W rejestracji'!$C$1335)</f>
        <v>0</v>
      </c>
      <c r="G1328" s="7">
        <f>IF(Zarejestrowane!$C$1335="","",Zarejestrowane!$C$1335)</f>
        <v>0</v>
      </c>
      <c r="H1328" s="9">
        <f>IF(AND($F1328&lt;&gt;"",ISNUMBER(SEARCH('Nr rejestracyjny'!$F$5,$F1328))),COUNT($H$1:H1327)+1,"")</f>
        <v>0</v>
      </c>
      <c r="I1328" s="9">
        <f>IF(AND($G1328&lt;&gt;"",ISNUMBER(SEARCH('Nr rejestracyjny'!$F$5,$G1328))),COUNT($I$1:I1327)+1,"")</f>
        <v>0</v>
      </c>
    </row>
    <row r="1329" spans="6:9">
      <c r="F1329" s="7">
        <f>IF('W rejestracji'!$C$1336="","",'W rejestracji'!$C$1336)</f>
        <v>0</v>
      </c>
      <c r="G1329" s="7">
        <f>IF(Zarejestrowane!$C$1336="","",Zarejestrowane!$C$1336)</f>
        <v>0</v>
      </c>
      <c r="H1329" s="9">
        <f>IF(AND($F1329&lt;&gt;"",ISNUMBER(SEARCH('Nr rejestracyjny'!$F$5,$F1329))),COUNT($H$1:H1328)+1,"")</f>
        <v>0</v>
      </c>
      <c r="I1329" s="9">
        <f>IF(AND($G1329&lt;&gt;"",ISNUMBER(SEARCH('Nr rejestracyjny'!$F$5,$G1329))),COUNT($I$1:I1328)+1,"")</f>
        <v>0</v>
      </c>
    </row>
    <row r="1330" spans="6:9">
      <c r="F1330" s="7">
        <f>IF('W rejestracji'!$C$1337="","",'W rejestracji'!$C$1337)</f>
        <v>0</v>
      </c>
      <c r="G1330" s="7">
        <f>IF(Zarejestrowane!$C$1337="","",Zarejestrowane!$C$1337)</f>
        <v>0</v>
      </c>
      <c r="H1330" s="9">
        <f>IF(AND($F1330&lt;&gt;"",ISNUMBER(SEARCH('Nr rejestracyjny'!$F$5,$F1330))),COUNT($H$1:H1329)+1,"")</f>
        <v>0</v>
      </c>
      <c r="I1330" s="9">
        <f>IF(AND($G1330&lt;&gt;"",ISNUMBER(SEARCH('Nr rejestracyjny'!$F$5,$G1330))),COUNT($I$1:I1329)+1,"")</f>
        <v>0</v>
      </c>
    </row>
    <row r="1331" spans="6:9">
      <c r="F1331" s="7">
        <f>IF('W rejestracji'!$C$1338="","",'W rejestracji'!$C$1338)</f>
        <v>0</v>
      </c>
      <c r="G1331" s="7">
        <f>IF(Zarejestrowane!$C$1338="","",Zarejestrowane!$C$1338)</f>
        <v>0</v>
      </c>
      <c r="H1331" s="9">
        <f>IF(AND($F1331&lt;&gt;"",ISNUMBER(SEARCH('Nr rejestracyjny'!$F$5,$F1331))),COUNT($H$1:H1330)+1,"")</f>
        <v>0</v>
      </c>
      <c r="I1331" s="9">
        <f>IF(AND($G1331&lt;&gt;"",ISNUMBER(SEARCH('Nr rejestracyjny'!$F$5,$G1331))),COUNT($I$1:I1330)+1,"")</f>
        <v>0</v>
      </c>
    </row>
    <row r="1332" spans="6:9">
      <c r="F1332" s="7">
        <f>IF('W rejestracji'!$C$1339="","",'W rejestracji'!$C$1339)</f>
        <v>0</v>
      </c>
      <c r="G1332" s="7">
        <f>IF(Zarejestrowane!$C$1339="","",Zarejestrowane!$C$1339)</f>
        <v>0</v>
      </c>
      <c r="H1332" s="9">
        <f>IF(AND($F1332&lt;&gt;"",ISNUMBER(SEARCH('Nr rejestracyjny'!$F$5,$F1332))),COUNT($H$1:H1331)+1,"")</f>
        <v>0</v>
      </c>
      <c r="I1332" s="9">
        <f>IF(AND($G1332&lt;&gt;"",ISNUMBER(SEARCH('Nr rejestracyjny'!$F$5,$G1332))),COUNT($I$1:I1331)+1,"")</f>
        <v>0</v>
      </c>
    </row>
    <row r="1333" spans="6:9">
      <c r="F1333" s="7">
        <f>IF('W rejestracji'!$C$1340="","",'W rejestracji'!$C$1340)</f>
        <v>0</v>
      </c>
      <c r="G1333" s="7">
        <f>IF(Zarejestrowane!$C$1340="","",Zarejestrowane!$C$1340)</f>
        <v>0</v>
      </c>
      <c r="H1333" s="9">
        <f>IF(AND($F1333&lt;&gt;"",ISNUMBER(SEARCH('Nr rejestracyjny'!$F$5,$F1333))),COUNT($H$1:H1332)+1,"")</f>
        <v>0</v>
      </c>
      <c r="I1333" s="9">
        <f>IF(AND($G1333&lt;&gt;"",ISNUMBER(SEARCH('Nr rejestracyjny'!$F$5,$G1333))),COUNT($I$1:I1332)+1,"")</f>
        <v>0</v>
      </c>
    </row>
    <row r="1334" spans="6:9">
      <c r="F1334" s="7">
        <f>IF('W rejestracji'!$C$1341="","",'W rejestracji'!$C$1341)</f>
        <v>0</v>
      </c>
      <c r="G1334" s="7">
        <f>IF(Zarejestrowane!$C$1341="","",Zarejestrowane!$C$1341)</f>
        <v>0</v>
      </c>
      <c r="H1334" s="9">
        <f>IF(AND($F1334&lt;&gt;"",ISNUMBER(SEARCH('Nr rejestracyjny'!$F$5,$F1334))),COUNT($H$1:H1333)+1,"")</f>
        <v>0</v>
      </c>
      <c r="I1334" s="9">
        <f>IF(AND($G1334&lt;&gt;"",ISNUMBER(SEARCH('Nr rejestracyjny'!$F$5,$G1334))),COUNT($I$1:I1333)+1,"")</f>
        <v>0</v>
      </c>
    </row>
    <row r="1335" spans="6:9">
      <c r="F1335" s="7">
        <f>IF('W rejestracji'!$C$1342="","",'W rejestracji'!$C$1342)</f>
        <v>0</v>
      </c>
      <c r="G1335" s="7">
        <f>IF(Zarejestrowane!$C$1342="","",Zarejestrowane!$C$1342)</f>
        <v>0</v>
      </c>
      <c r="H1335" s="9">
        <f>IF(AND($F1335&lt;&gt;"",ISNUMBER(SEARCH('Nr rejestracyjny'!$F$5,$F1335))),COUNT($H$1:H1334)+1,"")</f>
        <v>0</v>
      </c>
      <c r="I1335" s="9">
        <f>IF(AND($G1335&lt;&gt;"",ISNUMBER(SEARCH('Nr rejestracyjny'!$F$5,$G1335))),COUNT($I$1:I1334)+1,"")</f>
        <v>0</v>
      </c>
    </row>
    <row r="1336" spans="6:9">
      <c r="F1336" s="7">
        <f>IF('W rejestracji'!$C$1343="","",'W rejestracji'!$C$1343)</f>
        <v>0</v>
      </c>
      <c r="G1336" s="7">
        <f>IF(Zarejestrowane!$C$1343="","",Zarejestrowane!$C$1343)</f>
        <v>0</v>
      </c>
      <c r="H1336" s="9">
        <f>IF(AND($F1336&lt;&gt;"",ISNUMBER(SEARCH('Nr rejestracyjny'!$F$5,$F1336))),COUNT($H$1:H1335)+1,"")</f>
        <v>0</v>
      </c>
      <c r="I1336" s="9">
        <f>IF(AND($G1336&lt;&gt;"",ISNUMBER(SEARCH('Nr rejestracyjny'!$F$5,$G1336))),COUNT($I$1:I1335)+1,"")</f>
        <v>0</v>
      </c>
    </row>
    <row r="1337" spans="6:9">
      <c r="F1337" s="7">
        <f>IF('W rejestracji'!$C$1344="","",'W rejestracji'!$C$1344)</f>
        <v>0</v>
      </c>
      <c r="G1337" s="7">
        <f>IF(Zarejestrowane!$C$1344="","",Zarejestrowane!$C$1344)</f>
        <v>0</v>
      </c>
      <c r="H1337" s="9">
        <f>IF(AND($F1337&lt;&gt;"",ISNUMBER(SEARCH('Nr rejestracyjny'!$F$5,$F1337))),COUNT($H$1:H1336)+1,"")</f>
        <v>0</v>
      </c>
      <c r="I1337" s="9">
        <f>IF(AND($G1337&lt;&gt;"",ISNUMBER(SEARCH('Nr rejestracyjny'!$F$5,$G1337))),COUNT($I$1:I1336)+1,"")</f>
        <v>0</v>
      </c>
    </row>
    <row r="1338" spans="6:9">
      <c r="F1338" s="7">
        <f>IF('W rejestracji'!$C$1345="","",'W rejestracji'!$C$1345)</f>
        <v>0</v>
      </c>
      <c r="G1338" s="7">
        <f>IF(Zarejestrowane!$C$1345="","",Zarejestrowane!$C$1345)</f>
        <v>0</v>
      </c>
      <c r="H1338" s="9">
        <f>IF(AND($F1338&lt;&gt;"",ISNUMBER(SEARCH('Nr rejestracyjny'!$F$5,$F1338))),COUNT($H$1:H1337)+1,"")</f>
        <v>0</v>
      </c>
      <c r="I1338" s="9">
        <f>IF(AND($G1338&lt;&gt;"",ISNUMBER(SEARCH('Nr rejestracyjny'!$F$5,$G1338))),COUNT($I$1:I1337)+1,"")</f>
        <v>0</v>
      </c>
    </row>
    <row r="1339" spans="6:9">
      <c r="F1339" s="7">
        <f>IF('W rejestracji'!$C$1346="","",'W rejestracji'!$C$1346)</f>
        <v>0</v>
      </c>
      <c r="G1339" s="7">
        <f>IF(Zarejestrowane!$C$1346="","",Zarejestrowane!$C$1346)</f>
        <v>0</v>
      </c>
      <c r="H1339" s="9">
        <f>IF(AND($F1339&lt;&gt;"",ISNUMBER(SEARCH('Nr rejestracyjny'!$F$5,$F1339))),COUNT($H$1:H1338)+1,"")</f>
        <v>0</v>
      </c>
      <c r="I1339" s="9">
        <f>IF(AND($G1339&lt;&gt;"",ISNUMBER(SEARCH('Nr rejestracyjny'!$F$5,$G1339))),COUNT($I$1:I1338)+1,"")</f>
        <v>0</v>
      </c>
    </row>
    <row r="1340" spans="6:9">
      <c r="F1340" s="7">
        <f>IF('W rejestracji'!$C$1347="","",'W rejestracji'!$C$1347)</f>
        <v>0</v>
      </c>
      <c r="G1340" s="7">
        <f>IF(Zarejestrowane!$C$1347="","",Zarejestrowane!$C$1347)</f>
        <v>0</v>
      </c>
      <c r="H1340" s="9">
        <f>IF(AND($F1340&lt;&gt;"",ISNUMBER(SEARCH('Nr rejestracyjny'!$F$5,$F1340))),COUNT($H$1:H1339)+1,"")</f>
        <v>0</v>
      </c>
      <c r="I1340" s="9">
        <f>IF(AND($G1340&lt;&gt;"",ISNUMBER(SEARCH('Nr rejestracyjny'!$F$5,$G1340))),COUNT($I$1:I1339)+1,"")</f>
        <v>0</v>
      </c>
    </row>
    <row r="1341" spans="6:9">
      <c r="F1341" s="7">
        <f>IF('W rejestracji'!$C$1348="","",'W rejestracji'!$C$1348)</f>
        <v>0</v>
      </c>
      <c r="G1341" s="7">
        <f>IF(Zarejestrowane!$C$1348="","",Zarejestrowane!$C$1348)</f>
        <v>0</v>
      </c>
      <c r="H1341" s="9">
        <f>IF(AND($F1341&lt;&gt;"",ISNUMBER(SEARCH('Nr rejestracyjny'!$F$5,$F1341))),COUNT($H$1:H1340)+1,"")</f>
        <v>0</v>
      </c>
      <c r="I1341" s="9">
        <f>IF(AND($G1341&lt;&gt;"",ISNUMBER(SEARCH('Nr rejestracyjny'!$F$5,$G1341))),COUNT($I$1:I1340)+1,"")</f>
        <v>0</v>
      </c>
    </row>
    <row r="1342" spans="6:9">
      <c r="F1342" s="7">
        <f>IF('W rejestracji'!$C$1349="","",'W rejestracji'!$C$1349)</f>
        <v>0</v>
      </c>
      <c r="G1342" s="7">
        <f>IF(Zarejestrowane!$C$1349="","",Zarejestrowane!$C$1349)</f>
        <v>0</v>
      </c>
      <c r="H1342" s="9">
        <f>IF(AND($F1342&lt;&gt;"",ISNUMBER(SEARCH('Nr rejestracyjny'!$F$5,$F1342))),COUNT($H$1:H1341)+1,"")</f>
        <v>0</v>
      </c>
      <c r="I1342" s="9">
        <f>IF(AND($G1342&lt;&gt;"",ISNUMBER(SEARCH('Nr rejestracyjny'!$F$5,$G1342))),COUNT($I$1:I1341)+1,"")</f>
        <v>0</v>
      </c>
    </row>
    <row r="1343" spans="6:9">
      <c r="F1343" s="7">
        <f>IF('W rejestracji'!$C$1350="","",'W rejestracji'!$C$1350)</f>
        <v>0</v>
      </c>
      <c r="G1343" s="7">
        <f>IF(Zarejestrowane!$C$1350="","",Zarejestrowane!$C$1350)</f>
        <v>0</v>
      </c>
      <c r="H1343" s="9">
        <f>IF(AND($F1343&lt;&gt;"",ISNUMBER(SEARCH('Nr rejestracyjny'!$F$5,$F1343))),COUNT($H$1:H1342)+1,"")</f>
        <v>0</v>
      </c>
      <c r="I1343" s="9">
        <f>IF(AND($G1343&lt;&gt;"",ISNUMBER(SEARCH('Nr rejestracyjny'!$F$5,$G1343))),COUNT($I$1:I1342)+1,"")</f>
        <v>0</v>
      </c>
    </row>
    <row r="1344" spans="6:9">
      <c r="F1344" s="7">
        <f>IF('W rejestracji'!$C$1351="","",'W rejestracji'!$C$1351)</f>
        <v>0</v>
      </c>
      <c r="G1344" s="7">
        <f>IF(Zarejestrowane!$C$1351="","",Zarejestrowane!$C$1351)</f>
        <v>0</v>
      </c>
      <c r="H1344" s="9">
        <f>IF(AND($F1344&lt;&gt;"",ISNUMBER(SEARCH('Nr rejestracyjny'!$F$5,$F1344))),COUNT($H$1:H1343)+1,"")</f>
        <v>0</v>
      </c>
      <c r="I1344" s="9">
        <f>IF(AND($G1344&lt;&gt;"",ISNUMBER(SEARCH('Nr rejestracyjny'!$F$5,$G1344))),COUNT($I$1:I1343)+1,"")</f>
        <v>0</v>
      </c>
    </row>
    <row r="1345" spans="6:9">
      <c r="F1345" s="7">
        <f>IF('W rejestracji'!$C$1352="","",'W rejestracji'!$C$1352)</f>
        <v>0</v>
      </c>
      <c r="G1345" s="7">
        <f>IF(Zarejestrowane!$C$1352="","",Zarejestrowane!$C$1352)</f>
        <v>0</v>
      </c>
      <c r="H1345" s="9">
        <f>IF(AND($F1345&lt;&gt;"",ISNUMBER(SEARCH('Nr rejestracyjny'!$F$5,$F1345))),COUNT($H$1:H1344)+1,"")</f>
        <v>0</v>
      </c>
      <c r="I1345" s="9">
        <f>IF(AND($G1345&lt;&gt;"",ISNUMBER(SEARCH('Nr rejestracyjny'!$F$5,$G1345))),COUNT($I$1:I1344)+1,"")</f>
        <v>0</v>
      </c>
    </row>
    <row r="1346" spans="6:9">
      <c r="F1346" s="7">
        <f>IF('W rejestracji'!$C$1353="","",'W rejestracji'!$C$1353)</f>
        <v>0</v>
      </c>
      <c r="G1346" s="7">
        <f>IF(Zarejestrowane!$C$1353="","",Zarejestrowane!$C$1353)</f>
        <v>0</v>
      </c>
      <c r="H1346" s="9">
        <f>IF(AND($F1346&lt;&gt;"",ISNUMBER(SEARCH('Nr rejestracyjny'!$F$5,$F1346))),COUNT($H$1:H1345)+1,"")</f>
        <v>0</v>
      </c>
      <c r="I1346" s="9">
        <f>IF(AND($G1346&lt;&gt;"",ISNUMBER(SEARCH('Nr rejestracyjny'!$F$5,$G1346))),COUNT($I$1:I1345)+1,"")</f>
        <v>0</v>
      </c>
    </row>
    <row r="1347" spans="6:9">
      <c r="F1347" s="7">
        <f>IF('W rejestracji'!$C$1354="","",'W rejestracji'!$C$1354)</f>
        <v>0</v>
      </c>
      <c r="G1347" s="7">
        <f>IF(Zarejestrowane!$C$1354="","",Zarejestrowane!$C$1354)</f>
        <v>0</v>
      </c>
      <c r="H1347" s="9">
        <f>IF(AND($F1347&lt;&gt;"",ISNUMBER(SEARCH('Nr rejestracyjny'!$F$5,$F1347))),COUNT($H$1:H1346)+1,"")</f>
        <v>0</v>
      </c>
      <c r="I1347" s="9">
        <f>IF(AND($G1347&lt;&gt;"",ISNUMBER(SEARCH('Nr rejestracyjny'!$F$5,$G1347))),COUNT($I$1:I1346)+1,"")</f>
        <v>0</v>
      </c>
    </row>
    <row r="1348" spans="6:9">
      <c r="F1348" s="7">
        <f>IF('W rejestracji'!$C$1355="","",'W rejestracji'!$C$1355)</f>
        <v>0</v>
      </c>
      <c r="G1348" s="7">
        <f>IF(Zarejestrowane!$C$1355="","",Zarejestrowane!$C$1355)</f>
        <v>0</v>
      </c>
      <c r="H1348" s="9">
        <f>IF(AND($F1348&lt;&gt;"",ISNUMBER(SEARCH('Nr rejestracyjny'!$F$5,$F1348))),COUNT($H$1:H1347)+1,"")</f>
        <v>0</v>
      </c>
      <c r="I1348" s="9">
        <f>IF(AND($G1348&lt;&gt;"",ISNUMBER(SEARCH('Nr rejestracyjny'!$F$5,$G1348))),COUNT($I$1:I1347)+1,"")</f>
        <v>0</v>
      </c>
    </row>
    <row r="1349" spans="6:9">
      <c r="F1349" s="7">
        <f>IF('W rejestracji'!$C$1356="","",'W rejestracji'!$C$1356)</f>
        <v>0</v>
      </c>
      <c r="G1349" s="7">
        <f>IF(Zarejestrowane!$C$1356="","",Zarejestrowane!$C$1356)</f>
        <v>0</v>
      </c>
      <c r="H1349" s="9">
        <f>IF(AND($F1349&lt;&gt;"",ISNUMBER(SEARCH('Nr rejestracyjny'!$F$5,$F1349))),COUNT($H$1:H1348)+1,"")</f>
        <v>0</v>
      </c>
      <c r="I1349" s="9">
        <f>IF(AND($G1349&lt;&gt;"",ISNUMBER(SEARCH('Nr rejestracyjny'!$F$5,$G1349))),COUNT($I$1:I1348)+1,"")</f>
        <v>0</v>
      </c>
    </row>
    <row r="1350" spans="6:9">
      <c r="F1350" s="7">
        <f>IF('W rejestracji'!$C$1357="","",'W rejestracji'!$C$1357)</f>
        <v>0</v>
      </c>
      <c r="G1350" s="7">
        <f>IF(Zarejestrowane!$C$1357="","",Zarejestrowane!$C$1357)</f>
        <v>0</v>
      </c>
      <c r="H1350" s="9">
        <f>IF(AND($F1350&lt;&gt;"",ISNUMBER(SEARCH('Nr rejestracyjny'!$F$5,$F1350))),COUNT($H$1:H1349)+1,"")</f>
        <v>0</v>
      </c>
      <c r="I1350" s="9">
        <f>IF(AND($G1350&lt;&gt;"",ISNUMBER(SEARCH('Nr rejestracyjny'!$F$5,$G1350))),COUNT($I$1:I1349)+1,"")</f>
        <v>0</v>
      </c>
    </row>
    <row r="1351" spans="6:9">
      <c r="F1351" s="7">
        <f>IF('W rejestracji'!$C$1358="","",'W rejestracji'!$C$1358)</f>
        <v>0</v>
      </c>
      <c r="G1351" s="7">
        <f>IF(Zarejestrowane!$C$1358="","",Zarejestrowane!$C$1358)</f>
        <v>0</v>
      </c>
      <c r="H1351" s="9">
        <f>IF(AND($F1351&lt;&gt;"",ISNUMBER(SEARCH('Nr rejestracyjny'!$F$5,$F1351))),COUNT($H$1:H1350)+1,"")</f>
        <v>0</v>
      </c>
      <c r="I1351" s="9">
        <f>IF(AND($G1351&lt;&gt;"",ISNUMBER(SEARCH('Nr rejestracyjny'!$F$5,$G1351))),COUNT($I$1:I1350)+1,"")</f>
        <v>0</v>
      </c>
    </row>
    <row r="1352" spans="6:9">
      <c r="F1352" s="7">
        <f>IF('W rejestracji'!$C$1359="","",'W rejestracji'!$C$1359)</f>
        <v>0</v>
      </c>
      <c r="G1352" s="7">
        <f>IF(Zarejestrowane!$C$1359="","",Zarejestrowane!$C$1359)</f>
        <v>0</v>
      </c>
      <c r="H1352" s="9">
        <f>IF(AND($F1352&lt;&gt;"",ISNUMBER(SEARCH('Nr rejestracyjny'!$F$5,$F1352))),COUNT($H$1:H1351)+1,"")</f>
        <v>0</v>
      </c>
      <c r="I1352" s="9">
        <f>IF(AND($G1352&lt;&gt;"",ISNUMBER(SEARCH('Nr rejestracyjny'!$F$5,$G1352))),COUNT($I$1:I1351)+1,"")</f>
        <v>0</v>
      </c>
    </row>
    <row r="1353" spans="6:9">
      <c r="F1353" s="7">
        <f>IF('W rejestracji'!$C$1360="","",'W rejestracji'!$C$1360)</f>
        <v>0</v>
      </c>
      <c r="G1353" s="7">
        <f>IF(Zarejestrowane!$C$1360="","",Zarejestrowane!$C$1360)</f>
        <v>0</v>
      </c>
      <c r="H1353" s="9">
        <f>IF(AND($F1353&lt;&gt;"",ISNUMBER(SEARCH('Nr rejestracyjny'!$F$5,$F1353))),COUNT($H$1:H1352)+1,"")</f>
        <v>0</v>
      </c>
      <c r="I1353" s="9">
        <f>IF(AND($G1353&lt;&gt;"",ISNUMBER(SEARCH('Nr rejestracyjny'!$F$5,$G1353))),COUNT($I$1:I1352)+1,"")</f>
        <v>0</v>
      </c>
    </row>
    <row r="1354" spans="6:9">
      <c r="F1354" s="7">
        <f>IF('W rejestracji'!$C$1361="","",'W rejestracji'!$C$1361)</f>
        <v>0</v>
      </c>
      <c r="G1354" s="7">
        <f>IF(Zarejestrowane!$C$1361="","",Zarejestrowane!$C$1361)</f>
        <v>0</v>
      </c>
      <c r="H1354" s="9">
        <f>IF(AND($F1354&lt;&gt;"",ISNUMBER(SEARCH('Nr rejestracyjny'!$F$5,$F1354))),COUNT($H$1:H1353)+1,"")</f>
        <v>0</v>
      </c>
      <c r="I1354" s="9">
        <f>IF(AND($G1354&lt;&gt;"",ISNUMBER(SEARCH('Nr rejestracyjny'!$F$5,$G1354))),COUNT($I$1:I1353)+1,"")</f>
        <v>0</v>
      </c>
    </row>
    <row r="1355" spans="6:9">
      <c r="F1355" s="7">
        <f>IF('W rejestracji'!$C$1362="","",'W rejestracji'!$C$1362)</f>
        <v>0</v>
      </c>
      <c r="G1355" s="7">
        <f>IF(Zarejestrowane!$C$1362="","",Zarejestrowane!$C$1362)</f>
        <v>0</v>
      </c>
      <c r="H1355" s="9">
        <f>IF(AND($F1355&lt;&gt;"",ISNUMBER(SEARCH('Nr rejestracyjny'!$F$5,$F1355))),COUNT($H$1:H1354)+1,"")</f>
        <v>0</v>
      </c>
      <c r="I1355" s="9">
        <f>IF(AND($G1355&lt;&gt;"",ISNUMBER(SEARCH('Nr rejestracyjny'!$F$5,$G1355))),COUNT($I$1:I1354)+1,"")</f>
        <v>0</v>
      </c>
    </row>
    <row r="1356" spans="6:9">
      <c r="F1356" s="7">
        <f>IF('W rejestracji'!$C$1363="","",'W rejestracji'!$C$1363)</f>
        <v>0</v>
      </c>
      <c r="G1356" s="7">
        <f>IF(Zarejestrowane!$C$1363="","",Zarejestrowane!$C$1363)</f>
        <v>0</v>
      </c>
      <c r="H1356" s="9">
        <f>IF(AND($F1356&lt;&gt;"",ISNUMBER(SEARCH('Nr rejestracyjny'!$F$5,$F1356))),COUNT($H$1:H1355)+1,"")</f>
        <v>0</v>
      </c>
      <c r="I1356" s="9">
        <f>IF(AND($G1356&lt;&gt;"",ISNUMBER(SEARCH('Nr rejestracyjny'!$F$5,$G1356))),COUNT($I$1:I1355)+1,"")</f>
        <v>0</v>
      </c>
    </row>
    <row r="1357" spans="6:9">
      <c r="F1357" s="7">
        <f>IF('W rejestracji'!$C$1364="","",'W rejestracji'!$C$1364)</f>
        <v>0</v>
      </c>
      <c r="G1357" s="7">
        <f>IF(Zarejestrowane!$C$1364="","",Zarejestrowane!$C$1364)</f>
        <v>0</v>
      </c>
      <c r="H1357" s="9">
        <f>IF(AND($F1357&lt;&gt;"",ISNUMBER(SEARCH('Nr rejestracyjny'!$F$5,$F1357))),COUNT($H$1:H1356)+1,"")</f>
        <v>0</v>
      </c>
      <c r="I1357" s="9">
        <f>IF(AND($G1357&lt;&gt;"",ISNUMBER(SEARCH('Nr rejestracyjny'!$F$5,$G1357))),COUNT($I$1:I1356)+1,"")</f>
        <v>0</v>
      </c>
    </row>
    <row r="1358" spans="6:9">
      <c r="F1358" s="7">
        <f>IF('W rejestracji'!$C$1365="","",'W rejestracji'!$C$1365)</f>
        <v>0</v>
      </c>
      <c r="G1358" s="7">
        <f>IF(Zarejestrowane!$C$1365="","",Zarejestrowane!$C$1365)</f>
        <v>0</v>
      </c>
      <c r="H1358" s="9">
        <f>IF(AND($F1358&lt;&gt;"",ISNUMBER(SEARCH('Nr rejestracyjny'!$F$5,$F1358))),COUNT($H$1:H1357)+1,"")</f>
        <v>0</v>
      </c>
      <c r="I1358" s="9">
        <f>IF(AND($G1358&lt;&gt;"",ISNUMBER(SEARCH('Nr rejestracyjny'!$F$5,$G1358))),COUNT($I$1:I1357)+1,"")</f>
        <v>0</v>
      </c>
    </row>
    <row r="1359" spans="6:9">
      <c r="F1359" s="7">
        <f>IF('W rejestracji'!$C$1366="","",'W rejestracji'!$C$1366)</f>
        <v>0</v>
      </c>
      <c r="G1359" s="7">
        <f>IF(Zarejestrowane!$C$1366="","",Zarejestrowane!$C$1366)</f>
        <v>0</v>
      </c>
      <c r="H1359" s="9">
        <f>IF(AND($F1359&lt;&gt;"",ISNUMBER(SEARCH('Nr rejestracyjny'!$F$5,$F1359))),COUNT($H$1:H1358)+1,"")</f>
        <v>0</v>
      </c>
      <c r="I1359" s="9">
        <f>IF(AND($G1359&lt;&gt;"",ISNUMBER(SEARCH('Nr rejestracyjny'!$F$5,$G1359))),COUNT($I$1:I1358)+1,"")</f>
        <v>0</v>
      </c>
    </row>
    <row r="1360" spans="6:9">
      <c r="F1360" s="7">
        <f>IF('W rejestracji'!$C$1367="","",'W rejestracji'!$C$1367)</f>
        <v>0</v>
      </c>
      <c r="G1360" s="7">
        <f>IF(Zarejestrowane!$C$1367="","",Zarejestrowane!$C$1367)</f>
        <v>0</v>
      </c>
      <c r="H1360" s="9">
        <f>IF(AND($F1360&lt;&gt;"",ISNUMBER(SEARCH('Nr rejestracyjny'!$F$5,$F1360))),COUNT($H$1:H1359)+1,"")</f>
        <v>0</v>
      </c>
      <c r="I1360" s="9">
        <f>IF(AND($G1360&lt;&gt;"",ISNUMBER(SEARCH('Nr rejestracyjny'!$F$5,$G1360))),COUNT($I$1:I1359)+1,"")</f>
        <v>0</v>
      </c>
    </row>
    <row r="1361" spans="6:9">
      <c r="F1361" s="7">
        <f>IF('W rejestracji'!$C$1368="","",'W rejestracji'!$C$1368)</f>
        <v>0</v>
      </c>
      <c r="G1361" s="7">
        <f>IF(Zarejestrowane!$C$1368="","",Zarejestrowane!$C$1368)</f>
        <v>0</v>
      </c>
      <c r="H1361" s="9">
        <f>IF(AND($F1361&lt;&gt;"",ISNUMBER(SEARCH('Nr rejestracyjny'!$F$5,$F1361))),COUNT($H$1:H1360)+1,"")</f>
        <v>0</v>
      </c>
      <c r="I1361" s="9">
        <f>IF(AND($G1361&lt;&gt;"",ISNUMBER(SEARCH('Nr rejestracyjny'!$F$5,$G1361))),COUNT($I$1:I1360)+1,"")</f>
        <v>0</v>
      </c>
    </row>
    <row r="1362" spans="6:9">
      <c r="F1362" s="7">
        <f>IF('W rejestracji'!$C$1369="","",'W rejestracji'!$C$1369)</f>
        <v>0</v>
      </c>
      <c r="G1362" s="7">
        <f>IF(Zarejestrowane!$C$1369="","",Zarejestrowane!$C$1369)</f>
        <v>0</v>
      </c>
      <c r="H1362" s="9">
        <f>IF(AND($F1362&lt;&gt;"",ISNUMBER(SEARCH('Nr rejestracyjny'!$F$5,$F1362))),COUNT($H$1:H1361)+1,"")</f>
        <v>0</v>
      </c>
      <c r="I1362" s="9">
        <f>IF(AND($G1362&lt;&gt;"",ISNUMBER(SEARCH('Nr rejestracyjny'!$F$5,$G1362))),COUNT($I$1:I1361)+1,"")</f>
        <v>0</v>
      </c>
    </row>
    <row r="1363" spans="6:9">
      <c r="F1363" s="7">
        <f>IF('W rejestracji'!$C$1370="","",'W rejestracji'!$C$1370)</f>
        <v>0</v>
      </c>
      <c r="G1363" s="7">
        <f>IF(Zarejestrowane!$C$1370="","",Zarejestrowane!$C$1370)</f>
        <v>0</v>
      </c>
      <c r="H1363" s="9">
        <f>IF(AND($F1363&lt;&gt;"",ISNUMBER(SEARCH('Nr rejestracyjny'!$F$5,$F1363))),COUNT($H$1:H1362)+1,"")</f>
        <v>0</v>
      </c>
      <c r="I1363" s="9">
        <f>IF(AND($G1363&lt;&gt;"",ISNUMBER(SEARCH('Nr rejestracyjny'!$F$5,$G1363))),COUNT($I$1:I1362)+1,"")</f>
        <v>0</v>
      </c>
    </row>
    <row r="1364" spans="6:9">
      <c r="F1364" s="7">
        <f>IF('W rejestracji'!$C$1371="","",'W rejestracji'!$C$1371)</f>
        <v>0</v>
      </c>
      <c r="G1364" s="7">
        <f>IF(Zarejestrowane!$C$1371="","",Zarejestrowane!$C$1371)</f>
        <v>0</v>
      </c>
      <c r="H1364" s="9">
        <f>IF(AND($F1364&lt;&gt;"",ISNUMBER(SEARCH('Nr rejestracyjny'!$F$5,$F1364))),COUNT($H$1:H1363)+1,"")</f>
        <v>0</v>
      </c>
      <c r="I1364" s="9">
        <f>IF(AND($G1364&lt;&gt;"",ISNUMBER(SEARCH('Nr rejestracyjny'!$F$5,$G1364))),COUNT($I$1:I1363)+1,"")</f>
        <v>0</v>
      </c>
    </row>
    <row r="1365" spans="6:9">
      <c r="F1365" s="7">
        <f>IF('W rejestracji'!$C$1372="","",'W rejestracji'!$C$1372)</f>
        <v>0</v>
      </c>
      <c r="G1365" s="7">
        <f>IF(Zarejestrowane!$C$1372="","",Zarejestrowane!$C$1372)</f>
        <v>0</v>
      </c>
      <c r="H1365" s="9">
        <f>IF(AND($F1365&lt;&gt;"",ISNUMBER(SEARCH('Nr rejestracyjny'!$F$5,$F1365))),COUNT($H$1:H1364)+1,"")</f>
        <v>0</v>
      </c>
      <c r="I1365" s="9">
        <f>IF(AND($G1365&lt;&gt;"",ISNUMBER(SEARCH('Nr rejestracyjny'!$F$5,$G1365))),COUNT($I$1:I1364)+1,"")</f>
        <v>0</v>
      </c>
    </row>
    <row r="1366" spans="6:9">
      <c r="F1366" s="7">
        <f>IF('W rejestracji'!$C$1373="","",'W rejestracji'!$C$1373)</f>
        <v>0</v>
      </c>
      <c r="G1366" s="7">
        <f>IF(Zarejestrowane!$C$1373="","",Zarejestrowane!$C$1373)</f>
        <v>0</v>
      </c>
      <c r="H1366" s="9">
        <f>IF(AND($F1366&lt;&gt;"",ISNUMBER(SEARCH('Nr rejestracyjny'!$F$5,$F1366))),COUNT($H$1:H1365)+1,"")</f>
        <v>0</v>
      </c>
      <c r="I1366" s="9">
        <f>IF(AND($G1366&lt;&gt;"",ISNUMBER(SEARCH('Nr rejestracyjny'!$F$5,$G1366))),COUNT($I$1:I1365)+1,"")</f>
        <v>0</v>
      </c>
    </row>
    <row r="1367" spans="6:9">
      <c r="F1367" s="7">
        <f>IF('W rejestracji'!$C$1374="","",'W rejestracji'!$C$1374)</f>
        <v>0</v>
      </c>
      <c r="G1367" s="7">
        <f>IF(Zarejestrowane!$C$1374="","",Zarejestrowane!$C$1374)</f>
        <v>0</v>
      </c>
      <c r="H1367" s="9">
        <f>IF(AND($F1367&lt;&gt;"",ISNUMBER(SEARCH('Nr rejestracyjny'!$F$5,$F1367))),COUNT($H$1:H1366)+1,"")</f>
        <v>0</v>
      </c>
      <c r="I1367" s="9">
        <f>IF(AND($G1367&lt;&gt;"",ISNUMBER(SEARCH('Nr rejestracyjny'!$F$5,$G1367))),COUNT($I$1:I1366)+1,"")</f>
        <v>0</v>
      </c>
    </row>
    <row r="1368" spans="6:9">
      <c r="F1368" s="7">
        <f>IF('W rejestracji'!$C$1375="","",'W rejestracji'!$C$1375)</f>
        <v>0</v>
      </c>
      <c r="G1368" s="7">
        <f>IF(Zarejestrowane!$C$1375="","",Zarejestrowane!$C$1375)</f>
        <v>0</v>
      </c>
      <c r="H1368" s="9">
        <f>IF(AND($F1368&lt;&gt;"",ISNUMBER(SEARCH('Nr rejestracyjny'!$F$5,$F1368))),COUNT($H$1:H1367)+1,"")</f>
        <v>0</v>
      </c>
      <c r="I1368" s="9">
        <f>IF(AND($G1368&lt;&gt;"",ISNUMBER(SEARCH('Nr rejestracyjny'!$F$5,$G1368))),COUNT($I$1:I1367)+1,"")</f>
        <v>0</v>
      </c>
    </row>
    <row r="1369" spans="6:9">
      <c r="F1369" s="7">
        <f>IF('W rejestracji'!$C$1376="","",'W rejestracji'!$C$1376)</f>
        <v>0</v>
      </c>
      <c r="G1369" s="7">
        <f>IF(Zarejestrowane!$C$1376="","",Zarejestrowane!$C$1376)</f>
        <v>0</v>
      </c>
      <c r="H1369" s="9">
        <f>IF(AND($F1369&lt;&gt;"",ISNUMBER(SEARCH('Nr rejestracyjny'!$F$5,$F1369))),COUNT($H$1:H1368)+1,"")</f>
        <v>0</v>
      </c>
      <c r="I1369" s="9">
        <f>IF(AND($G1369&lt;&gt;"",ISNUMBER(SEARCH('Nr rejestracyjny'!$F$5,$G1369))),COUNT($I$1:I1368)+1,"")</f>
        <v>0</v>
      </c>
    </row>
    <row r="1370" spans="6:9">
      <c r="F1370" s="7">
        <f>IF('W rejestracji'!$C$1377="","",'W rejestracji'!$C$1377)</f>
        <v>0</v>
      </c>
      <c r="G1370" s="7">
        <f>IF(Zarejestrowane!$C$1377="","",Zarejestrowane!$C$1377)</f>
        <v>0</v>
      </c>
      <c r="H1370" s="9">
        <f>IF(AND($F1370&lt;&gt;"",ISNUMBER(SEARCH('Nr rejestracyjny'!$F$5,$F1370))),COUNT($H$1:H1369)+1,"")</f>
        <v>0</v>
      </c>
      <c r="I1370" s="9">
        <f>IF(AND($G1370&lt;&gt;"",ISNUMBER(SEARCH('Nr rejestracyjny'!$F$5,$G1370))),COUNT($I$1:I1369)+1,"")</f>
        <v>0</v>
      </c>
    </row>
    <row r="1371" spans="6:9">
      <c r="F1371" s="7">
        <f>IF('W rejestracji'!$C$1378="","",'W rejestracji'!$C$1378)</f>
        <v>0</v>
      </c>
      <c r="G1371" s="7">
        <f>IF(Zarejestrowane!$C$1378="","",Zarejestrowane!$C$1378)</f>
        <v>0</v>
      </c>
      <c r="H1371" s="9">
        <f>IF(AND($F1371&lt;&gt;"",ISNUMBER(SEARCH('Nr rejestracyjny'!$F$5,$F1371))),COUNT($H$1:H1370)+1,"")</f>
        <v>0</v>
      </c>
      <c r="I1371" s="9">
        <f>IF(AND($G1371&lt;&gt;"",ISNUMBER(SEARCH('Nr rejestracyjny'!$F$5,$G1371))),COUNT($I$1:I1370)+1,"")</f>
        <v>0</v>
      </c>
    </row>
    <row r="1372" spans="6:9">
      <c r="F1372" s="7">
        <f>IF('W rejestracji'!$C$1379="","",'W rejestracji'!$C$1379)</f>
        <v>0</v>
      </c>
      <c r="G1372" s="7">
        <f>IF(Zarejestrowane!$C$1379="","",Zarejestrowane!$C$1379)</f>
        <v>0</v>
      </c>
      <c r="H1372" s="9">
        <f>IF(AND($F1372&lt;&gt;"",ISNUMBER(SEARCH('Nr rejestracyjny'!$F$5,$F1372))),COUNT($H$1:H1371)+1,"")</f>
        <v>0</v>
      </c>
      <c r="I1372" s="9">
        <f>IF(AND($G1372&lt;&gt;"",ISNUMBER(SEARCH('Nr rejestracyjny'!$F$5,$G1372))),COUNT($I$1:I1371)+1,"")</f>
        <v>0</v>
      </c>
    </row>
    <row r="1373" spans="6:9">
      <c r="F1373" s="7">
        <f>IF('W rejestracji'!$C$1380="","",'W rejestracji'!$C$1380)</f>
        <v>0</v>
      </c>
      <c r="G1373" s="7">
        <f>IF(Zarejestrowane!$C$1380="","",Zarejestrowane!$C$1380)</f>
        <v>0</v>
      </c>
      <c r="H1373" s="9">
        <f>IF(AND($F1373&lt;&gt;"",ISNUMBER(SEARCH('Nr rejestracyjny'!$F$5,$F1373))),COUNT($H$1:H1372)+1,"")</f>
        <v>0</v>
      </c>
      <c r="I1373" s="9">
        <f>IF(AND($G1373&lt;&gt;"",ISNUMBER(SEARCH('Nr rejestracyjny'!$F$5,$G1373))),COUNT($I$1:I1372)+1,"")</f>
        <v>0</v>
      </c>
    </row>
    <row r="1374" spans="6:9">
      <c r="F1374" s="7">
        <f>IF('W rejestracji'!$C$1381="","",'W rejestracji'!$C$1381)</f>
        <v>0</v>
      </c>
      <c r="G1374" s="7">
        <f>IF(Zarejestrowane!$C$1381="","",Zarejestrowane!$C$1381)</f>
        <v>0</v>
      </c>
      <c r="H1374" s="9">
        <f>IF(AND($F1374&lt;&gt;"",ISNUMBER(SEARCH('Nr rejestracyjny'!$F$5,$F1374))),COUNT($H$1:H1373)+1,"")</f>
        <v>0</v>
      </c>
      <c r="I1374" s="9">
        <f>IF(AND($G1374&lt;&gt;"",ISNUMBER(SEARCH('Nr rejestracyjny'!$F$5,$G1374))),COUNT($I$1:I1373)+1,"")</f>
        <v>0</v>
      </c>
    </row>
    <row r="1375" spans="6:9">
      <c r="F1375" s="7">
        <f>IF('W rejestracji'!$C$1382="","",'W rejestracji'!$C$1382)</f>
        <v>0</v>
      </c>
      <c r="G1375" s="7">
        <f>IF(Zarejestrowane!$C$1382="","",Zarejestrowane!$C$1382)</f>
        <v>0</v>
      </c>
      <c r="H1375" s="9">
        <f>IF(AND($F1375&lt;&gt;"",ISNUMBER(SEARCH('Nr rejestracyjny'!$F$5,$F1375))),COUNT($H$1:H1374)+1,"")</f>
        <v>0</v>
      </c>
      <c r="I1375" s="9">
        <f>IF(AND($G1375&lt;&gt;"",ISNUMBER(SEARCH('Nr rejestracyjny'!$F$5,$G1375))),COUNT($I$1:I1374)+1,"")</f>
        <v>0</v>
      </c>
    </row>
    <row r="1376" spans="6:9">
      <c r="F1376" s="7">
        <f>IF('W rejestracji'!$C$1383="","",'W rejestracji'!$C$1383)</f>
        <v>0</v>
      </c>
      <c r="G1376" s="7">
        <f>IF(Zarejestrowane!$C$1383="","",Zarejestrowane!$C$1383)</f>
        <v>0</v>
      </c>
      <c r="H1376" s="9">
        <f>IF(AND($F1376&lt;&gt;"",ISNUMBER(SEARCH('Nr rejestracyjny'!$F$5,$F1376))),COUNT($H$1:H1375)+1,"")</f>
        <v>0</v>
      </c>
      <c r="I1376" s="9">
        <f>IF(AND($G1376&lt;&gt;"",ISNUMBER(SEARCH('Nr rejestracyjny'!$F$5,$G1376))),COUNT($I$1:I1375)+1,"")</f>
        <v>0</v>
      </c>
    </row>
    <row r="1377" spans="6:9">
      <c r="F1377" s="7">
        <f>IF('W rejestracji'!$C$1384="","",'W rejestracji'!$C$1384)</f>
        <v>0</v>
      </c>
      <c r="G1377" s="7">
        <f>IF(Zarejestrowane!$C$1384="","",Zarejestrowane!$C$1384)</f>
        <v>0</v>
      </c>
      <c r="H1377" s="9">
        <f>IF(AND($F1377&lt;&gt;"",ISNUMBER(SEARCH('Nr rejestracyjny'!$F$5,$F1377))),COUNT($H$1:H1376)+1,"")</f>
        <v>0</v>
      </c>
      <c r="I1377" s="9">
        <f>IF(AND($G1377&lt;&gt;"",ISNUMBER(SEARCH('Nr rejestracyjny'!$F$5,$G1377))),COUNT($I$1:I1376)+1,"")</f>
        <v>0</v>
      </c>
    </row>
    <row r="1378" spans="6:9">
      <c r="F1378" s="7">
        <f>IF('W rejestracji'!$C$1385="","",'W rejestracji'!$C$1385)</f>
        <v>0</v>
      </c>
      <c r="G1378" s="7">
        <f>IF(Zarejestrowane!$C$1385="","",Zarejestrowane!$C$1385)</f>
        <v>0</v>
      </c>
      <c r="H1378" s="9">
        <f>IF(AND($F1378&lt;&gt;"",ISNUMBER(SEARCH('Nr rejestracyjny'!$F$5,$F1378))),COUNT($H$1:H1377)+1,"")</f>
        <v>0</v>
      </c>
      <c r="I1378" s="9">
        <f>IF(AND($G1378&lt;&gt;"",ISNUMBER(SEARCH('Nr rejestracyjny'!$F$5,$G1378))),COUNT($I$1:I1377)+1,"")</f>
        <v>0</v>
      </c>
    </row>
    <row r="1379" spans="6:9">
      <c r="F1379" s="7">
        <f>IF('W rejestracji'!$C$1386="","",'W rejestracji'!$C$1386)</f>
        <v>0</v>
      </c>
      <c r="G1379" s="7">
        <f>IF(Zarejestrowane!$C$1386="","",Zarejestrowane!$C$1386)</f>
        <v>0</v>
      </c>
      <c r="H1379" s="9">
        <f>IF(AND($F1379&lt;&gt;"",ISNUMBER(SEARCH('Nr rejestracyjny'!$F$5,$F1379))),COUNT($H$1:H1378)+1,"")</f>
        <v>0</v>
      </c>
      <c r="I1379" s="9">
        <f>IF(AND($G1379&lt;&gt;"",ISNUMBER(SEARCH('Nr rejestracyjny'!$F$5,$G1379))),COUNT($I$1:I1378)+1,"")</f>
        <v>0</v>
      </c>
    </row>
    <row r="1380" spans="6:9">
      <c r="F1380" s="7">
        <f>IF('W rejestracji'!$C$1387="","",'W rejestracji'!$C$1387)</f>
        <v>0</v>
      </c>
      <c r="G1380" s="7">
        <f>IF(Zarejestrowane!$C$1387="","",Zarejestrowane!$C$1387)</f>
        <v>0</v>
      </c>
      <c r="H1380" s="9">
        <f>IF(AND($F1380&lt;&gt;"",ISNUMBER(SEARCH('Nr rejestracyjny'!$F$5,$F1380))),COUNT($H$1:H1379)+1,"")</f>
        <v>0</v>
      </c>
      <c r="I1380" s="9">
        <f>IF(AND($G1380&lt;&gt;"",ISNUMBER(SEARCH('Nr rejestracyjny'!$F$5,$G1380))),COUNT($I$1:I1379)+1,"")</f>
        <v>0</v>
      </c>
    </row>
    <row r="1381" spans="6:9">
      <c r="F1381" s="7">
        <f>IF('W rejestracji'!$C$1388="","",'W rejestracji'!$C$1388)</f>
        <v>0</v>
      </c>
      <c r="G1381" s="7">
        <f>IF(Zarejestrowane!$C$1388="","",Zarejestrowane!$C$1388)</f>
        <v>0</v>
      </c>
      <c r="H1381" s="9">
        <f>IF(AND($F1381&lt;&gt;"",ISNUMBER(SEARCH('Nr rejestracyjny'!$F$5,$F1381))),COUNT($H$1:H1380)+1,"")</f>
        <v>0</v>
      </c>
      <c r="I1381" s="9">
        <f>IF(AND($G1381&lt;&gt;"",ISNUMBER(SEARCH('Nr rejestracyjny'!$F$5,$G1381))),COUNT($I$1:I1380)+1,"")</f>
        <v>0</v>
      </c>
    </row>
    <row r="1382" spans="6:9">
      <c r="F1382" s="7">
        <f>IF('W rejestracji'!$C$1389="","",'W rejestracji'!$C$1389)</f>
        <v>0</v>
      </c>
      <c r="G1382" s="7">
        <f>IF(Zarejestrowane!$C$1389="","",Zarejestrowane!$C$1389)</f>
        <v>0</v>
      </c>
      <c r="H1382" s="9">
        <f>IF(AND($F1382&lt;&gt;"",ISNUMBER(SEARCH('Nr rejestracyjny'!$F$5,$F1382))),COUNT($H$1:H1381)+1,"")</f>
        <v>0</v>
      </c>
      <c r="I1382" s="9">
        <f>IF(AND($G1382&lt;&gt;"",ISNUMBER(SEARCH('Nr rejestracyjny'!$F$5,$G1382))),COUNT($I$1:I1381)+1,"")</f>
        <v>0</v>
      </c>
    </row>
    <row r="1383" spans="6:9">
      <c r="F1383" s="7">
        <f>IF('W rejestracji'!$C$1390="","",'W rejestracji'!$C$1390)</f>
        <v>0</v>
      </c>
      <c r="G1383" s="7">
        <f>IF(Zarejestrowane!$C$1390="","",Zarejestrowane!$C$1390)</f>
        <v>0</v>
      </c>
      <c r="H1383" s="9">
        <f>IF(AND($F1383&lt;&gt;"",ISNUMBER(SEARCH('Nr rejestracyjny'!$F$5,$F1383))),COUNT($H$1:H1382)+1,"")</f>
        <v>0</v>
      </c>
      <c r="I1383" s="9">
        <f>IF(AND($G1383&lt;&gt;"",ISNUMBER(SEARCH('Nr rejestracyjny'!$F$5,$G1383))),COUNT($I$1:I1382)+1,"")</f>
        <v>0</v>
      </c>
    </row>
    <row r="1384" spans="6:9">
      <c r="F1384" s="7">
        <f>IF('W rejestracji'!$C$1391="","",'W rejestracji'!$C$1391)</f>
        <v>0</v>
      </c>
      <c r="G1384" s="7">
        <f>IF(Zarejestrowane!$C$1391="","",Zarejestrowane!$C$1391)</f>
        <v>0</v>
      </c>
      <c r="H1384" s="9">
        <f>IF(AND($F1384&lt;&gt;"",ISNUMBER(SEARCH('Nr rejestracyjny'!$F$5,$F1384))),COUNT($H$1:H1383)+1,"")</f>
        <v>0</v>
      </c>
      <c r="I1384" s="9">
        <f>IF(AND($G1384&lt;&gt;"",ISNUMBER(SEARCH('Nr rejestracyjny'!$F$5,$G1384))),COUNT($I$1:I1383)+1,"")</f>
        <v>0</v>
      </c>
    </row>
    <row r="1385" spans="6:9">
      <c r="F1385" s="7">
        <f>IF('W rejestracji'!$C$1392="","",'W rejestracji'!$C$1392)</f>
        <v>0</v>
      </c>
      <c r="G1385" s="7">
        <f>IF(Zarejestrowane!$C$1392="","",Zarejestrowane!$C$1392)</f>
        <v>0</v>
      </c>
      <c r="H1385" s="9">
        <f>IF(AND($F1385&lt;&gt;"",ISNUMBER(SEARCH('Nr rejestracyjny'!$F$5,$F1385))),COUNT($H$1:H1384)+1,"")</f>
        <v>0</v>
      </c>
      <c r="I1385" s="9">
        <f>IF(AND($G1385&lt;&gt;"",ISNUMBER(SEARCH('Nr rejestracyjny'!$F$5,$G1385))),COUNT($I$1:I1384)+1,"")</f>
        <v>0</v>
      </c>
    </row>
    <row r="1386" spans="6:9">
      <c r="F1386" s="7">
        <f>IF('W rejestracji'!$C$1393="","",'W rejestracji'!$C$1393)</f>
        <v>0</v>
      </c>
      <c r="G1386" s="7">
        <f>IF(Zarejestrowane!$C$1393="","",Zarejestrowane!$C$1393)</f>
        <v>0</v>
      </c>
      <c r="H1386" s="9">
        <f>IF(AND($F1386&lt;&gt;"",ISNUMBER(SEARCH('Nr rejestracyjny'!$F$5,$F1386))),COUNT($H$1:H1385)+1,"")</f>
        <v>0</v>
      </c>
      <c r="I1386" s="9">
        <f>IF(AND($G1386&lt;&gt;"",ISNUMBER(SEARCH('Nr rejestracyjny'!$F$5,$G1386))),COUNT($I$1:I1385)+1,"")</f>
        <v>0</v>
      </c>
    </row>
    <row r="1387" spans="6:9">
      <c r="F1387" s="7">
        <f>IF('W rejestracji'!$C$1394="","",'W rejestracji'!$C$1394)</f>
        <v>0</v>
      </c>
      <c r="G1387" s="7">
        <f>IF(Zarejestrowane!$C$1394="","",Zarejestrowane!$C$1394)</f>
        <v>0</v>
      </c>
      <c r="H1387" s="9">
        <f>IF(AND($F1387&lt;&gt;"",ISNUMBER(SEARCH('Nr rejestracyjny'!$F$5,$F1387))),COUNT($H$1:H1386)+1,"")</f>
        <v>0</v>
      </c>
      <c r="I1387" s="9">
        <f>IF(AND($G1387&lt;&gt;"",ISNUMBER(SEARCH('Nr rejestracyjny'!$F$5,$G1387))),COUNT($I$1:I1386)+1,"")</f>
        <v>0</v>
      </c>
    </row>
    <row r="1388" spans="6:9">
      <c r="F1388" s="7">
        <f>IF('W rejestracji'!$C$1395="","",'W rejestracji'!$C$1395)</f>
        <v>0</v>
      </c>
      <c r="G1388" s="7">
        <f>IF(Zarejestrowane!$C$1395="","",Zarejestrowane!$C$1395)</f>
        <v>0</v>
      </c>
      <c r="H1388" s="9">
        <f>IF(AND($F1388&lt;&gt;"",ISNUMBER(SEARCH('Nr rejestracyjny'!$F$5,$F1388))),COUNT($H$1:H1387)+1,"")</f>
        <v>0</v>
      </c>
      <c r="I1388" s="9">
        <f>IF(AND($G1388&lt;&gt;"",ISNUMBER(SEARCH('Nr rejestracyjny'!$F$5,$G1388))),COUNT($I$1:I1387)+1,"")</f>
        <v>0</v>
      </c>
    </row>
    <row r="1389" spans="6:9">
      <c r="F1389" s="7">
        <f>IF('W rejestracji'!$C$1396="","",'W rejestracji'!$C$1396)</f>
        <v>0</v>
      </c>
      <c r="G1389" s="7">
        <f>IF(Zarejestrowane!$C$1396="","",Zarejestrowane!$C$1396)</f>
        <v>0</v>
      </c>
      <c r="H1389" s="9">
        <f>IF(AND($F1389&lt;&gt;"",ISNUMBER(SEARCH('Nr rejestracyjny'!$F$5,$F1389))),COUNT($H$1:H1388)+1,"")</f>
        <v>0</v>
      </c>
      <c r="I1389" s="9">
        <f>IF(AND($G1389&lt;&gt;"",ISNUMBER(SEARCH('Nr rejestracyjny'!$F$5,$G1389))),COUNT($I$1:I1388)+1,"")</f>
        <v>0</v>
      </c>
    </row>
    <row r="1390" spans="6:9">
      <c r="F1390" s="7">
        <f>IF('W rejestracji'!$C$1397="","",'W rejestracji'!$C$1397)</f>
        <v>0</v>
      </c>
      <c r="G1390" s="7">
        <f>IF(Zarejestrowane!$C$1397="","",Zarejestrowane!$C$1397)</f>
        <v>0</v>
      </c>
      <c r="H1390" s="9">
        <f>IF(AND($F1390&lt;&gt;"",ISNUMBER(SEARCH('Nr rejestracyjny'!$F$5,$F1390))),COUNT($H$1:H1389)+1,"")</f>
        <v>0</v>
      </c>
      <c r="I1390" s="9">
        <f>IF(AND($G1390&lt;&gt;"",ISNUMBER(SEARCH('Nr rejestracyjny'!$F$5,$G1390))),COUNT($I$1:I1389)+1,"")</f>
        <v>0</v>
      </c>
    </row>
    <row r="1391" spans="6:9">
      <c r="F1391" s="7">
        <f>IF('W rejestracji'!$C$1398="","",'W rejestracji'!$C$1398)</f>
        <v>0</v>
      </c>
      <c r="G1391" s="7">
        <f>IF(Zarejestrowane!$C$1398="","",Zarejestrowane!$C$1398)</f>
        <v>0</v>
      </c>
      <c r="H1391" s="9">
        <f>IF(AND($F1391&lt;&gt;"",ISNUMBER(SEARCH('Nr rejestracyjny'!$F$5,$F1391))),COUNT($H$1:H1390)+1,"")</f>
        <v>0</v>
      </c>
      <c r="I1391" s="9">
        <f>IF(AND($G1391&lt;&gt;"",ISNUMBER(SEARCH('Nr rejestracyjny'!$F$5,$G1391))),COUNT($I$1:I1390)+1,"")</f>
        <v>0</v>
      </c>
    </row>
    <row r="1392" spans="6:9">
      <c r="F1392" s="7">
        <f>IF('W rejestracji'!$C$1399="","",'W rejestracji'!$C$1399)</f>
        <v>0</v>
      </c>
      <c r="G1392" s="7">
        <f>IF(Zarejestrowane!$C$1399="","",Zarejestrowane!$C$1399)</f>
        <v>0</v>
      </c>
      <c r="H1392" s="9">
        <f>IF(AND($F1392&lt;&gt;"",ISNUMBER(SEARCH('Nr rejestracyjny'!$F$5,$F1392))),COUNT($H$1:H1391)+1,"")</f>
        <v>0</v>
      </c>
      <c r="I1392" s="9">
        <f>IF(AND($G1392&lt;&gt;"",ISNUMBER(SEARCH('Nr rejestracyjny'!$F$5,$G1392))),COUNT($I$1:I1391)+1,"")</f>
        <v>0</v>
      </c>
    </row>
    <row r="1393" spans="6:9">
      <c r="F1393" s="7">
        <f>IF('W rejestracji'!$C$1400="","",'W rejestracji'!$C$1400)</f>
        <v>0</v>
      </c>
      <c r="G1393" s="7">
        <f>IF(Zarejestrowane!$C$1400="","",Zarejestrowane!$C$1400)</f>
        <v>0</v>
      </c>
      <c r="H1393" s="9">
        <f>IF(AND($F1393&lt;&gt;"",ISNUMBER(SEARCH('Nr rejestracyjny'!$F$5,$F1393))),COUNT($H$1:H1392)+1,"")</f>
        <v>0</v>
      </c>
      <c r="I1393" s="9">
        <f>IF(AND($G1393&lt;&gt;"",ISNUMBER(SEARCH('Nr rejestracyjny'!$F$5,$G1393))),COUNT($I$1:I1392)+1,"")</f>
        <v>0</v>
      </c>
    </row>
    <row r="1394" spans="6:9">
      <c r="F1394" s="7">
        <f>IF('W rejestracji'!$C$1401="","",'W rejestracji'!$C$1401)</f>
        <v>0</v>
      </c>
      <c r="G1394" s="7">
        <f>IF(Zarejestrowane!$C$1401="","",Zarejestrowane!$C$1401)</f>
        <v>0</v>
      </c>
      <c r="H1394" s="9">
        <f>IF(AND($F1394&lt;&gt;"",ISNUMBER(SEARCH('Nr rejestracyjny'!$F$5,$F1394))),COUNT($H$1:H1393)+1,"")</f>
        <v>0</v>
      </c>
      <c r="I1394" s="9">
        <f>IF(AND($G1394&lt;&gt;"",ISNUMBER(SEARCH('Nr rejestracyjny'!$F$5,$G1394))),COUNT($I$1:I1393)+1,"")</f>
        <v>0</v>
      </c>
    </row>
    <row r="1395" spans="6:9">
      <c r="F1395" s="7">
        <f>IF('W rejestracji'!$C$1402="","",'W rejestracji'!$C$1402)</f>
        <v>0</v>
      </c>
      <c r="G1395" s="7">
        <f>IF(Zarejestrowane!$C$1402="","",Zarejestrowane!$C$1402)</f>
        <v>0</v>
      </c>
      <c r="H1395" s="9">
        <f>IF(AND($F1395&lt;&gt;"",ISNUMBER(SEARCH('Nr rejestracyjny'!$F$5,$F1395))),COUNT($H$1:H1394)+1,"")</f>
        <v>0</v>
      </c>
      <c r="I1395" s="9">
        <f>IF(AND($G1395&lt;&gt;"",ISNUMBER(SEARCH('Nr rejestracyjny'!$F$5,$G1395))),COUNT($I$1:I1394)+1,"")</f>
        <v>0</v>
      </c>
    </row>
    <row r="1396" spans="6:9">
      <c r="F1396" s="7">
        <f>IF('W rejestracji'!$C$1403="","",'W rejestracji'!$C$1403)</f>
        <v>0</v>
      </c>
      <c r="G1396" s="7">
        <f>IF(Zarejestrowane!$C$1403="","",Zarejestrowane!$C$1403)</f>
        <v>0</v>
      </c>
      <c r="H1396" s="9">
        <f>IF(AND($F1396&lt;&gt;"",ISNUMBER(SEARCH('Nr rejestracyjny'!$F$5,$F1396))),COUNT($H$1:H1395)+1,"")</f>
        <v>0</v>
      </c>
      <c r="I1396" s="9">
        <f>IF(AND($G1396&lt;&gt;"",ISNUMBER(SEARCH('Nr rejestracyjny'!$F$5,$G1396))),COUNT($I$1:I1395)+1,"")</f>
        <v>0</v>
      </c>
    </row>
    <row r="1397" spans="6:9">
      <c r="F1397" s="7">
        <f>IF('W rejestracji'!$C$1404="","",'W rejestracji'!$C$1404)</f>
        <v>0</v>
      </c>
      <c r="G1397" s="7">
        <f>IF(Zarejestrowane!$C$1404="","",Zarejestrowane!$C$1404)</f>
        <v>0</v>
      </c>
      <c r="H1397" s="9">
        <f>IF(AND($F1397&lt;&gt;"",ISNUMBER(SEARCH('Nr rejestracyjny'!$F$5,$F1397))),COUNT($H$1:H1396)+1,"")</f>
        <v>0</v>
      </c>
      <c r="I1397" s="9">
        <f>IF(AND($G1397&lt;&gt;"",ISNUMBER(SEARCH('Nr rejestracyjny'!$F$5,$G1397))),COUNT($I$1:I1396)+1,"")</f>
        <v>0</v>
      </c>
    </row>
    <row r="1398" spans="6:9">
      <c r="F1398" s="7">
        <f>IF('W rejestracji'!$C$1405="","",'W rejestracji'!$C$1405)</f>
        <v>0</v>
      </c>
      <c r="G1398" s="7">
        <f>IF(Zarejestrowane!$C$1405="","",Zarejestrowane!$C$1405)</f>
        <v>0</v>
      </c>
      <c r="H1398" s="9">
        <f>IF(AND($F1398&lt;&gt;"",ISNUMBER(SEARCH('Nr rejestracyjny'!$F$5,$F1398))),COUNT($H$1:H1397)+1,"")</f>
        <v>0</v>
      </c>
      <c r="I1398" s="9">
        <f>IF(AND($G1398&lt;&gt;"",ISNUMBER(SEARCH('Nr rejestracyjny'!$F$5,$G1398))),COUNT($I$1:I1397)+1,"")</f>
        <v>0</v>
      </c>
    </row>
    <row r="1399" spans="6:9">
      <c r="F1399" s="7">
        <f>IF('W rejestracji'!$C$1406="","",'W rejestracji'!$C$1406)</f>
        <v>0</v>
      </c>
      <c r="G1399" s="7">
        <f>IF(Zarejestrowane!$C$1406="","",Zarejestrowane!$C$1406)</f>
        <v>0</v>
      </c>
      <c r="H1399" s="9">
        <f>IF(AND($F1399&lt;&gt;"",ISNUMBER(SEARCH('Nr rejestracyjny'!$F$5,$F1399))),COUNT($H$1:H1398)+1,"")</f>
        <v>0</v>
      </c>
      <c r="I1399" s="9">
        <f>IF(AND($G1399&lt;&gt;"",ISNUMBER(SEARCH('Nr rejestracyjny'!$F$5,$G1399))),COUNT($I$1:I1398)+1,"")</f>
        <v>0</v>
      </c>
    </row>
    <row r="1400" spans="6:9">
      <c r="F1400" s="7">
        <f>IF('W rejestracji'!$C$1407="","",'W rejestracji'!$C$1407)</f>
        <v>0</v>
      </c>
      <c r="G1400" s="7">
        <f>IF(Zarejestrowane!$C$1407="","",Zarejestrowane!$C$1407)</f>
        <v>0</v>
      </c>
      <c r="H1400" s="9">
        <f>IF(AND($F1400&lt;&gt;"",ISNUMBER(SEARCH('Nr rejestracyjny'!$F$5,$F1400))),COUNT($H$1:H1399)+1,"")</f>
        <v>0</v>
      </c>
      <c r="I1400" s="9">
        <f>IF(AND($G1400&lt;&gt;"",ISNUMBER(SEARCH('Nr rejestracyjny'!$F$5,$G1400))),COUNT($I$1:I1399)+1,"")</f>
        <v>0</v>
      </c>
    </row>
    <row r="1401" spans="6:9">
      <c r="F1401" s="7">
        <f>IF('W rejestracji'!$C$1408="","",'W rejestracji'!$C$1408)</f>
        <v>0</v>
      </c>
      <c r="G1401" s="7">
        <f>IF(Zarejestrowane!$C$1408="","",Zarejestrowane!$C$1408)</f>
        <v>0</v>
      </c>
      <c r="H1401" s="9">
        <f>IF(AND($F1401&lt;&gt;"",ISNUMBER(SEARCH('Nr rejestracyjny'!$F$5,$F1401))),COUNT($H$1:H1400)+1,"")</f>
        <v>0</v>
      </c>
      <c r="I1401" s="9">
        <f>IF(AND($G1401&lt;&gt;"",ISNUMBER(SEARCH('Nr rejestracyjny'!$F$5,$G1401))),COUNT($I$1:I1400)+1,"")</f>
        <v>0</v>
      </c>
    </row>
    <row r="1402" spans="6:9">
      <c r="F1402" s="7">
        <f>IF('W rejestracji'!$C$1409="","",'W rejestracji'!$C$1409)</f>
        <v>0</v>
      </c>
      <c r="G1402" s="7">
        <f>IF(Zarejestrowane!$C$1409="","",Zarejestrowane!$C$1409)</f>
        <v>0</v>
      </c>
      <c r="H1402" s="9">
        <f>IF(AND($F1402&lt;&gt;"",ISNUMBER(SEARCH('Nr rejestracyjny'!$F$5,$F1402))),COUNT($H$1:H1401)+1,"")</f>
        <v>0</v>
      </c>
      <c r="I1402" s="9">
        <f>IF(AND($G1402&lt;&gt;"",ISNUMBER(SEARCH('Nr rejestracyjny'!$F$5,$G1402))),COUNT($I$1:I1401)+1,"")</f>
        <v>0</v>
      </c>
    </row>
    <row r="1403" spans="6:9">
      <c r="F1403" s="7">
        <f>IF('W rejestracji'!$C$1410="","",'W rejestracji'!$C$1410)</f>
        <v>0</v>
      </c>
      <c r="G1403" s="7">
        <f>IF(Zarejestrowane!$C$1410="","",Zarejestrowane!$C$1410)</f>
        <v>0</v>
      </c>
      <c r="H1403" s="9">
        <f>IF(AND($F1403&lt;&gt;"",ISNUMBER(SEARCH('Nr rejestracyjny'!$F$5,$F1403))),COUNT($H$1:H1402)+1,"")</f>
        <v>0</v>
      </c>
      <c r="I1403" s="9">
        <f>IF(AND($G1403&lt;&gt;"",ISNUMBER(SEARCH('Nr rejestracyjny'!$F$5,$G1403))),COUNT($I$1:I1402)+1,"")</f>
        <v>0</v>
      </c>
    </row>
    <row r="1404" spans="6:9">
      <c r="F1404" s="7">
        <f>IF('W rejestracji'!$C$1411="","",'W rejestracji'!$C$1411)</f>
        <v>0</v>
      </c>
      <c r="G1404" s="7">
        <f>IF(Zarejestrowane!$C$1411="","",Zarejestrowane!$C$1411)</f>
        <v>0</v>
      </c>
      <c r="H1404" s="9">
        <f>IF(AND($F1404&lt;&gt;"",ISNUMBER(SEARCH('Nr rejestracyjny'!$F$5,$F1404))),COUNT($H$1:H1403)+1,"")</f>
        <v>0</v>
      </c>
      <c r="I1404" s="9">
        <f>IF(AND($G1404&lt;&gt;"",ISNUMBER(SEARCH('Nr rejestracyjny'!$F$5,$G1404))),COUNT($I$1:I1403)+1,"")</f>
        <v>0</v>
      </c>
    </row>
    <row r="1405" spans="6:9">
      <c r="F1405" s="7">
        <f>IF('W rejestracji'!$C$1412="","",'W rejestracji'!$C$1412)</f>
        <v>0</v>
      </c>
      <c r="G1405" s="7">
        <f>IF(Zarejestrowane!$C$1412="","",Zarejestrowane!$C$1412)</f>
        <v>0</v>
      </c>
      <c r="H1405" s="9">
        <f>IF(AND($F1405&lt;&gt;"",ISNUMBER(SEARCH('Nr rejestracyjny'!$F$5,$F1405))),COUNT($H$1:H1404)+1,"")</f>
        <v>0</v>
      </c>
      <c r="I1405" s="9">
        <f>IF(AND($G1405&lt;&gt;"",ISNUMBER(SEARCH('Nr rejestracyjny'!$F$5,$G1405))),COUNT($I$1:I1404)+1,"")</f>
        <v>0</v>
      </c>
    </row>
    <row r="1406" spans="6:9">
      <c r="F1406" s="7">
        <f>IF('W rejestracji'!$C$1413="","",'W rejestracji'!$C$1413)</f>
        <v>0</v>
      </c>
      <c r="G1406" s="7">
        <f>IF(Zarejestrowane!$C$1413="","",Zarejestrowane!$C$1413)</f>
        <v>0</v>
      </c>
      <c r="H1406" s="9">
        <f>IF(AND($F1406&lt;&gt;"",ISNUMBER(SEARCH('Nr rejestracyjny'!$F$5,$F1406))),COUNT($H$1:H1405)+1,"")</f>
        <v>0</v>
      </c>
      <c r="I1406" s="9">
        <f>IF(AND($G1406&lt;&gt;"",ISNUMBER(SEARCH('Nr rejestracyjny'!$F$5,$G1406))),COUNT($I$1:I1405)+1,"")</f>
        <v>0</v>
      </c>
    </row>
    <row r="1407" spans="6:9">
      <c r="F1407" s="7">
        <f>IF('W rejestracji'!$C$1414="","",'W rejestracji'!$C$1414)</f>
        <v>0</v>
      </c>
      <c r="G1407" s="7">
        <f>IF(Zarejestrowane!$C$1414="","",Zarejestrowane!$C$1414)</f>
        <v>0</v>
      </c>
      <c r="H1407" s="9">
        <f>IF(AND($F1407&lt;&gt;"",ISNUMBER(SEARCH('Nr rejestracyjny'!$F$5,$F1407))),COUNT($H$1:H1406)+1,"")</f>
        <v>0</v>
      </c>
      <c r="I1407" s="9">
        <f>IF(AND($G1407&lt;&gt;"",ISNUMBER(SEARCH('Nr rejestracyjny'!$F$5,$G1407))),COUNT($I$1:I1406)+1,"")</f>
        <v>0</v>
      </c>
    </row>
    <row r="1408" spans="6:9">
      <c r="F1408" s="7">
        <f>IF('W rejestracji'!$C$1415="","",'W rejestracji'!$C$1415)</f>
        <v>0</v>
      </c>
      <c r="G1408" s="7">
        <f>IF(Zarejestrowane!$C$1415="","",Zarejestrowane!$C$1415)</f>
        <v>0</v>
      </c>
      <c r="H1408" s="9">
        <f>IF(AND($F1408&lt;&gt;"",ISNUMBER(SEARCH('Nr rejestracyjny'!$F$5,$F1408))),COUNT($H$1:H1407)+1,"")</f>
        <v>0</v>
      </c>
      <c r="I1408" s="9">
        <f>IF(AND($G1408&lt;&gt;"",ISNUMBER(SEARCH('Nr rejestracyjny'!$F$5,$G1408))),COUNT($I$1:I1407)+1,"")</f>
        <v>0</v>
      </c>
    </row>
    <row r="1409" spans="6:9">
      <c r="F1409" s="7">
        <f>IF('W rejestracji'!$C$1416="","",'W rejestracji'!$C$1416)</f>
        <v>0</v>
      </c>
      <c r="G1409" s="7">
        <f>IF(Zarejestrowane!$C$1416="","",Zarejestrowane!$C$1416)</f>
        <v>0</v>
      </c>
      <c r="H1409" s="9">
        <f>IF(AND($F1409&lt;&gt;"",ISNUMBER(SEARCH('Nr rejestracyjny'!$F$5,$F1409))),COUNT($H$1:H1408)+1,"")</f>
        <v>0</v>
      </c>
      <c r="I1409" s="9">
        <f>IF(AND($G1409&lt;&gt;"",ISNUMBER(SEARCH('Nr rejestracyjny'!$F$5,$G1409))),COUNT($I$1:I1408)+1,"")</f>
        <v>0</v>
      </c>
    </row>
    <row r="1410" spans="6:9">
      <c r="F1410" s="7">
        <f>IF('W rejestracji'!$C$1417="","",'W rejestracji'!$C$1417)</f>
        <v>0</v>
      </c>
      <c r="G1410" s="7">
        <f>IF(Zarejestrowane!$C$1417="","",Zarejestrowane!$C$1417)</f>
        <v>0</v>
      </c>
      <c r="H1410" s="9">
        <f>IF(AND($F1410&lt;&gt;"",ISNUMBER(SEARCH('Nr rejestracyjny'!$F$5,$F1410))),COUNT($H$1:H1409)+1,"")</f>
        <v>0</v>
      </c>
      <c r="I1410" s="9">
        <f>IF(AND($G1410&lt;&gt;"",ISNUMBER(SEARCH('Nr rejestracyjny'!$F$5,$G1410))),COUNT($I$1:I1409)+1,"")</f>
        <v>0</v>
      </c>
    </row>
    <row r="1411" spans="6:9">
      <c r="F1411" s="7">
        <f>IF('W rejestracji'!$C$1418="","",'W rejestracji'!$C$1418)</f>
        <v>0</v>
      </c>
      <c r="G1411" s="7">
        <f>IF(Zarejestrowane!$C$1418="","",Zarejestrowane!$C$1418)</f>
        <v>0</v>
      </c>
      <c r="H1411" s="9">
        <f>IF(AND($F1411&lt;&gt;"",ISNUMBER(SEARCH('Nr rejestracyjny'!$F$5,$F1411))),COUNT($H$1:H1410)+1,"")</f>
        <v>0</v>
      </c>
      <c r="I1411" s="9">
        <f>IF(AND($G1411&lt;&gt;"",ISNUMBER(SEARCH('Nr rejestracyjny'!$F$5,$G1411))),COUNT($I$1:I1410)+1,"")</f>
        <v>0</v>
      </c>
    </row>
    <row r="1412" spans="6:9">
      <c r="F1412" s="7">
        <f>IF('W rejestracji'!$C$1419="","",'W rejestracji'!$C$1419)</f>
        <v>0</v>
      </c>
      <c r="G1412" s="7">
        <f>IF(Zarejestrowane!$C$1419="","",Zarejestrowane!$C$1419)</f>
        <v>0</v>
      </c>
      <c r="H1412" s="9">
        <f>IF(AND($F1412&lt;&gt;"",ISNUMBER(SEARCH('Nr rejestracyjny'!$F$5,$F1412))),COUNT($H$1:H1411)+1,"")</f>
        <v>0</v>
      </c>
      <c r="I1412" s="9">
        <f>IF(AND($G1412&lt;&gt;"",ISNUMBER(SEARCH('Nr rejestracyjny'!$F$5,$G1412))),COUNT($I$1:I1411)+1,"")</f>
        <v>0</v>
      </c>
    </row>
    <row r="1413" spans="6:9">
      <c r="F1413" s="7">
        <f>IF('W rejestracji'!$C$1420="","",'W rejestracji'!$C$1420)</f>
        <v>0</v>
      </c>
      <c r="G1413" s="7">
        <f>IF(Zarejestrowane!$C$1420="","",Zarejestrowane!$C$1420)</f>
        <v>0</v>
      </c>
      <c r="H1413" s="9">
        <f>IF(AND($F1413&lt;&gt;"",ISNUMBER(SEARCH('Nr rejestracyjny'!$F$5,$F1413))),COUNT($H$1:H1412)+1,"")</f>
        <v>0</v>
      </c>
      <c r="I1413" s="9">
        <f>IF(AND($G1413&lt;&gt;"",ISNUMBER(SEARCH('Nr rejestracyjny'!$F$5,$G1413))),COUNT($I$1:I1412)+1,"")</f>
        <v>0</v>
      </c>
    </row>
    <row r="1414" spans="6:9">
      <c r="F1414" s="7">
        <f>IF('W rejestracji'!$C$1421="","",'W rejestracji'!$C$1421)</f>
        <v>0</v>
      </c>
      <c r="G1414" s="7">
        <f>IF(Zarejestrowane!$C$1421="","",Zarejestrowane!$C$1421)</f>
        <v>0</v>
      </c>
      <c r="H1414" s="9">
        <f>IF(AND($F1414&lt;&gt;"",ISNUMBER(SEARCH('Nr rejestracyjny'!$F$5,$F1414))),COUNT($H$1:H1413)+1,"")</f>
        <v>0</v>
      </c>
      <c r="I1414" s="9">
        <f>IF(AND($G1414&lt;&gt;"",ISNUMBER(SEARCH('Nr rejestracyjny'!$F$5,$G1414))),COUNT($I$1:I1413)+1,"")</f>
        <v>0</v>
      </c>
    </row>
    <row r="1415" spans="6:9">
      <c r="F1415" s="7">
        <f>IF('W rejestracji'!$C$1422="","",'W rejestracji'!$C$1422)</f>
        <v>0</v>
      </c>
      <c r="G1415" s="7">
        <f>IF(Zarejestrowane!$C$1422="","",Zarejestrowane!$C$1422)</f>
        <v>0</v>
      </c>
      <c r="H1415" s="9">
        <f>IF(AND($F1415&lt;&gt;"",ISNUMBER(SEARCH('Nr rejestracyjny'!$F$5,$F1415))),COUNT($H$1:H1414)+1,"")</f>
        <v>0</v>
      </c>
      <c r="I1415" s="9">
        <f>IF(AND($G1415&lt;&gt;"",ISNUMBER(SEARCH('Nr rejestracyjny'!$F$5,$G1415))),COUNT($I$1:I1414)+1,"")</f>
        <v>0</v>
      </c>
    </row>
    <row r="1416" spans="6:9">
      <c r="F1416" s="7">
        <f>IF('W rejestracji'!$C$1423="","",'W rejestracji'!$C$1423)</f>
        <v>0</v>
      </c>
      <c r="G1416" s="7">
        <f>IF(Zarejestrowane!$C$1423="","",Zarejestrowane!$C$1423)</f>
        <v>0</v>
      </c>
      <c r="H1416" s="9">
        <f>IF(AND($F1416&lt;&gt;"",ISNUMBER(SEARCH('Nr rejestracyjny'!$F$5,$F1416))),COUNT($H$1:H1415)+1,"")</f>
        <v>0</v>
      </c>
      <c r="I1416" s="9">
        <f>IF(AND($G1416&lt;&gt;"",ISNUMBER(SEARCH('Nr rejestracyjny'!$F$5,$G1416))),COUNT($I$1:I1415)+1,"")</f>
        <v>0</v>
      </c>
    </row>
    <row r="1417" spans="6:9">
      <c r="F1417" s="7">
        <f>IF('W rejestracji'!$C$1424="","",'W rejestracji'!$C$1424)</f>
        <v>0</v>
      </c>
      <c r="G1417" s="7">
        <f>IF(Zarejestrowane!$C$1424="","",Zarejestrowane!$C$1424)</f>
        <v>0</v>
      </c>
      <c r="H1417" s="9">
        <f>IF(AND($F1417&lt;&gt;"",ISNUMBER(SEARCH('Nr rejestracyjny'!$F$5,$F1417))),COUNT($H$1:H1416)+1,"")</f>
        <v>0</v>
      </c>
      <c r="I1417" s="9">
        <f>IF(AND($G1417&lt;&gt;"",ISNUMBER(SEARCH('Nr rejestracyjny'!$F$5,$G1417))),COUNT($I$1:I1416)+1,"")</f>
        <v>0</v>
      </c>
    </row>
    <row r="1418" spans="6:9">
      <c r="F1418" s="7">
        <f>IF('W rejestracji'!$C$1425="","",'W rejestracji'!$C$1425)</f>
        <v>0</v>
      </c>
      <c r="G1418" s="7">
        <f>IF(Zarejestrowane!$C$1425="","",Zarejestrowane!$C$1425)</f>
        <v>0</v>
      </c>
      <c r="H1418" s="9">
        <f>IF(AND($F1418&lt;&gt;"",ISNUMBER(SEARCH('Nr rejestracyjny'!$F$5,$F1418))),COUNT($H$1:H1417)+1,"")</f>
        <v>0</v>
      </c>
      <c r="I1418" s="9">
        <f>IF(AND($G1418&lt;&gt;"",ISNUMBER(SEARCH('Nr rejestracyjny'!$F$5,$G1418))),COUNT($I$1:I1417)+1,"")</f>
        <v>0</v>
      </c>
    </row>
    <row r="1419" spans="6:9">
      <c r="F1419" s="7">
        <f>IF('W rejestracji'!$C$1426="","",'W rejestracji'!$C$1426)</f>
        <v>0</v>
      </c>
      <c r="G1419" s="7">
        <f>IF(Zarejestrowane!$C$1426="","",Zarejestrowane!$C$1426)</f>
        <v>0</v>
      </c>
      <c r="H1419" s="9">
        <f>IF(AND($F1419&lt;&gt;"",ISNUMBER(SEARCH('Nr rejestracyjny'!$F$5,$F1419))),COUNT($H$1:H1418)+1,"")</f>
        <v>0</v>
      </c>
      <c r="I1419" s="9">
        <f>IF(AND($G1419&lt;&gt;"",ISNUMBER(SEARCH('Nr rejestracyjny'!$F$5,$G1419))),COUNT($I$1:I1418)+1,"")</f>
        <v>0</v>
      </c>
    </row>
    <row r="1420" spans="6:9">
      <c r="F1420" s="7">
        <f>IF('W rejestracji'!$C$1427="","",'W rejestracji'!$C$1427)</f>
        <v>0</v>
      </c>
      <c r="G1420" s="7">
        <f>IF(Zarejestrowane!$C$1427="","",Zarejestrowane!$C$1427)</f>
        <v>0</v>
      </c>
      <c r="H1420" s="9">
        <f>IF(AND($F1420&lt;&gt;"",ISNUMBER(SEARCH('Nr rejestracyjny'!$F$5,$F1420))),COUNT($H$1:H1419)+1,"")</f>
        <v>0</v>
      </c>
      <c r="I1420" s="9">
        <f>IF(AND($G1420&lt;&gt;"",ISNUMBER(SEARCH('Nr rejestracyjny'!$F$5,$G1420))),COUNT($I$1:I1419)+1,"")</f>
        <v>0</v>
      </c>
    </row>
    <row r="1421" spans="6:9">
      <c r="F1421" s="7">
        <f>IF('W rejestracji'!$C$1428="","",'W rejestracji'!$C$1428)</f>
        <v>0</v>
      </c>
      <c r="G1421" s="7">
        <f>IF(Zarejestrowane!$C$1428="","",Zarejestrowane!$C$1428)</f>
        <v>0</v>
      </c>
      <c r="H1421" s="9">
        <f>IF(AND($F1421&lt;&gt;"",ISNUMBER(SEARCH('Nr rejestracyjny'!$F$5,$F1421))),COUNT($H$1:H1420)+1,"")</f>
        <v>0</v>
      </c>
      <c r="I1421" s="9">
        <f>IF(AND($G1421&lt;&gt;"",ISNUMBER(SEARCH('Nr rejestracyjny'!$F$5,$G1421))),COUNT($I$1:I1420)+1,"")</f>
        <v>0</v>
      </c>
    </row>
    <row r="1422" spans="6:9">
      <c r="F1422" s="7">
        <f>IF('W rejestracji'!$C$1429="","",'W rejestracji'!$C$1429)</f>
        <v>0</v>
      </c>
      <c r="G1422" s="7">
        <f>IF(Zarejestrowane!$C$1429="","",Zarejestrowane!$C$1429)</f>
        <v>0</v>
      </c>
      <c r="H1422" s="9">
        <f>IF(AND($F1422&lt;&gt;"",ISNUMBER(SEARCH('Nr rejestracyjny'!$F$5,$F1422))),COUNT($H$1:H1421)+1,"")</f>
        <v>0</v>
      </c>
      <c r="I1422" s="9">
        <f>IF(AND($G1422&lt;&gt;"",ISNUMBER(SEARCH('Nr rejestracyjny'!$F$5,$G1422))),COUNT($I$1:I1421)+1,"")</f>
        <v>0</v>
      </c>
    </row>
    <row r="1423" spans="6:9">
      <c r="F1423" s="7">
        <f>IF('W rejestracji'!$C$1430="","",'W rejestracji'!$C$1430)</f>
        <v>0</v>
      </c>
      <c r="G1423" s="7">
        <f>IF(Zarejestrowane!$C$1430="","",Zarejestrowane!$C$1430)</f>
        <v>0</v>
      </c>
      <c r="H1423" s="9">
        <f>IF(AND($F1423&lt;&gt;"",ISNUMBER(SEARCH('Nr rejestracyjny'!$F$5,$F1423))),COUNT($H$1:H1422)+1,"")</f>
        <v>0</v>
      </c>
      <c r="I1423" s="9">
        <f>IF(AND($G1423&lt;&gt;"",ISNUMBER(SEARCH('Nr rejestracyjny'!$F$5,$G1423))),COUNT($I$1:I1422)+1,"")</f>
        <v>0</v>
      </c>
    </row>
    <row r="1424" spans="6:9">
      <c r="F1424" s="7">
        <f>IF('W rejestracji'!$C$1431="","",'W rejestracji'!$C$1431)</f>
        <v>0</v>
      </c>
      <c r="G1424" s="7">
        <f>IF(Zarejestrowane!$C$1431="","",Zarejestrowane!$C$1431)</f>
        <v>0</v>
      </c>
      <c r="H1424" s="9">
        <f>IF(AND($F1424&lt;&gt;"",ISNUMBER(SEARCH('Nr rejestracyjny'!$F$5,$F1424))),COUNT($H$1:H1423)+1,"")</f>
        <v>0</v>
      </c>
      <c r="I1424" s="9">
        <f>IF(AND($G1424&lt;&gt;"",ISNUMBER(SEARCH('Nr rejestracyjny'!$F$5,$G1424))),COUNT($I$1:I1423)+1,"")</f>
        <v>0</v>
      </c>
    </row>
    <row r="1425" spans="6:9">
      <c r="F1425" s="7">
        <f>IF('W rejestracji'!$C$1432="","",'W rejestracji'!$C$1432)</f>
        <v>0</v>
      </c>
      <c r="G1425" s="7">
        <f>IF(Zarejestrowane!$C$1432="","",Zarejestrowane!$C$1432)</f>
        <v>0</v>
      </c>
      <c r="H1425" s="9">
        <f>IF(AND($F1425&lt;&gt;"",ISNUMBER(SEARCH('Nr rejestracyjny'!$F$5,$F1425))),COUNT($H$1:H1424)+1,"")</f>
        <v>0</v>
      </c>
      <c r="I1425" s="9">
        <f>IF(AND($G1425&lt;&gt;"",ISNUMBER(SEARCH('Nr rejestracyjny'!$F$5,$G1425))),COUNT($I$1:I1424)+1,"")</f>
        <v>0</v>
      </c>
    </row>
    <row r="1426" spans="6:9">
      <c r="F1426" s="7">
        <f>IF('W rejestracji'!$C$1433="","",'W rejestracji'!$C$1433)</f>
        <v>0</v>
      </c>
      <c r="G1426" s="7">
        <f>IF(Zarejestrowane!$C$1433="","",Zarejestrowane!$C$1433)</f>
        <v>0</v>
      </c>
      <c r="H1426" s="9">
        <f>IF(AND($F1426&lt;&gt;"",ISNUMBER(SEARCH('Nr rejestracyjny'!$F$5,$F1426))),COUNT($H$1:H1425)+1,"")</f>
        <v>0</v>
      </c>
      <c r="I1426" s="9">
        <f>IF(AND($G1426&lt;&gt;"",ISNUMBER(SEARCH('Nr rejestracyjny'!$F$5,$G1426))),COUNT($I$1:I1425)+1,"")</f>
        <v>0</v>
      </c>
    </row>
    <row r="1427" spans="6:9">
      <c r="F1427" s="7">
        <f>IF('W rejestracji'!$C$1434="","",'W rejestracji'!$C$1434)</f>
        <v>0</v>
      </c>
      <c r="G1427" s="7">
        <f>IF(Zarejestrowane!$C$1434="","",Zarejestrowane!$C$1434)</f>
        <v>0</v>
      </c>
      <c r="H1427" s="9">
        <f>IF(AND($F1427&lt;&gt;"",ISNUMBER(SEARCH('Nr rejestracyjny'!$F$5,$F1427))),COUNT($H$1:H1426)+1,"")</f>
        <v>0</v>
      </c>
      <c r="I1427" s="9">
        <f>IF(AND($G1427&lt;&gt;"",ISNUMBER(SEARCH('Nr rejestracyjny'!$F$5,$G1427))),COUNT($I$1:I1426)+1,"")</f>
        <v>0</v>
      </c>
    </row>
    <row r="1428" spans="6:9">
      <c r="F1428" s="7">
        <f>IF('W rejestracji'!$C$1435="","",'W rejestracji'!$C$1435)</f>
        <v>0</v>
      </c>
      <c r="G1428" s="7">
        <f>IF(Zarejestrowane!$C$1435="","",Zarejestrowane!$C$1435)</f>
        <v>0</v>
      </c>
      <c r="H1428" s="9">
        <f>IF(AND($F1428&lt;&gt;"",ISNUMBER(SEARCH('Nr rejestracyjny'!$F$5,$F1428))),COUNT($H$1:H1427)+1,"")</f>
        <v>0</v>
      </c>
      <c r="I1428" s="9">
        <f>IF(AND($G1428&lt;&gt;"",ISNUMBER(SEARCH('Nr rejestracyjny'!$F$5,$G1428))),COUNT($I$1:I1427)+1,"")</f>
        <v>0</v>
      </c>
    </row>
    <row r="1429" spans="6:9">
      <c r="F1429" s="7">
        <f>IF('W rejestracji'!$C$1436="","",'W rejestracji'!$C$1436)</f>
        <v>0</v>
      </c>
      <c r="G1429" s="7">
        <f>IF(Zarejestrowane!$C$1436="","",Zarejestrowane!$C$1436)</f>
        <v>0</v>
      </c>
      <c r="H1429" s="9">
        <f>IF(AND($F1429&lt;&gt;"",ISNUMBER(SEARCH('Nr rejestracyjny'!$F$5,$F1429))),COUNT($H$1:H1428)+1,"")</f>
        <v>0</v>
      </c>
      <c r="I1429" s="9">
        <f>IF(AND($G1429&lt;&gt;"",ISNUMBER(SEARCH('Nr rejestracyjny'!$F$5,$G1429))),COUNT($I$1:I1428)+1,"")</f>
        <v>0</v>
      </c>
    </row>
    <row r="1430" spans="6:9">
      <c r="F1430" s="7">
        <f>IF('W rejestracji'!$C$1437="","",'W rejestracji'!$C$1437)</f>
        <v>0</v>
      </c>
      <c r="G1430" s="7">
        <f>IF(Zarejestrowane!$C$1437="","",Zarejestrowane!$C$1437)</f>
        <v>0</v>
      </c>
      <c r="H1430" s="9">
        <f>IF(AND($F1430&lt;&gt;"",ISNUMBER(SEARCH('Nr rejestracyjny'!$F$5,$F1430))),COUNT($H$1:H1429)+1,"")</f>
        <v>0</v>
      </c>
      <c r="I1430" s="9">
        <f>IF(AND($G1430&lt;&gt;"",ISNUMBER(SEARCH('Nr rejestracyjny'!$F$5,$G1430))),COUNT($I$1:I1429)+1,"")</f>
        <v>0</v>
      </c>
    </row>
    <row r="1431" spans="6:9">
      <c r="F1431" s="7">
        <f>IF('W rejestracji'!$C$1438="","",'W rejestracji'!$C$1438)</f>
        <v>0</v>
      </c>
      <c r="G1431" s="7">
        <f>IF(Zarejestrowane!$C$1438="","",Zarejestrowane!$C$1438)</f>
        <v>0</v>
      </c>
      <c r="H1431" s="9">
        <f>IF(AND($F1431&lt;&gt;"",ISNUMBER(SEARCH('Nr rejestracyjny'!$F$5,$F1431))),COUNT($H$1:H1430)+1,"")</f>
        <v>0</v>
      </c>
      <c r="I1431" s="9">
        <f>IF(AND($G1431&lt;&gt;"",ISNUMBER(SEARCH('Nr rejestracyjny'!$F$5,$G1431))),COUNT($I$1:I1430)+1,"")</f>
        <v>0</v>
      </c>
    </row>
    <row r="1432" spans="6:9">
      <c r="F1432" s="7">
        <f>IF('W rejestracji'!$C$1439="","",'W rejestracji'!$C$1439)</f>
        <v>0</v>
      </c>
      <c r="G1432" s="7">
        <f>IF(Zarejestrowane!$C$1439="","",Zarejestrowane!$C$1439)</f>
        <v>0</v>
      </c>
      <c r="H1432" s="9">
        <f>IF(AND($F1432&lt;&gt;"",ISNUMBER(SEARCH('Nr rejestracyjny'!$F$5,$F1432))),COUNT($H$1:H1431)+1,"")</f>
        <v>0</v>
      </c>
      <c r="I1432" s="9">
        <f>IF(AND($G1432&lt;&gt;"",ISNUMBER(SEARCH('Nr rejestracyjny'!$F$5,$G1432))),COUNT($I$1:I1431)+1,"")</f>
        <v>0</v>
      </c>
    </row>
    <row r="1433" spans="6:9">
      <c r="F1433" s="7">
        <f>IF('W rejestracji'!$C$1440="","",'W rejestracji'!$C$1440)</f>
        <v>0</v>
      </c>
      <c r="G1433" s="7">
        <f>IF(Zarejestrowane!$C$1440="","",Zarejestrowane!$C$1440)</f>
        <v>0</v>
      </c>
      <c r="H1433" s="9">
        <f>IF(AND($F1433&lt;&gt;"",ISNUMBER(SEARCH('Nr rejestracyjny'!$F$5,$F1433))),COUNT($H$1:H1432)+1,"")</f>
        <v>0</v>
      </c>
      <c r="I1433" s="9">
        <f>IF(AND($G1433&lt;&gt;"",ISNUMBER(SEARCH('Nr rejestracyjny'!$F$5,$G1433))),COUNT($I$1:I1432)+1,"")</f>
        <v>0</v>
      </c>
    </row>
    <row r="1434" spans="6:9">
      <c r="F1434" s="7">
        <f>IF('W rejestracji'!$C$1441="","",'W rejestracji'!$C$1441)</f>
        <v>0</v>
      </c>
      <c r="G1434" s="7">
        <f>IF(Zarejestrowane!$C$1441="","",Zarejestrowane!$C$1441)</f>
        <v>0</v>
      </c>
      <c r="H1434" s="9">
        <f>IF(AND($F1434&lt;&gt;"",ISNUMBER(SEARCH('Nr rejestracyjny'!$F$5,$F1434))),COUNT($H$1:H1433)+1,"")</f>
        <v>0</v>
      </c>
      <c r="I1434" s="9">
        <f>IF(AND($G1434&lt;&gt;"",ISNUMBER(SEARCH('Nr rejestracyjny'!$F$5,$G1434))),COUNT($I$1:I1433)+1,"")</f>
        <v>0</v>
      </c>
    </row>
    <row r="1435" spans="6:9">
      <c r="F1435" s="7">
        <f>IF('W rejestracji'!$C$1442="","",'W rejestracji'!$C$1442)</f>
        <v>0</v>
      </c>
      <c r="G1435" s="7">
        <f>IF(Zarejestrowane!$C$1442="","",Zarejestrowane!$C$1442)</f>
        <v>0</v>
      </c>
      <c r="H1435" s="9">
        <f>IF(AND($F1435&lt;&gt;"",ISNUMBER(SEARCH('Nr rejestracyjny'!$F$5,$F1435))),COUNT($H$1:H1434)+1,"")</f>
        <v>0</v>
      </c>
      <c r="I1435" s="9">
        <f>IF(AND($G1435&lt;&gt;"",ISNUMBER(SEARCH('Nr rejestracyjny'!$F$5,$G1435))),COUNT($I$1:I1434)+1,"")</f>
        <v>0</v>
      </c>
    </row>
    <row r="1436" spans="6:9">
      <c r="F1436" s="7">
        <f>IF('W rejestracji'!$C$1443="","",'W rejestracji'!$C$1443)</f>
        <v>0</v>
      </c>
      <c r="G1436" s="7">
        <f>IF(Zarejestrowane!$C$1443="","",Zarejestrowane!$C$1443)</f>
        <v>0</v>
      </c>
      <c r="H1436" s="9">
        <f>IF(AND($F1436&lt;&gt;"",ISNUMBER(SEARCH('Nr rejestracyjny'!$F$5,$F1436))),COUNT($H$1:H1435)+1,"")</f>
        <v>0</v>
      </c>
      <c r="I1436" s="9">
        <f>IF(AND($G1436&lt;&gt;"",ISNUMBER(SEARCH('Nr rejestracyjny'!$F$5,$G1436))),COUNT($I$1:I1435)+1,"")</f>
        <v>0</v>
      </c>
    </row>
    <row r="1437" spans="6:9">
      <c r="F1437" s="7">
        <f>IF('W rejestracji'!$C$1444="","",'W rejestracji'!$C$1444)</f>
        <v>0</v>
      </c>
      <c r="G1437" s="7">
        <f>IF(Zarejestrowane!$C$1444="","",Zarejestrowane!$C$1444)</f>
        <v>0</v>
      </c>
      <c r="H1437" s="9">
        <f>IF(AND($F1437&lt;&gt;"",ISNUMBER(SEARCH('Nr rejestracyjny'!$F$5,$F1437))),COUNT($H$1:H1436)+1,"")</f>
        <v>0</v>
      </c>
      <c r="I1437" s="9">
        <f>IF(AND($G1437&lt;&gt;"",ISNUMBER(SEARCH('Nr rejestracyjny'!$F$5,$G1437))),COUNT($I$1:I1436)+1,"")</f>
        <v>0</v>
      </c>
    </row>
    <row r="1438" spans="6:9">
      <c r="F1438" s="7">
        <f>IF('W rejestracji'!$C$1445="","",'W rejestracji'!$C$1445)</f>
        <v>0</v>
      </c>
      <c r="G1438" s="7">
        <f>IF(Zarejestrowane!$C$1445="","",Zarejestrowane!$C$1445)</f>
        <v>0</v>
      </c>
      <c r="H1438" s="9">
        <f>IF(AND($F1438&lt;&gt;"",ISNUMBER(SEARCH('Nr rejestracyjny'!$F$5,$F1438))),COUNT($H$1:H1437)+1,"")</f>
        <v>0</v>
      </c>
      <c r="I1438" s="9">
        <f>IF(AND($G1438&lt;&gt;"",ISNUMBER(SEARCH('Nr rejestracyjny'!$F$5,$G1438))),COUNT($I$1:I1437)+1,"")</f>
        <v>0</v>
      </c>
    </row>
    <row r="1439" spans="6:9">
      <c r="F1439" s="7">
        <f>IF('W rejestracji'!$C$1446="","",'W rejestracji'!$C$1446)</f>
        <v>0</v>
      </c>
      <c r="G1439" s="7">
        <f>IF(Zarejestrowane!$C$1446="","",Zarejestrowane!$C$1446)</f>
        <v>0</v>
      </c>
      <c r="H1439" s="9">
        <f>IF(AND($F1439&lt;&gt;"",ISNUMBER(SEARCH('Nr rejestracyjny'!$F$5,$F1439))),COUNT($H$1:H1438)+1,"")</f>
        <v>0</v>
      </c>
      <c r="I1439" s="9">
        <f>IF(AND($G1439&lt;&gt;"",ISNUMBER(SEARCH('Nr rejestracyjny'!$F$5,$G1439))),COUNT($I$1:I1438)+1,"")</f>
        <v>0</v>
      </c>
    </row>
    <row r="1440" spans="6:9">
      <c r="F1440" s="7">
        <f>IF('W rejestracji'!$C$1447="","",'W rejestracji'!$C$1447)</f>
        <v>0</v>
      </c>
      <c r="G1440" s="7">
        <f>IF(Zarejestrowane!$C$1447="","",Zarejestrowane!$C$1447)</f>
        <v>0</v>
      </c>
      <c r="H1440" s="9">
        <f>IF(AND($F1440&lt;&gt;"",ISNUMBER(SEARCH('Nr rejestracyjny'!$F$5,$F1440))),COUNT($H$1:H1439)+1,"")</f>
        <v>0</v>
      </c>
      <c r="I1440" s="9">
        <f>IF(AND($G1440&lt;&gt;"",ISNUMBER(SEARCH('Nr rejestracyjny'!$F$5,$G1440))),COUNT($I$1:I1439)+1,"")</f>
        <v>0</v>
      </c>
    </row>
    <row r="1441" spans="6:9">
      <c r="F1441" s="7">
        <f>IF('W rejestracji'!$C$1448="","",'W rejestracji'!$C$1448)</f>
        <v>0</v>
      </c>
      <c r="G1441" s="7">
        <f>IF(Zarejestrowane!$C$1448="","",Zarejestrowane!$C$1448)</f>
        <v>0</v>
      </c>
      <c r="H1441" s="9">
        <f>IF(AND($F1441&lt;&gt;"",ISNUMBER(SEARCH('Nr rejestracyjny'!$F$5,$F1441))),COUNT($H$1:H1440)+1,"")</f>
        <v>0</v>
      </c>
      <c r="I1441" s="9">
        <f>IF(AND($G1441&lt;&gt;"",ISNUMBER(SEARCH('Nr rejestracyjny'!$F$5,$G1441))),COUNT($I$1:I1440)+1,"")</f>
        <v>0</v>
      </c>
    </row>
    <row r="1442" spans="6:9">
      <c r="F1442" s="7">
        <f>IF('W rejestracji'!$C$1449="","",'W rejestracji'!$C$1449)</f>
        <v>0</v>
      </c>
      <c r="G1442" s="7">
        <f>IF(Zarejestrowane!$C$1449="","",Zarejestrowane!$C$1449)</f>
        <v>0</v>
      </c>
      <c r="H1442" s="9">
        <f>IF(AND($F1442&lt;&gt;"",ISNUMBER(SEARCH('Nr rejestracyjny'!$F$5,$F1442))),COUNT($H$1:H1441)+1,"")</f>
        <v>0</v>
      </c>
      <c r="I1442" s="9">
        <f>IF(AND($G1442&lt;&gt;"",ISNUMBER(SEARCH('Nr rejestracyjny'!$F$5,$G1442))),COUNT($I$1:I1441)+1,"")</f>
        <v>0</v>
      </c>
    </row>
    <row r="1443" spans="6:9">
      <c r="F1443" s="7">
        <f>IF('W rejestracji'!$C$1450="","",'W rejestracji'!$C$1450)</f>
        <v>0</v>
      </c>
      <c r="G1443" s="7">
        <f>IF(Zarejestrowane!$C$1450="","",Zarejestrowane!$C$1450)</f>
        <v>0</v>
      </c>
      <c r="H1443" s="9">
        <f>IF(AND($F1443&lt;&gt;"",ISNUMBER(SEARCH('Nr rejestracyjny'!$F$5,$F1443))),COUNT($H$1:H1442)+1,"")</f>
        <v>0</v>
      </c>
      <c r="I1443" s="9">
        <f>IF(AND($G1443&lt;&gt;"",ISNUMBER(SEARCH('Nr rejestracyjny'!$F$5,$G1443))),COUNT($I$1:I1442)+1,"")</f>
        <v>0</v>
      </c>
    </row>
    <row r="1444" spans="6:9">
      <c r="F1444" s="7">
        <f>IF('W rejestracji'!$C$1451="","",'W rejestracji'!$C$1451)</f>
        <v>0</v>
      </c>
      <c r="G1444" s="7">
        <f>IF(Zarejestrowane!$C$1451="","",Zarejestrowane!$C$1451)</f>
        <v>0</v>
      </c>
      <c r="H1444" s="9">
        <f>IF(AND($F1444&lt;&gt;"",ISNUMBER(SEARCH('Nr rejestracyjny'!$F$5,$F1444))),COUNT($H$1:H1443)+1,"")</f>
        <v>0</v>
      </c>
      <c r="I1444" s="9">
        <f>IF(AND($G1444&lt;&gt;"",ISNUMBER(SEARCH('Nr rejestracyjny'!$F$5,$G1444))),COUNT($I$1:I1443)+1,"")</f>
        <v>0</v>
      </c>
    </row>
    <row r="1445" spans="6:9">
      <c r="F1445" s="7">
        <f>IF('W rejestracji'!$C$1452="","",'W rejestracji'!$C$1452)</f>
        <v>0</v>
      </c>
      <c r="G1445" s="7">
        <f>IF(Zarejestrowane!$C$1452="","",Zarejestrowane!$C$1452)</f>
        <v>0</v>
      </c>
      <c r="H1445" s="9">
        <f>IF(AND($F1445&lt;&gt;"",ISNUMBER(SEARCH('Nr rejestracyjny'!$F$5,$F1445))),COUNT($H$1:H1444)+1,"")</f>
        <v>0</v>
      </c>
      <c r="I1445" s="9">
        <f>IF(AND($G1445&lt;&gt;"",ISNUMBER(SEARCH('Nr rejestracyjny'!$F$5,$G1445))),COUNT($I$1:I1444)+1,"")</f>
        <v>0</v>
      </c>
    </row>
    <row r="1446" spans="6:9">
      <c r="F1446" s="7">
        <f>IF('W rejestracji'!$C$1453="","",'W rejestracji'!$C$1453)</f>
        <v>0</v>
      </c>
      <c r="G1446" s="7">
        <f>IF(Zarejestrowane!$C$1453="","",Zarejestrowane!$C$1453)</f>
        <v>0</v>
      </c>
      <c r="H1446" s="9">
        <f>IF(AND($F1446&lt;&gt;"",ISNUMBER(SEARCH('Nr rejestracyjny'!$F$5,$F1446))),COUNT($H$1:H1445)+1,"")</f>
        <v>0</v>
      </c>
      <c r="I1446" s="9">
        <f>IF(AND($G1446&lt;&gt;"",ISNUMBER(SEARCH('Nr rejestracyjny'!$F$5,$G1446))),COUNT($I$1:I1445)+1,"")</f>
        <v>0</v>
      </c>
    </row>
    <row r="1447" spans="6:9">
      <c r="F1447" s="7">
        <f>IF('W rejestracji'!$C$1454="","",'W rejestracji'!$C$1454)</f>
        <v>0</v>
      </c>
      <c r="G1447" s="7">
        <f>IF(Zarejestrowane!$C$1454="","",Zarejestrowane!$C$1454)</f>
        <v>0</v>
      </c>
      <c r="H1447" s="9">
        <f>IF(AND($F1447&lt;&gt;"",ISNUMBER(SEARCH('Nr rejestracyjny'!$F$5,$F1447))),COUNT($H$1:H1446)+1,"")</f>
        <v>0</v>
      </c>
      <c r="I1447" s="9">
        <f>IF(AND($G1447&lt;&gt;"",ISNUMBER(SEARCH('Nr rejestracyjny'!$F$5,$G1447))),COUNT($I$1:I1446)+1,"")</f>
        <v>0</v>
      </c>
    </row>
    <row r="1448" spans="6:9">
      <c r="F1448" s="7">
        <f>IF('W rejestracji'!$C$1455="","",'W rejestracji'!$C$1455)</f>
        <v>0</v>
      </c>
      <c r="G1448" s="7">
        <f>IF(Zarejestrowane!$C$1455="","",Zarejestrowane!$C$1455)</f>
        <v>0</v>
      </c>
      <c r="H1448" s="9">
        <f>IF(AND($F1448&lt;&gt;"",ISNUMBER(SEARCH('Nr rejestracyjny'!$F$5,$F1448))),COUNT($H$1:H1447)+1,"")</f>
        <v>0</v>
      </c>
      <c r="I1448" s="9">
        <f>IF(AND($G1448&lt;&gt;"",ISNUMBER(SEARCH('Nr rejestracyjny'!$F$5,$G1448))),COUNT($I$1:I1447)+1,"")</f>
        <v>0</v>
      </c>
    </row>
    <row r="1449" spans="6:9">
      <c r="F1449" s="7">
        <f>IF('W rejestracji'!$C$1456="","",'W rejestracji'!$C$1456)</f>
        <v>0</v>
      </c>
      <c r="G1449" s="7">
        <f>IF(Zarejestrowane!$C$1456="","",Zarejestrowane!$C$1456)</f>
        <v>0</v>
      </c>
      <c r="H1449" s="9">
        <f>IF(AND($F1449&lt;&gt;"",ISNUMBER(SEARCH('Nr rejestracyjny'!$F$5,$F1449))),COUNT($H$1:H1448)+1,"")</f>
        <v>0</v>
      </c>
      <c r="I1449" s="9">
        <f>IF(AND($G1449&lt;&gt;"",ISNUMBER(SEARCH('Nr rejestracyjny'!$F$5,$G1449))),COUNT($I$1:I1448)+1,"")</f>
        <v>0</v>
      </c>
    </row>
    <row r="1450" spans="6:9">
      <c r="F1450" s="7">
        <f>IF('W rejestracji'!$C$1457="","",'W rejestracji'!$C$1457)</f>
        <v>0</v>
      </c>
      <c r="G1450" s="7">
        <f>IF(Zarejestrowane!$C$1457="","",Zarejestrowane!$C$1457)</f>
        <v>0</v>
      </c>
      <c r="H1450" s="9">
        <f>IF(AND($F1450&lt;&gt;"",ISNUMBER(SEARCH('Nr rejestracyjny'!$F$5,$F1450))),COUNT($H$1:H1449)+1,"")</f>
        <v>0</v>
      </c>
      <c r="I1450" s="9">
        <f>IF(AND($G1450&lt;&gt;"",ISNUMBER(SEARCH('Nr rejestracyjny'!$F$5,$G1450))),COUNT($I$1:I1449)+1,"")</f>
        <v>0</v>
      </c>
    </row>
    <row r="1451" spans="6:9">
      <c r="F1451" s="7">
        <f>IF('W rejestracji'!$C$1458="","",'W rejestracji'!$C$1458)</f>
        <v>0</v>
      </c>
      <c r="G1451" s="7">
        <f>IF(Zarejestrowane!$C$1458="","",Zarejestrowane!$C$1458)</f>
        <v>0</v>
      </c>
      <c r="H1451" s="9">
        <f>IF(AND($F1451&lt;&gt;"",ISNUMBER(SEARCH('Nr rejestracyjny'!$F$5,$F1451))),COUNT($H$1:H1450)+1,"")</f>
        <v>0</v>
      </c>
      <c r="I1451" s="9">
        <f>IF(AND($G1451&lt;&gt;"",ISNUMBER(SEARCH('Nr rejestracyjny'!$F$5,$G1451))),COUNT($I$1:I1450)+1,"")</f>
        <v>0</v>
      </c>
    </row>
    <row r="1452" spans="6:9">
      <c r="F1452" s="7">
        <f>IF('W rejestracji'!$C$1459="","",'W rejestracji'!$C$1459)</f>
        <v>0</v>
      </c>
      <c r="G1452" s="7">
        <f>IF(Zarejestrowane!$C$1459="","",Zarejestrowane!$C$1459)</f>
        <v>0</v>
      </c>
      <c r="H1452" s="9">
        <f>IF(AND($F1452&lt;&gt;"",ISNUMBER(SEARCH('Nr rejestracyjny'!$F$5,$F1452))),COUNT($H$1:H1451)+1,"")</f>
        <v>0</v>
      </c>
      <c r="I1452" s="9">
        <f>IF(AND($G1452&lt;&gt;"",ISNUMBER(SEARCH('Nr rejestracyjny'!$F$5,$G1452))),COUNT($I$1:I1451)+1,"")</f>
        <v>0</v>
      </c>
    </row>
    <row r="1453" spans="6:9">
      <c r="F1453" s="7">
        <f>IF('W rejestracji'!$C$1460="","",'W rejestracji'!$C$1460)</f>
        <v>0</v>
      </c>
      <c r="G1453" s="7">
        <f>IF(Zarejestrowane!$C$1460="","",Zarejestrowane!$C$1460)</f>
        <v>0</v>
      </c>
      <c r="H1453" s="9">
        <f>IF(AND($F1453&lt;&gt;"",ISNUMBER(SEARCH('Nr rejestracyjny'!$F$5,$F1453))),COUNT($H$1:H1452)+1,"")</f>
        <v>0</v>
      </c>
      <c r="I1453" s="9">
        <f>IF(AND($G1453&lt;&gt;"",ISNUMBER(SEARCH('Nr rejestracyjny'!$F$5,$G1453))),COUNT($I$1:I1452)+1,"")</f>
        <v>0</v>
      </c>
    </row>
    <row r="1454" spans="6:9">
      <c r="F1454" s="7">
        <f>IF('W rejestracji'!$C$1461="","",'W rejestracji'!$C$1461)</f>
        <v>0</v>
      </c>
      <c r="G1454" s="7">
        <f>IF(Zarejestrowane!$C$1461="","",Zarejestrowane!$C$1461)</f>
        <v>0</v>
      </c>
      <c r="H1454" s="9">
        <f>IF(AND($F1454&lt;&gt;"",ISNUMBER(SEARCH('Nr rejestracyjny'!$F$5,$F1454))),COUNT($H$1:H1453)+1,"")</f>
        <v>0</v>
      </c>
      <c r="I1454" s="9">
        <f>IF(AND($G1454&lt;&gt;"",ISNUMBER(SEARCH('Nr rejestracyjny'!$F$5,$G1454))),COUNT($I$1:I1453)+1,"")</f>
        <v>0</v>
      </c>
    </row>
    <row r="1455" spans="6:9">
      <c r="F1455" s="7">
        <f>IF('W rejestracji'!$C$1462="","",'W rejestracji'!$C$1462)</f>
        <v>0</v>
      </c>
      <c r="G1455" s="7">
        <f>IF(Zarejestrowane!$C$1462="","",Zarejestrowane!$C$1462)</f>
        <v>0</v>
      </c>
      <c r="H1455" s="9">
        <f>IF(AND($F1455&lt;&gt;"",ISNUMBER(SEARCH('Nr rejestracyjny'!$F$5,$F1455))),COUNT($H$1:H1454)+1,"")</f>
        <v>0</v>
      </c>
      <c r="I1455" s="9">
        <f>IF(AND($G1455&lt;&gt;"",ISNUMBER(SEARCH('Nr rejestracyjny'!$F$5,$G1455))),COUNT($I$1:I1454)+1,"")</f>
        <v>0</v>
      </c>
    </row>
    <row r="1456" spans="6:9">
      <c r="F1456" s="7">
        <f>IF('W rejestracji'!$C$1463="","",'W rejestracji'!$C$1463)</f>
        <v>0</v>
      </c>
      <c r="G1456" s="7">
        <f>IF(Zarejestrowane!$C$1463="","",Zarejestrowane!$C$1463)</f>
        <v>0</v>
      </c>
      <c r="H1456" s="9">
        <f>IF(AND($F1456&lt;&gt;"",ISNUMBER(SEARCH('Nr rejestracyjny'!$F$5,$F1456))),COUNT($H$1:H1455)+1,"")</f>
        <v>0</v>
      </c>
      <c r="I1456" s="9">
        <f>IF(AND($G1456&lt;&gt;"",ISNUMBER(SEARCH('Nr rejestracyjny'!$F$5,$G1456))),COUNT($I$1:I1455)+1,"")</f>
        <v>0</v>
      </c>
    </row>
    <row r="1457" spans="6:9">
      <c r="F1457" s="7">
        <f>IF('W rejestracji'!$C$1464="","",'W rejestracji'!$C$1464)</f>
        <v>0</v>
      </c>
      <c r="G1457" s="7">
        <f>IF(Zarejestrowane!$C$1464="","",Zarejestrowane!$C$1464)</f>
        <v>0</v>
      </c>
      <c r="H1457" s="9">
        <f>IF(AND($F1457&lt;&gt;"",ISNUMBER(SEARCH('Nr rejestracyjny'!$F$5,$F1457))),COUNT($H$1:H1456)+1,"")</f>
        <v>0</v>
      </c>
      <c r="I1457" s="9">
        <f>IF(AND($G1457&lt;&gt;"",ISNUMBER(SEARCH('Nr rejestracyjny'!$F$5,$G1457))),COUNT($I$1:I1456)+1,"")</f>
        <v>0</v>
      </c>
    </row>
    <row r="1458" spans="6:9">
      <c r="F1458" s="7">
        <f>IF('W rejestracji'!$C$1465="","",'W rejestracji'!$C$1465)</f>
        <v>0</v>
      </c>
      <c r="G1458" s="7">
        <f>IF(Zarejestrowane!$C$1465="","",Zarejestrowane!$C$1465)</f>
        <v>0</v>
      </c>
      <c r="H1458" s="9">
        <f>IF(AND($F1458&lt;&gt;"",ISNUMBER(SEARCH('Nr rejestracyjny'!$F$5,$F1458))),COUNT($H$1:H1457)+1,"")</f>
        <v>0</v>
      </c>
      <c r="I1458" s="9">
        <f>IF(AND($G1458&lt;&gt;"",ISNUMBER(SEARCH('Nr rejestracyjny'!$F$5,$G1458))),COUNT($I$1:I1457)+1,"")</f>
        <v>0</v>
      </c>
    </row>
    <row r="1459" spans="6:9">
      <c r="F1459" s="7">
        <f>IF('W rejestracji'!$C$1466="","",'W rejestracji'!$C$1466)</f>
        <v>0</v>
      </c>
      <c r="G1459" s="7">
        <f>IF(Zarejestrowane!$C$1466="","",Zarejestrowane!$C$1466)</f>
        <v>0</v>
      </c>
      <c r="H1459" s="9">
        <f>IF(AND($F1459&lt;&gt;"",ISNUMBER(SEARCH('Nr rejestracyjny'!$F$5,$F1459))),COUNT($H$1:H1458)+1,"")</f>
        <v>0</v>
      </c>
      <c r="I1459" s="9">
        <f>IF(AND($G1459&lt;&gt;"",ISNUMBER(SEARCH('Nr rejestracyjny'!$F$5,$G1459))),COUNT($I$1:I1458)+1,"")</f>
        <v>0</v>
      </c>
    </row>
    <row r="1460" spans="6:9">
      <c r="F1460" s="7">
        <f>IF('W rejestracji'!$C$1467="","",'W rejestracji'!$C$1467)</f>
        <v>0</v>
      </c>
      <c r="G1460" s="7">
        <f>IF(Zarejestrowane!$C$1467="","",Zarejestrowane!$C$1467)</f>
        <v>0</v>
      </c>
      <c r="H1460" s="9">
        <f>IF(AND($F1460&lt;&gt;"",ISNUMBER(SEARCH('Nr rejestracyjny'!$F$5,$F1460))),COUNT($H$1:H1459)+1,"")</f>
        <v>0</v>
      </c>
      <c r="I1460" s="9">
        <f>IF(AND($G1460&lt;&gt;"",ISNUMBER(SEARCH('Nr rejestracyjny'!$F$5,$G1460))),COUNT($I$1:I1459)+1,"")</f>
        <v>0</v>
      </c>
    </row>
    <row r="1461" spans="6:9">
      <c r="F1461" s="7">
        <f>IF('W rejestracji'!$C$1468="","",'W rejestracji'!$C$1468)</f>
        <v>0</v>
      </c>
      <c r="G1461" s="7">
        <f>IF(Zarejestrowane!$C$1468="","",Zarejestrowane!$C$1468)</f>
        <v>0</v>
      </c>
      <c r="H1461" s="9">
        <f>IF(AND($F1461&lt;&gt;"",ISNUMBER(SEARCH('Nr rejestracyjny'!$F$5,$F1461))),COUNT($H$1:H1460)+1,"")</f>
        <v>0</v>
      </c>
      <c r="I1461" s="9">
        <f>IF(AND($G1461&lt;&gt;"",ISNUMBER(SEARCH('Nr rejestracyjny'!$F$5,$G1461))),COUNT($I$1:I1460)+1,"")</f>
        <v>0</v>
      </c>
    </row>
    <row r="1462" spans="6:9">
      <c r="F1462" s="7">
        <f>IF('W rejestracji'!$C$1469="","",'W rejestracji'!$C$1469)</f>
        <v>0</v>
      </c>
      <c r="G1462" s="7">
        <f>IF(Zarejestrowane!$C$1469="","",Zarejestrowane!$C$1469)</f>
        <v>0</v>
      </c>
      <c r="H1462" s="9">
        <f>IF(AND($F1462&lt;&gt;"",ISNUMBER(SEARCH('Nr rejestracyjny'!$F$5,$F1462))),COUNT($H$1:H1461)+1,"")</f>
        <v>0</v>
      </c>
      <c r="I1462" s="9">
        <f>IF(AND($G1462&lt;&gt;"",ISNUMBER(SEARCH('Nr rejestracyjny'!$F$5,$G1462))),COUNT($I$1:I1461)+1,"")</f>
        <v>0</v>
      </c>
    </row>
    <row r="1463" spans="6:9">
      <c r="F1463" s="7">
        <f>IF('W rejestracji'!$C$1470="","",'W rejestracji'!$C$1470)</f>
        <v>0</v>
      </c>
      <c r="G1463" s="7">
        <f>IF(Zarejestrowane!$C$1470="","",Zarejestrowane!$C$1470)</f>
        <v>0</v>
      </c>
      <c r="H1463" s="9">
        <f>IF(AND($F1463&lt;&gt;"",ISNUMBER(SEARCH('Nr rejestracyjny'!$F$5,$F1463))),COUNT($H$1:H1462)+1,"")</f>
        <v>0</v>
      </c>
      <c r="I1463" s="9">
        <f>IF(AND($G1463&lt;&gt;"",ISNUMBER(SEARCH('Nr rejestracyjny'!$F$5,$G1463))),COUNT($I$1:I1462)+1,"")</f>
        <v>0</v>
      </c>
    </row>
    <row r="1464" spans="6:9">
      <c r="F1464" s="7">
        <f>IF('W rejestracji'!$C$1471="","",'W rejestracji'!$C$1471)</f>
        <v>0</v>
      </c>
      <c r="G1464" s="7">
        <f>IF(Zarejestrowane!$C$1471="","",Zarejestrowane!$C$1471)</f>
        <v>0</v>
      </c>
      <c r="H1464" s="9">
        <f>IF(AND($F1464&lt;&gt;"",ISNUMBER(SEARCH('Nr rejestracyjny'!$F$5,$F1464))),COUNT($H$1:H1463)+1,"")</f>
        <v>0</v>
      </c>
      <c r="I1464" s="9">
        <f>IF(AND($G1464&lt;&gt;"",ISNUMBER(SEARCH('Nr rejestracyjny'!$F$5,$G1464))),COUNT($I$1:I1463)+1,"")</f>
        <v>0</v>
      </c>
    </row>
    <row r="1465" spans="6:9">
      <c r="F1465" s="7">
        <f>IF('W rejestracji'!$C$1472="","",'W rejestracji'!$C$1472)</f>
        <v>0</v>
      </c>
      <c r="G1465" s="7">
        <f>IF(Zarejestrowane!$C$1472="","",Zarejestrowane!$C$1472)</f>
        <v>0</v>
      </c>
      <c r="H1465" s="9">
        <f>IF(AND($F1465&lt;&gt;"",ISNUMBER(SEARCH('Nr rejestracyjny'!$F$5,$F1465))),COUNT($H$1:H1464)+1,"")</f>
        <v>0</v>
      </c>
      <c r="I1465" s="9">
        <f>IF(AND($G1465&lt;&gt;"",ISNUMBER(SEARCH('Nr rejestracyjny'!$F$5,$G1465))),COUNT($I$1:I1464)+1,"")</f>
        <v>0</v>
      </c>
    </row>
    <row r="1466" spans="6:9">
      <c r="F1466" s="7">
        <f>IF('W rejestracji'!$C$1473="","",'W rejestracji'!$C$1473)</f>
        <v>0</v>
      </c>
      <c r="G1466" s="7">
        <f>IF(Zarejestrowane!$C$1473="","",Zarejestrowane!$C$1473)</f>
        <v>0</v>
      </c>
      <c r="H1466" s="9">
        <f>IF(AND($F1466&lt;&gt;"",ISNUMBER(SEARCH('Nr rejestracyjny'!$F$5,$F1466))),COUNT($H$1:H1465)+1,"")</f>
        <v>0</v>
      </c>
      <c r="I1466" s="9">
        <f>IF(AND($G1466&lt;&gt;"",ISNUMBER(SEARCH('Nr rejestracyjny'!$F$5,$G1466))),COUNT($I$1:I1465)+1,"")</f>
        <v>0</v>
      </c>
    </row>
    <row r="1467" spans="6:9">
      <c r="F1467" s="7">
        <f>IF('W rejestracji'!$C$1474="","",'W rejestracji'!$C$1474)</f>
        <v>0</v>
      </c>
      <c r="G1467" s="7">
        <f>IF(Zarejestrowane!$C$1474="","",Zarejestrowane!$C$1474)</f>
        <v>0</v>
      </c>
      <c r="H1467" s="9">
        <f>IF(AND($F1467&lt;&gt;"",ISNUMBER(SEARCH('Nr rejestracyjny'!$F$5,$F1467))),COUNT($H$1:H1466)+1,"")</f>
        <v>0</v>
      </c>
      <c r="I1467" s="9">
        <f>IF(AND($G1467&lt;&gt;"",ISNUMBER(SEARCH('Nr rejestracyjny'!$F$5,$G1467))),COUNT($I$1:I1466)+1,"")</f>
        <v>0</v>
      </c>
    </row>
    <row r="1468" spans="6:9">
      <c r="F1468" s="7">
        <f>IF('W rejestracji'!$C$1475="","",'W rejestracji'!$C$1475)</f>
        <v>0</v>
      </c>
      <c r="G1468" s="7">
        <f>IF(Zarejestrowane!$C$1475="","",Zarejestrowane!$C$1475)</f>
        <v>0</v>
      </c>
      <c r="H1468" s="9">
        <f>IF(AND($F1468&lt;&gt;"",ISNUMBER(SEARCH('Nr rejestracyjny'!$F$5,$F1468))),COUNT($H$1:H1467)+1,"")</f>
        <v>0</v>
      </c>
      <c r="I1468" s="9">
        <f>IF(AND($G1468&lt;&gt;"",ISNUMBER(SEARCH('Nr rejestracyjny'!$F$5,$G1468))),COUNT($I$1:I1467)+1,"")</f>
        <v>0</v>
      </c>
    </row>
    <row r="1469" spans="6:9">
      <c r="F1469" s="7">
        <f>IF('W rejestracji'!$C$1476="","",'W rejestracji'!$C$1476)</f>
        <v>0</v>
      </c>
      <c r="G1469" s="7">
        <f>IF(Zarejestrowane!$C$1476="","",Zarejestrowane!$C$1476)</f>
        <v>0</v>
      </c>
      <c r="H1469" s="9">
        <f>IF(AND($F1469&lt;&gt;"",ISNUMBER(SEARCH('Nr rejestracyjny'!$F$5,$F1469))),COUNT($H$1:H1468)+1,"")</f>
        <v>0</v>
      </c>
      <c r="I1469" s="9">
        <f>IF(AND($G1469&lt;&gt;"",ISNUMBER(SEARCH('Nr rejestracyjny'!$F$5,$G1469))),COUNT($I$1:I1468)+1,"")</f>
        <v>0</v>
      </c>
    </row>
    <row r="1470" spans="6:9">
      <c r="F1470" s="7">
        <f>IF('W rejestracji'!$C$1477="","",'W rejestracji'!$C$1477)</f>
        <v>0</v>
      </c>
      <c r="G1470" s="7">
        <f>IF(Zarejestrowane!$C$1477="","",Zarejestrowane!$C$1477)</f>
        <v>0</v>
      </c>
      <c r="H1470" s="9">
        <f>IF(AND($F1470&lt;&gt;"",ISNUMBER(SEARCH('Nr rejestracyjny'!$F$5,$F1470))),COUNT($H$1:H1469)+1,"")</f>
        <v>0</v>
      </c>
      <c r="I1470" s="9">
        <f>IF(AND($G1470&lt;&gt;"",ISNUMBER(SEARCH('Nr rejestracyjny'!$F$5,$G1470))),COUNT($I$1:I1469)+1,"")</f>
        <v>0</v>
      </c>
    </row>
    <row r="1471" spans="6:9">
      <c r="F1471" s="7">
        <f>IF('W rejestracji'!$C$1478="","",'W rejestracji'!$C$1478)</f>
        <v>0</v>
      </c>
      <c r="G1471" s="7">
        <f>IF(Zarejestrowane!$C$1478="","",Zarejestrowane!$C$1478)</f>
        <v>0</v>
      </c>
      <c r="H1471" s="9">
        <f>IF(AND($F1471&lt;&gt;"",ISNUMBER(SEARCH('Nr rejestracyjny'!$F$5,$F1471))),COUNT($H$1:H1470)+1,"")</f>
        <v>0</v>
      </c>
      <c r="I1471" s="9">
        <f>IF(AND($G1471&lt;&gt;"",ISNUMBER(SEARCH('Nr rejestracyjny'!$F$5,$G1471))),COUNT($I$1:I1470)+1,"")</f>
        <v>0</v>
      </c>
    </row>
    <row r="1472" spans="6:9">
      <c r="F1472" s="7">
        <f>IF('W rejestracji'!$C$1479="","",'W rejestracji'!$C$1479)</f>
        <v>0</v>
      </c>
      <c r="G1472" s="7">
        <f>IF(Zarejestrowane!$C$1479="","",Zarejestrowane!$C$1479)</f>
        <v>0</v>
      </c>
      <c r="H1472" s="9">
        <f>IF(AND($F1472&lt;&gt;"",ISNUMBER(SEARCH('Nr rejestracyjny'!$F$5,$F1472))),COUNT($H$1:H1471)+1,"")</f>
        <v>0</v>
      </c>
      <c r="I1472" s="9">
        <f>IF(AND($G1472&lt;&gt;"",ISNUMBER(SEARCH('Nr rejestracyjny'!$F$5,$G1472))),COUNT($I$1:I1471)+1,"")</f>
        <v>0</v>
      </c>
    </row>
    <row r="1473" spans="6:9">
      <c r="F1473" s="7">
        <f>IF('W rejestracji'!$C$1480="","",'W rejestracji'!$C$1480)</f>
        <v>0</v>
      </c>
      <c r="G1473" s="7">
        <f>IF(Zarejestrowane!$C$1480="","",Zarejestrowane!$C$1480)</f>
        <v>0</v>
      </c>
      <c r="H1473" s="9">
        <f>IF(AND($F1473&lt;&gt;"",ISNUMBER(SEARCH('Nr rejestracyjny'!$F$5,$F1473))),COUNT($H$1:H1472)+1,"")</f>
        <v>0</v>
      </c>
      <c r="I1473" s="9">
        <f>IF(AND($G1473&lt;&gt;"",ISNUMBER(SEARCH('Nr rejestracyjny'!$F$5,$G1473))),COUNT($I$1:I1472)+1,"")</f>
        <v>0</v>
      </c>
    </row>
    <row r="1474" spans="6:9">
      <c r="F1474" s="7">
        <f>IF('W rejestracji'!$C$1481="","",'W rejestracji'!$C$1481)</f>
        <v>0</v>
      </c>
      <c r="G1474" s="7">
        <f>IF(Zarejestrowane!$C$1481="","",Zarejestrowane!$C$1481)</f>
        <v>0</v>
      </c>
      <c r="H1474" s="9">
        <f>IF(AND($F1474&lt;&gt;"",ISNUMBER(SEARCH('Nr rejestracyjny'!$F$5,$F1474))),COUNT($H$1:H1473)+1,"")</f>
        <v>0</v>
      </c>
      <c r="I1474" s="9">
        <f>IF(AND($G1474&lt;&gt;"",ISNUMBER(SEARCH('Nr rejestracyjny'!$F$5,$G1474))),COUNT($I$1:I1473)+1,"")</f>
        <v>0</v>
      </c>
    </row>
    <row r="1475" spans="6:9">
      <c r="F1475" s="7">
        <f>IF('W rejestracji'!$C$1482="","",'W rejestracji'!$C$1482)</f>
        <v>0</v>
      </c>
      <c r="G1475" s="7">
        <f>IF(Zarejestrowane!$C$1482="","",Zarejestrowane!$C$1482)</f>
        <v>0</v>
      </c>
      <c r="H1475" s="9">
        <f>IF(AND($F1475&lt;&gt;"",ISNUMBER(SEARCH('Nr rejestracyjny'!$F$5,$F1475))),COUNT($H$1:H1474)+1,"")</f>
        <v>0</v>
      </c>
      <c r="I1475" s="9">
        <f>IF(AND($G1475&lt;&gt;"",ISNUMBER(SEARCH('Nr rejestracyjny'!$F$5,$G1475))),COUNT($I$1:I1474)+1,"")</f>
        <v>0</v>
      </c>
    </row>
    <row r="1476" spans="6:9">
      <c r="F1476" s="7">
        <f>IF('W rejestracji'!$C$1483="","",'W rejestracji'!$C$1483)</f>
        <v>0</v>
      </c>
      <c r="G1476" s="7">
        <f>IF(Zarejestrowane!$C$1483="","",Zarejestrowane!$C$1483)</f>
        <v>0</v>
      </c>
      <c r="H1476" s="9">
        <f>IF(AND($F1476&lt;&gt;"",ISNUMBER(SEARCH('Nr rejestracyjny'!$F$5,$F1476))),COUNT($H$1:H1475)+1,"")</f>
        <v>0</v>
      </c>
      <c r="I1476" s="9">
        <f>IF(AND($G1476&lt;&gt;"",ISNUMBER(SEARCH('Nr rejestracyjny'!$F$5,$G1476))),COUNT($I$1:I1475)+1,"")</f>
        <v>0</v>
      </c>
    </row>
    <row r="1477" spans="6:9">
      <c r="F1477" s="7">
        <f>IF('W rejestracji'!$C$1484="","",'W rejestracji'!$C$1484)</f>
        <v>0</v>
      </c>
      <c r="G1477" s="7">
        <f>IF(Zarejestrowane!$C$1484="","",Zarejestrowane!$C$1484)</f>
        <v>0</v>
      </c>
      <c r="H1477" s="9">
        <f>IF(AND($F1477&lt;&gt;"",ISNUMBER(SEARCH('Nr rejestracyjny'!$F$5,$F1477))),COUNT($H$1:H1476)+1,"")</f>
        <v>0</v>
      </c>
      <c r="I1477" s="9">
        <f>IF(AND($G1477&lt;&gt;"",ISNUMBER(SEARCH('Nr rejestracyjny'!$F$5,$G1477))),COUNT($I$1:I1476)+1,"")</f>
        <v>0</v>
      </c>
    </row>
    <row r="1478" spans="6:9">
      <c r="F1478" s="7">
        <f>IF('W rejestracji'!$C$1485="","",'W rejestracji'!$C$1485)</f>
        <v>0</v>
      </c>
      <c r="G1478" s="7">
        <f>IF(Zarejestrowane!$C$1485="","",Zarejestrowane!$C$1485)</f>
        <v>0</v>
      </c>
      <c r="H1478" s="9">
        <f>IF(AND($F1478&lt;&gt;"",ISNUMBER(SEARCH('Nr rejestracyjny'!$F$5,$F1478))),COUNT($H$1:H1477)+1,"")</f>
        <v>0</v>
      </c>
      <c r="I1478" s="9">
        <f>IF(AND($G1478&lt;&gt;"",ISNUMBER(SEARCH('Nr rejestracyjny'!$F$5,$G1478))),COUNT($I$1:I1477)+1,"")</f>
        <v>0</v>
      </c>
    </row>
    <row r="1479" spans="6:9">
      <c r="F1479" s="7">
        <f>IF('W rejestracji'!$C$1486="","",'W rejestracji'!$C$1486)</f>
        <v>0</v>
      </c>
      <c r="G1479" s="7">
        <f>IF(Zarejestrowane!$C$1486="","",Zarejestrowane!$C$1486)</f>
        <v>0</v>
      </c>
      <c r="H1479" s="9">
        <f>IF(AND($F1479&lt;&gt;"",ISNUMBER(SEARCH('Nr rejestracyjny'!$F$5,$F1479))),COUNT($H$1:H1478)+1,"")</f>
        <v>0</v>
      </c>
      <c r="I1479" s="9">
        <f>IF(AND($G1479&lt;&gt;"",ISNUMBER(SEARCH('Nr rejestracyjny'!$F$5,$G1479))),COUNT($I$1:I1478)+1,"")</f>
        <v>0</v>
      </c>
    </row>
    <row r="1480" spans="6:9">
      <c r="F1480" s="7">
        <f>IF('W rejestracji'!$C$1487="","",'W rejestracji'!$C$1487)</f>
        <v>0</v>
      </c>
      <c r="G1480" s="7">
        <f>IF(Zarejestrowane!$C$1487="","",Zarejestrowane!$C$1487)</f>
        <v>0</v>
      </c>
      <c r="H1480" s="9">
        <f>IF(AND($F1480&lt;&gt;"",ISNUMBER(SEARCH('Nr rejestracyjny'!$F$5,$F1480))),COUNT($H$1:H1479)+1,"")</f>
        <v>0</v>
      </c>
      <c r="I1480" s="9">
        <f>IF(AND($G1480&lt;&gt;"",ISNUMBER(SEARCH('Nr rejestracyjny'!$F$5,$G1480))),COUNT($I$1:I1479)+1,"")</f>
        <v>0</v>
      </c>
    </row>
    <row r="1481" spans="6:9">
      <c r="F1481" s="7">
        <f>IF('W rejestracji'!$C$1488="","",'W rejestracji'!$C$1488)</f>
        <v>0</v>
      </c>
      <c r="G1481" s="7">
        <f>IF(Zarejestrowane!$C$1488="","",Zarejestrowane!$C$1488)</f>
        <v>0</v>
      </c>
      <c r="H1481" s="9">
        <f>IF(AND($F1481&lt;&gt;"",ISNUMBER(SEARCH('Nr rejestracyjny'!$F$5,$F1481))),COUNT($H$1:H1480)+1,"")</f>
        <v>0</v>
      </c>
      <c r="I1481" s="9">
        <f>IF(AND($G1481&lt;&gt;"",ISNUMBER(SEARCH('Nr rejestracyjny'!$F$5,$G1481))),COUNT($I$1:I1480)+1,"")</f>
        <v>0</v>
      </c>
    </row>
    <row r="1482" spans="6:9">
      <c r="F1482" s="7">
        <f>IF('W rejestracji'!$C$1489="","",'W rejestracji'!$C$1489)</f>
        <v>0</v>
      </c>
      <c r="G1482" s="7">
        <f>IF(Zarejestrowane!$C$1489="","",Zarejestrowane!$C$1489)</f>
        <v>0</v>
      </c>
      <c r="H1482" s="9">
        <f>IF(AND($F1482&lt;&gt;"",ISNUMBER(SEARCH('Nr rejestracyjny'!$F$5,$F1482))),COUNT($H$1:H1481)+1,"")</f>
        <v>0</v>
      </c>
      <c r="I1482" s="9">
        <f>IF(AND($G1482&lt;&gt;"",ISNUMBER(SEARCH('Nr rejestracyjny'!$F$5,$G1482))),COUNT($I$1:I1481)+1,"")</f>
        <v>0</v>
      </c>
    </row>
    <row r="1483" spans="6:9">
      <c r="F1483" s="7">
        <f>IF('W rejestracji'!$C$1490="","",'W rejestracji'!$C$1490)</f>
        <v>0</v>
      </c>
      <c r="G1483" s="7">
        <f>IF(Zarejestrowane!$C$1490="","",Zarejestrowane!$C$1490)</f>
        <v>0</v>
      </c>
      <c r="H1483" s="9">
        <f>IF(AND($F1483&lt;&gt;"",ISNUMBER(SEARCH('Nr rejestracyjny'!$F$5,$F1483))),COUNT($H$1:H1482)+1,"")</f>
        <v>0</v>
      </c>
      <c r="I1483" s="9">
        <f>IF(AND($G1483&lt;&gt;"",ISNUMBER(SEARCH('Nr rejestracyjny'!$F$5,$G1483))),COUNT($I$1:I1482)+1,"")</f>
        <v>0</v>
      </c>
    </row>
    <row r="1484" spans="6:9">
      <c r="F1484" s="7">
        <f>IF('W rejestracji'!$C$1491="","",'W rejestracji'!$C$1491)</f>
        <v>0</v>
      </c>
      <c r="G1484" s="7">
        <f>IF(Zarejestrowane!$C$1491="","",Zarejestrowane!$C$1491)</f>
        <v>0</v>
      </c>
      <c r="H1484" s="9">
        <f>IF(AND($F1484&lt;&gt;"",ISNUMBER(SEARCH('Nr rejestracyjny'!$F$5,$F1484))),COUNT($H$1:H1483)+1,"")</f>
        <v>0</v>
      </c>
      <c r="I1484" s="9">
        <f>IF(AND($G1484&lt;&gt;"",ISNUMBER(SEARCH('Nr rejestracyjny'!$F$5,$G1484))),COUNT($I$1:I1483)+1,"")</f>
        <v>0</v>
      </c>
    </row>
    <row r="1485" spans="6:9">
      <c r="F1485" s="7">
        <f>IF('W rejestracji'!$C$1492="","",'W rejestracji'!$C$1492)</f>
        <v>0</v>
      </c>
      <c r="G1485" s="7">
        <f>IF(Zarejestrowane!$C$1492="","",Zarejestrowane!$C$1492)</f>
        <v>0</v>
      </c>
      <c r="H1485" s="9">
        <f>IF(AND($F1485&lt;&gt;"",ISNUMBER(SEARCH('Nr rejestracyjny'!$F$5,$F1485))),COUNT($H$1:H1484)+1,"")</f>
        <v>0</v>
      </c>
      <c r="I1485" s="9">
        <f>IF(AND($G1485&lt;&gt;"",ISNUMBER(SEARCH('Nr rejestracyjny'!$F$5,$G1485))),COUNT($I$1:I1484)+1,"")</f>
        <v>0</v>
      </c>
    </row>
    <row r="1486" spans="6:9">
      <c r="F1486" s="7">
        <f>IF('W rejestracji'!$C$1493="","",'W rejestracji'!$C$1493)</f>
        <v>0</v>
      </c>
      <c r="G1486" s="7">
        <f>IF(Zarejestrowane!$C$1493="","",Zarejestrowane!$C$1493)</f>
        <v>0</v>
      </c>
      <c r="H1486" s="9">
        <f>IF(AND($F1486&lt;&gt;"",ISNUMBER(SEARCH('Nr rejestracyjny'!$F$5,$F1486))),COUNT($H$1:H1485)+1,"")</f>
        <v>0</v>
      </c>
      <c r="I1486" s="9">
        <f>IF(AND($G1486&lt;&gt;"",ISNUMBER(SEARCH('Nr rejestracyjny'!$F$5,$G1486))),COUNT($I$1:I1485)+1,"")</f>
        <v>0</v>
      </c>
    </row>
    <row r="1487" spans="6:9">
      <c r="F1487" s="7">
        <f>IF('W rejestracji'!$C$1494="","",'W rejestracji'!$C$1494)</f>
        <v>0</v>
      </c>
      <c r="G1487" s="7">
        <f>IF(Zarejestrowane!$C$1494="","",Zarejestrowane!$C$1494)</f>
        <v>0</v>
      </c>
      <c r="H1487" s="9">
        <f>IF(AND($F1487&lt;&gt;"",ISNUMBER(SEARCH('Nr rejestracyjny'!$F$5,$F1487))),COUNT($H$1:H1486)+1,"")</f>
        <v>0</v>
      </c>
      <c r="I1487" s="9">
        <f>IF(AND($G1487&lt;&gt;"",ISNUMBER(SEARCH('Nr rejestracyjny'!$F$5,$G1487))),COUNT($I$1:I1486)+1,"")</f>
        <v>0</v>
      </c>
    </row>
    <row r="1488" spans="6:9">
      <c r="F1488" s="7">
        <f>IF('W rejestracji'!$C$1495="","",'W rejestracji'!$C$1495)</f>
        <v>0</v>
      </c>
      <c r="G1488" s="7">
        <f>IF(Zarejestrowane!$C$1495="","",Zarejestrowane!$C$1495)</f>
        <v>0</v>
      </c>
      <c r="H1488" s="9">
        <f>IF(AND($F1488&lt;&gt;"",ISNUMBER(SEARCH('Nr rejestracyjny'!$F$5,$F1488))),COUNT($H$1:H1487)+1,"")</f>
        <v>0</v>
      </c>
      <c r="I1488" s="9">
        <f>IF(AND($G1488&lt;&gt;"",ISNUMBER(SEARCH('Nr rejestracyjny'!$F$5,$G1488))),COUNT($I$1:I1487)+1,"")</f>
        <v>0</v>
      </c>
    </row>
    <row r="1489" spans="6:9">
      <c r="F1489" s="7">
        <f>IF('W rejestracji'!$C$1496="","",'W rejestracji'!$C$1496)</f>
        <v>0</v>
      </c>
      <c r="G1489" s="7">
        <f>IF(Zarejestrowane!$C$1496="","",Zarejestrowane!$C$1496)</f>
        <v>0</v>
      </c>
      <c r="H1489" s="9">
        <f>IF(AND($F1489&lt;&gt;"",ISNUMBER(SEARCH('Nr rejestracyjny'!$F$5,$F1489))),COUNT($H$1:H1488)+1,"")</f>
        <v>0</v>
      </c>
      <c r="I1489" s="9">
        <f>IF(AND($G1489&lt;&gt;"",ISNUMBER(SEARCH('Nr rejestracyjny'!$F$5,$G1489))),COUNT($I$1:I1488)+1,"")</f>
        <v>0</v>
      </c>
    </row>
    <row r="1490" spans="6:9">
      <c r="F1490" s="7">
        <f>IF('W rejestracji'!$C$1497="","",'W rejestracji'!$C$1497)</f>
        <v>0</v>
      </c>
      <c r="G1490" s="7">
        <f>IF(Zarejestrowane!$C$1497="","",Zarejestrowane!$C$1497)</f>
        <v>0</v>
      </c>
      <c r="H1490" s="9">
        <f>IF(AND($F1490&lt;&gt;"",ISNUMBER(SEARCH('Nr rejestracyjny'!$F$5,$F1490))),COUNT($H$1:H1489)+1,"")</f>
        <v>0</v>
      </c>
      <c r="I1490" s="9">
        <f>IF(AND($G1490&lt;&gt;"",ISNUMBER(SEARCH('Nr rejestracyjny'!$F$5,$G1490))),COUNT($I$1:I1489)+1,"")</f>
        <v>0</v>
      </c>
    </row>
    <row r="1491" spans="6:9">
      <c r="F1491" s="7">
        <f>IF('W rejestracji'!$C$1498="","",'W rejestracji'!$C$1498)</f>
        <v>0</v>
      </c>
      <c r="G1491" s="7">
        <f>IF(Zarejestrowane!$C$1498="","",Zarejestrowane!$C$1498)</f>
        <v>0</v>
      </c>
      <c r="H1491" s="9">
        <f>IF(AND($F1491&lt;&gt;"",ISNUMBER(SEARCH('Nr rejestracyjny'!$F$5,$F1491))),COUNT($H$1:H1490)+1,"")</f>
        <v>0</v>
      </c>
      <c r="I1491" s="9">
        <f>IF(AND($G1491&lt;&gt;"",ISNUMBER(SEARCH('Nr rejestracyjny'!$F$5,$G1491))),COUNT($I$1:I1490)+1,"")</f>
        <v>0</v>
      </c>
    </row>
    <row r="1492" spans="6:9">
      <c r="F1492" s="7">
        <f>IF('W rejestracji'!$C$1499="","",'W rejestracji'!$C$1499)</f>
        <v>0</v>
      </c>
      <c r="G1492" s="7">
        <f>IF(Zarejestrowane!$C$1499="","",Zarejestrowane!$C$1499)</f>
        <v>0</v>
      </c>
      <c r="H1492" s="9">
        <f>IF(AND($F1492&lt;&gt;"",ISNUMBER(SEARCH('Nr rejestracyjny'!$F$5,$F1492))),COUNT($H$1:H1491)+1,"")</f>
        <v>0</v>
      </c>
      <c r="I1492" s="9">
        <f>IF(AND($G1492&lt;&gt;"",ISNUMBER(SEARCH('Nr rejestracyjny'!$F$5,$G1492))),COUNT($I$1:I1491)+1,"")</f>
        <v>0</v>
      </c>
    </row>
    <row r="1493" spans="6:9">
      <c r="F1493" s="7">
        <f>IF('W rejestracji'!$C$1500="","",'W rejestracji'!$C$1500)</f>
        <v>0</v>
      </c>
      <c r="G1493" s="7">
        <f>IF(Zarejestrowane!$C$1500="","",Zarejestrowane!$C$1500)</f>
        <v>0</v>
      </c>
      <c r="H1493" s="9">
        <f>IF(AND($F1493&lt;&gt;"",ISNUMBER(SEARCH('Nr rejestracyjny'!$F$5,$F1493))),COUNT($H$1:H1492)+1,"")</f>
        <v>0</v>
      </c>
      <c r="I1493" s="9">
        <f>IF(AND($G1493&lt;&gt;"",ISNUMBER(SEARCH('Nr rejestracyjny'!$F$5,$G1493))),COUNT($I$1:I1492)+1,"")</f>
        <v>0</v>
      </c>
    </row>
    <row r="1494" spans="6:9">
      <c r="F1494" s="7">
        <f>IF('W rejestracji'!$C$1501="","",'W rejestracji'!$C$1501)</f>
        <v>0</v>
      </c>
      <c r="G1494" s="7">
        <f>IF(Zarejestrowane!$C$1501="","",Zarejestrowane!$C$1501)</f>
        <v>0</v>
      </c>
      <c r="H1494" s="9">
        <f>IF(AND($F1494&lt;&gt;"",ISNUMBER(SEARCH('Nr rejestracyjny'!$F$5,$F1494))),COUNT($H$1:H1493)+1,"")</f>
        <v>0</v>
      </c>
      <c r="I1494" s="9">
        <f>IF(AND($G1494&lt;&gt;"",ISNUMBER(SEARCH('Nr rejestracyjny'!$F$5,$G1494))),COUNT($I$1:I1493)+1,"")</f>
        <v>0</v>
      </c>
    </row>
    <row r="1495" spans="6:9">
      <c r="F1495" s="7">
        <f>IF('W rejestracji'!$C$1502="","",'W rejestracji'!$C$1502)</f>
        <v>0</v>
      </c>
      <c r="G1495" s="7">
        <f>IF(Zarejestrowane!$C$1502="","",Zarejestrowane!$C$1502)</f>
        <v>0</v>
      </c>
      <c r="H1495" s="9">
        <f>IF(AND($F1495&lt;&gt;"",ISNUMBER(SEARCH('Nr rejestracyjny'!$F$5,$F1495))),COUNT($H$1:H1494)+1,"")</f>
        <v>0</v>
      </c>
      <c r="I1495" s="9">
        <f>IF(AND($G1495&lt;&gt;"",ISNUMBER(SEARCH('Nr rejestracyjny'!$F$5,$G1495))),COUNT($I$1:I1494)+1,"")</f>
        <v>0</v>
      </c>
    </row>
    <row r="1496" spans="6:9">
      <c r="F1496" s="7">
        <f>IF('W rejestracji'!$C$1503="","",'W rejestracji'!$C$1503)</f>
        <v>0</v>
      </c>
      <c r="G1496" s="7">
        <f>IF(Zarejestrowane!$C$1503="","",Zarejestrowane!$C$1503)</f>
        <v>0</v>
      </c>
      <c r="H1496" s="9">
        <f>IF(AND($F1496&lt;&gt;"",ISNUMBER(SEARCH('Nr rejestracyjny'!$F$5,$F1496))),COUNT($H$1:H1495)+1,"")</f>
        <v>0</v>
      </c>
      <c r="I1496" s="9">
        <f>IF(AND($G1496&lt;&gt;"",ISNUMBER(SEARCH('Nr rejestracyjny'!$F$5,$G1496))),COUNT($I$1:I1495)+1,"")</f>
        <v>0</v>
      </c>
    </row>
    <row r="1497" spans="6:9">
      <c r="F1497" s="7">
        <f>IF('W rejestracji'!$C$1504="","",'W rejestracji'!$C$1504)</f>
        <v>0</v>
      </c>
      <c r="G1497" s="7">
        <f>IF(Zarejestrowane!$C$1504="","",Zarejestrowane!$C$1504)</f>
        <v>0</v>
      </c>
      <c r="H1497" s="9">
        <f>IF(AND($F1497&lt;&gt;"",ISNUMBER(SEARCH('Nr rejestracyjny'!$F$5,$F1497))),COUNT($H$1:H1496)+1,"")</f>
        <v>0</v>
      </c>
      <c r="I1497" s="9">
        <f>IF(AND($G1497&lt;&gt;"",ISNUMBER(SEARCH('Nr rejestracyjny'!$F$5,$G1497))),COUNT($I$1:I1496)+1,"")</f>
        <v>0</v>
      </c>
    </row>
    <row r="1498" spans="6:9">
      <c r="F1498" s="7">
        <f>IF('W rejestracji'!$C$1505="","",'W rejestracji'!$C$1505)</f>
        <v>0</v>
      </c>
      <c r="G1498" s="7">
        <f>IF(Zarejestrowane!$C$1505="","",Zarejestrowane!$C$1505)</f>
        <v>0</v>
      </c>
      <c r="H1498" s="9">
        <f>IF(AND($F1498&lt;&gt;"",ISNUMBER(SEARCH('Nr rejestracyjny'!$F$5,$F1498))),COUNT($H$1:H1497)+1,"")</f>
        <v>0</v>
      </c>
      <c r="I1498" s="9">
        <f>IF(AND($G1498&lt;&gt;"",ISNUMBER(SEARCH('Nr rejestracyjny'!$F$5,$G1498))),COUNT($I$1:I1497)+1,"")</f>
        <v>0</v>
      </c>
    </row>
    <row r="1499" spans="6:9">
      <c r="F1499" s="7">
        <f>IF('W rejestracji'!$C$1506="","",'W rejestracji'!$C$1506)</f>
        <v>0</v>
      </c>
      <c r="G1499" s="7">
        <f>IF(Zarejestrowane!$C$1506="","",Zarejestrowane!$C$1506)</f>
        <v>0</v>
      </c>
      <c r="H1499" s="9">
        <f>IF(AND($F1499&lt;&gt;"",ISNUMBER(SEARCH('Nr rejestracyjny'!$F$5,$F1499))),COUNT($H$1:H1498)+1,"")</f>
        <v>0</v>
      </c>
      <c r="I1499" s="9">
        <f>IF(AND($G1499&lt;&gt;"",ISNUMBER(SEARCH('Nr rejestracyjny'!$F$5,$G1499))),COUNT($I$1:I1498)+1,"")</f>
        <v>0</v>
      </c>
    </row>
    <row r="1500" spans="6:9">
      <c r="F1500" s="7">
        <f>IF('W rejestracji'!$C$1507="","",'W rejestracji'!$C$1507)</f>
        <v>0</v>
      </c>
      <c r="G1500" s="7">
        <f>IF(Zarejestrowane!$C$1507="","",Zarejestrowane!$C$1507)</f>
        <v>0</v>
      </c>
      <c r="H1500" s="9">
        <f>IF(AND($F1500&lt;&gt;"",ISNUMBER(SEARCH('Nr rejestracyjny'!$F$5,$F1500))),COUNT($H$1:H1499)+1,"")</f>
        <v>0</v>
      </c>
      <c r="I1500" s="9">
        <f>IF(AND($G1500&lt;&gt;"",ISNUMBER(SEARCH('Nr rejestracyjny'!$F$5,$G1500))),COUNT($I$1:I1499)+1,"")</f>
        <v>0</v>
      </c>
    </row>
    <row r="1501" spans="6:9">
      <c r="F1501" s="7">
        <f>IF('W rejestracji'!$C$1508="","",'W rejestracji'!$C$1508)</f>
        <v>0</v>
      </c>
      <c r="G1501" s="7">
        <f>IF(Zarejestrowane!$C$1508="","",Zarejestrowane!$C$1508)</f>
        <v>0</v>
      </c>
      <c r="H1501" s="9">
        <f>IF(AND($F1501&lt;&gt;"",ISNUMBER(SEARCH('Nr rejestracyjny'!$F$5,$F1501))),COUNT($H$1:H1500)+1,"")</f>
        <v>0</v>
      </c>
      <c r="I1501" s="9">
        <f>IF(AND($G1501&lt;&gt;"",ISNUMBER(SEARCH('Nr rejestracyjny'!$F$5,$G1501))),COUNT($I$1:I1500)+1,"")</f>
        <v>0</v>
      </c>
    </row>
    <row r="1502" spans="6:9">
      <c r="F1502" s="7">
        <f>IF('W rejestracji'!$C$1509="","",'W rejestracji'!$C$1509)</f>
        <v>0</v>
      </c>
      <c r="G1502" s="7">
        <f>IF(Zarejestrowane!$C$1509="","",Zarejestrowane!$C$1509)</f>
        <v>0</v>
      </c>
      <c r="H1502" s="9">
        <f>IF(AND($F1502&lt;&gt;"",ISNUMBER(SEARCH('Nr rejestracyjny'!$F$5,$F1502))),COUNT($H$1:H1501)+1,"")</f>
        <v>0</v>
      </c>
      <c r="I1502" s="9">
        <f>IF(AND($G1502&lt;&gt;"",ISNUMBER(SEARCH('Nr rejestracyjny'!$F$5,$G1502))),COUNT($I$1:I1501)+1,"")</f>
        <v>0</v>
      </c>
    </row>
    <row r="1503" spans="6:9">
      <c r="F1503" s="7">
        <f>IF('W rejestracji'!$C$1510="","",'W rejestracji'!$C$1510)</f>
        <v>0</v>
      </c>
      <c r="G1503" s="7">
        <f>IF(Zarejestrowane!$C$1510="","",Zarejestrowane!$C$1510)</f>
        <v>0</v>
      </c>
      <c r="H1503" s="9">
        <f>IF(AND($F1503&lt;&gt;"",ISNUMBER(SEARCH('Nr rejestracyjny'!$F$5,$F1503))),COUNT($H$1:H1502)+1,"")</f>
        <v>0</v>
      </c>
      <c r="I1503" s="9">
        <f>IF(AND($G1503&lt;&gt;"",ISNUMBER(SEARCH('Nr rejestracyjny'!$F$5,$G1503))),COUNT($I$1:I1502)+1,"")</f>
        <v>0</v>
      </c>
    </row>
    <row r="1504" spans="6:9">
      <c r="F1504" s="7">
        <f>IF('W rejestracji'!$C$1511="","",'W rejestracji'!$C$1511)</f>
        <v>0</v>
      </c>
      <c r="G1504" s="7">
        <f>IF(Zarejestrowane!$C$1511="","",Zarejestrowane!$C$1511)</f>
        <v>0</v>
      </c>
      <c r="H1504" s="9">
        <f>IF(AND($F1504&lt;&gt;"",ISNUMBER(SEARCH('Nr rejestracyjny'!$F$5,$F1504))),COUNT($H$1:H1503)+1,"")</f>
        <v>0</v>
      </c>
      <c r="I1504" s="9">
        <f>IF(AND($G1504&lt;&gt;"",ISNUMBER(SEARCH('Nr rejestracyjny'!$F$5,$G1504))),COUNT($I$1:I1503)+1,"")</f>
        <v>0</v>
      </c>
    </row>
    <row r="1505" spans="6:9">
      <c r="F1505" s="7">
        <f>IF('W rejestracji'!$C$1512="","",'W rejestracji'!$C$1512)</f>
        <v>0</v>
      </c>
      <c r="G1505" s="7">
        <f>IF(Zarejestrowane!$C$1512="","",Zarejestrowane!$C$1512)</f>
        <v>0</v>
      </c>
      <c r="H1505" s="9">
        <f>IF(AND($F1505&lt;&gt;"",ISNUMBER(SEARCH('Nr rejestracyjny'!$F$5,$F1505))),COUNT($H$1:H1504)+1,"")</f>
        <v>0</v>
      </c>
      <c r="I1505" s="9">
        <f>IF(AND($G1505&lt;&gt;"",ISNUMBER(SEARCH('Nr rejestracyjny'!$F$5,$G1505))),COUNT($I$1:I1504)+1,"")</f>
        <v>0</v>
      </c>
    </row>
    <row r="1506" spans="6:9">
      <c r="F1506" s="7">
        <f>IF('W rejestracji'!$C$1513="","",'W rejestracji'!$C$1513)</f>
        <v>0</v>
      </c>
      <c r="G1506" s="7">
        <f>IF(Zarejestrowane!$C$1513="","",Zarejestrowane!$C$1513)</f>
        <v>0</v>
      </c>
      <c r="H1506" s="9">
        <f>IF(AND($F1506&lt;&gt;"",ISNUMBER(SEARCH('Nr rejestracyjny'!$F$5,$F1506))),COUNT($H$1:H1505)+1,"")</f>
        <v>0</v>
      </c>
      <c r="I1506" s="9">
        <f>IF(AND($G1506&lt;&gt;"",ISNUMBER(SEARCH('Nr rejestracyjny'!$F$5,$G1506))),COUNT($I$1:I1505)+1,"")</f>
        <v>0</v>
      </c>
    </row>
    <row r="1507" spans="6:9">
      <c r="F1507" s="7">
        <f>IF('W rejestracji'!$C$1514="","",'W rejestracji'!$C$1514)</f>
        <v>0</v>
      </c>
      <c r="G1507" s="7">
        <f>IF(Zarejestrowane!$C$1514="","",Zarejestrowane!$C$1514)</f>
        <v>0</v>
      </c>
      <c r="H1507" s="9">
        <f>IF(AND($F1507&lt;&gt;"",ISNUMBER(SEARCH('Nr rejestracyjny'!$F$5,$F1507))),COUNT($H$1:H1506)+1,"")</f>
        <v>0</v>
      </c>
      <c r="I1507" s="9">
        <f>IF(AND($G1507&lt;&gt;"",ISNUMBER(SEARCH('Nr rejestracyjny'!$F$5,$G1507))),COUNT($I$1:I1506)+1,"")</f>
        <v>0</v>
      </c>
    </row>
    <row r="1508" spans="6:9">
      <c r="F1508" s="7">
        <f>IF('W rejestracji'!$C$1515="","",'W rejestracji'!$C$1515)</f>
        <v>0</v>
      </c>
      <c r="G1508" s="7">
        <f>IF(Zarejestrowane!$C$1515="","",Zarejestrowane!$C$1515)</f>
        <v>0</v>
      </c>
      <c r="H1508" s="9">
        <f>IF(AND($F1508&lt;&gt;"",ISNUMBER(SEARCH('Nr rejestracyjny'!$F$5,$F1508))),COUNT($H$1:H1507)+1,"")</f>
        <v>0</v>
      </c>
      <c r="I1508" s="9">
        <f>IF(AND($G1508&lt;&gt;"",ISNUMBER(SEARCH('Nr rejestracyjny'!$F$5,$G1508))),COUNT($I$1:I1507)+1,"")</f>
        <v>0</v>
      </c>
    </row>
    <row r="1509" spans="6:9">
      <c r="F1509" s="7">
        <f>IF('W rejestracji'!$C$1516="","",'W rejestracji'!$C$1516)</f>
        <v>0</v>
      </c>
      <c r="G1509" s="7">
        <f>IF(Zarejestrowane!$C$1516="","",Zarejestrowane!$C$1516)</f>
        <v>0</v>
      </c>
      <c r="H1509" s="9">
        <f>IF(AND($F1509&lt;&gt;"",ISNUMBER(SEARCH('Nr rejestracyjny'!$F$5,$F1509))),COUNT($H$1:H1508)+1,"")</f>
        <v>0</v>
      </c>
      <c r="I1509" s="9">
        <f>IF(AND($G1509&lt;&gt;"",ISNUMBER(SEARCH('Nr rejestracyjny'!$F$5,$G1509))),COUNT($I$1:I1508)+1,"")</f>
        <v>0</v>
      </c>
    </row>
    <row r="1510" spans="6:9">
      <c r="F1510" s="7">
        <f>IF('W rejestracji'!$C$1517="","",'W rejestracji'!$C$1517)</f>
        <v>0</v>
      </c>
      <c r="G1510" s="7">
        <f>IF(Zarejestrowane!$C$1517="","",Zarejestrowane!$C$1517)</f>
        <v>0</v>
      </c>
      <c r="H1510" s="9">
        <f>IF(AND($F1510&lt;&gt;"",ISNUMBER(SEARCH('Nr rejestracyjny'!$F$5,$F1510))),COUNT($H$1:H1509)+1,"")</f>
        <v>0</v>
      </c>
      <c r="I1510" s="9">
        <f>IF(AND($G1510&lt;&gt;"",ISNUMBER(SEARCH('Nr rejestracyjny'!$F$5,$G1510))),COUNT($I$1:I1509)+1,"")</f>
        <v>0</v>
      </c>
    </row>
    <row r="1511" spans="6:9">
      <c r="F1511" s="7">
        <f>IF('W rejestracji'!$C$1518="","",'W rejestracji'!$C$1518)</f>
        <v>0</v>
      </c>
      <c r="G1511" s="7">
        <f>IF(Zarejestrowane!$C$1518="","",Zarejestrowane!$C$1518)</f>
        <v>0</v>
      </c>
      <c r="H1511" s="9">
        <f>IF(AND($F1511&lt;&gt;"",ISNUMBER(SEARCH('Nr rejestracyjny'!$F$5,$F1511))),COUNT($H$1:H1510)+1,"")</f>
        <v>0</v>
      </c>
      <c r="I1511" s="9">
        <f>IF(AND($G1511&lt;&gt;"",ISNUMBER(SEARCH('Nr rejestracyjny'!$F$5,$G1511))),COUNT($I$1:I1510)+1,"")</f>
        <v>0</v>
      </c>
    </row>
    <row r="1512" spans="6:9">
      <c r="F1512" s="7">
        <f>IF('W rejestracji'!$C$1519="","",'W rejestracji'!$C$1519)</f>
        <v>0</v>
      </c>
      <c r="G1512" s="7">
        <f>IF(Zarejestrowane!$C$1519="","",Zarejestrowane!$C$1519)</f>
        <v>0</v>
      </c>
      <c r="H1512" s="9">
        <f>IF(AND($F1512&lt;&gt;"",ISNUMBER(SEARCH('Nr rejestracyjny'!$F$5,$F1512))),COUNT($H$1:H1511)+1,"")</f>
        <v>0</v>
      </c>
      <c r="I1512" s="9">
        <f>IF(AND($G1512&lt;&gt;"",ISNUMBER(SEARCH('Nr rejestracyjny'!$F$5,$G1512))),COUNT($I$1:I1511)+1,"")</f>
        <v>0</v>
      </c>
    </row>
    <row r="1513" spans="6:9">
      <c r="F1513" s="7">
        <f>IF('W rejestracji'!$C$1520="","",'W rejestracji'!$C$1520)</f>
        <v>0</v>
      </c>
      <c r="G1513" s="7">
        <f>IF(Zarejestrowane!$C$1520="","",Zarejestrowane!$C$1520)</f>
        <v>0</v>
      </c>
      <c r="H1513" s="9">
        <f>IF(AND($F1513&lt;&gt;"",ISNUMBER(SEARCH('Nr rejestracyjny'!$F$5,$F1513))),COUNT($H$1:H1512)+1,"")</f>
        <v>0</v>
      </c>
      <c r="I1513" s="9">
        <f>IF(AND($G1513&lt;&gt;"",ISNUMBER(SEARCH('Nr rejestracyjny'!$F$5,$G1513))),COUNT($I$1:I1512)+1,"")</f>
        <v>0</v>
      </c>
    </row>
    <row r="1514" spans="6:9">
      <c r="F1514" s="7">
        <f>IF('W rejestracji'!$C$1521="","",'W rejestracji'!$C$1521)</f>
        <v>0</v>
      </c>
      <c r="G1514" s="7">
        <f>IF(Zarejestrowane!$C$1521="","",Zarejestrowane!$C$1521)</f>
        <v>0</v>
      </c>
      <c r="H1514" s="9">
        <f>IF(AND($F1514&lt;&gt;"",ISNUMBER(SEARCH('Nr rejestracyjny'!$F$5,$F1514))),COUNT($H$1:H1513)+1,"")</f>
        <v>0</v>
      </c>
      <c r="I1514" s="9">
        <f>IF(AND($G1514&lt;&gt;"",ISNUMBER(SEARCH('Nr rejestracyjny'!$F$5,$G1514))),COUNT($I$1:I1513)+1,"")</f>
        <v>0</v>
      </c>
    </row>
    <row r="1515" spans="6:9">
      <c r="F1515" s="7">
        <f>IF('W rejestracji'!$C$1522="","",'W rejestracji'!$C$1522)</f>
        <v>0</v>
      </c>
      <c r="G1515" s="7">
        <f>IF(Zarejestrowane!$C$1522="","",Zarejestrowane!$C$1522)</f>
        <v>0</v>
      </c>
      <c r="H1515" s="9">
        <f>IF(AND($F1515&lt;&gt;"",ISNUMBER(SEARCH('Nr rejestracyjny'!$F$5,$F1515))),COUNT($H$1:H1514)+1,"")</f>
        <v>0</v>
      </c>
      <c r="I1515" s="9">
        <f>IF(AND($G1515&lt;&gt;"",ISNUMBER(SEARCH('Nr rejestracyjny'!$F$5,$G1515))),COUNT($I$1:I1514)+1,"")</f>
        <v>0</v>
      </c>
    </row>
    <row r="1516" spans="6:9">
      <c r="F1516" s="7">
        <f>IF('W rejestracji'!$C$1523="","",'W rejestracji'!$C$1523)</f>
        <v>0</v>
      </c>
      <c r="G1516" s="7">
        <f>IF(Zarejestrowane!$C$1523="","",Zarejestrowane!$C$1523)</f>
        <v>0</v>
      </c>
      <c r="H1516" s="9">
        <f>IF(AND($F1516&lt;&gt;"",ISNUMBER(SEARCH('Nr rejestracyjny'!$F$5,$F1516))),COUNT($H$1:H1515)+1,"")</f>
        <v>0</v>
      </c>
      <c r="I1516" s="9">
        <f>IF(AND($G1516&lt;&gt;"",ISNUMBER(SEARCH('Nr rejestracyjny'!$F$5,$G1516))),COUNT($I$1:I1515)+1,"")</f>
        <v>0</v>
      </c>
    </row>
    <row r="1517" spans="6:9">
      <c r="F1517" s="7">
        <f>IF('W rejestracji'!$C$1524="","",'W rejestracji'!$C$1524)</f>
        <v>0</v>
      </c>
      <c r="G1517" s="7">
        <f>IF(Zarejestrowane!$C$1524="","",Zarejestrowane!$C$1524)</f>
        <v>0</v>
      </c>
      <c r="H1517" s="9">
        <f>IF(AND($F1517&lt;&gt;"",ISNUMBER(SEARCH('Nr rejestracyjny'!$F$5,$F1517))),COUNT($H$1:H1516)+1,"")</f>
        <v>0</v>
      </c>
      <c r="I1517" s="9">
        <f>IF(AND($G1517&lt;&gt;"",ISNUMBER(SEARCH('Nr rejestracyjny'!$F$5,$G1517))),COUNT($I$1:I1516)+1,"")</f>
        <v>0</v>
      </c>
    </row>
    <row r="1518" spans="6:9">
      <c r="F1518" s="7">
        <f>IF('W rejestracji'!$C$1525="","",'W rejestracji'!$C$1525)</f>
        <v>0</v>
      </c>
      <c r="G1518" s="7">
        <f>IF(Zarejestrowane!$C$1525="","",Zarejestrowane!$C$1525)</f>
        <v>0</v>
      </c>
      <c r="H1518" s="9">
        <f>IF(AND($F1518&lt;&gt;"",ISNUMBER(SEARCH('Nr rejestracyjny'!$F$5,$F1518))),COUNT($H$1:H1517)+1,"")</f>
        <v>0</v>
      </c>
      <c r="I1518" s="9">
        <f>IF(AND($G1518&lt;&gt;"",ISNUMBER(SEARCH('Nr rejestracyjny'!$F$5,$G1518))),COUNT($I$1:I1517)+1,"")</f>
        <v>0</v>
      </c>
    </row>
    <row r="1519" spans="6:9">
      <c r="F1519" s="7">
        <f>IF('W rejestracji'!$C$1526="","",'W rejestracji'!$C$1526)</f>
        <v>0</v>
      </c>
      <c r="G1519" s="7">
        <f>IF(Zarejestrowane!$C$1526="","",Zarejestrowane!$C$1526)</f>
        <v>0</v>
      </c>
      <c r="H1519" s="9">
        <f>IF(AND($F1519&lt;&gt;"",ISNUMBER(SEARCH('Nr rejestracyjny'!$F$5,$F1519))),COUNT($H$1:H1518)+1,"")</f>
        <v>0</v>
      </c>
      <c r="I1519" s="9">
        <f>IF(AND($G1519&lt;&gt;"",ISNUMBER(SEARCH('Nr rejestracyjny'!$F$5,$G1519))),COUNT($I$1:I1518)+1,"")</f>
        <v>0</v>
      </c>
    </row>
    <row r="1520" spans="6:9">
      <c r="F1520" s="7">
        <f>IF('W rejestracji'!$C$1527="","",'W rejestracji'!$C$1527)</f>
        <v>0</v>
      </c>
      <c r="G1520" s="7">
        <f>IF(Zarejestrowane!$C$1527="","",Zarejestrowane!$C$1527)</f>
        <v>0</v>
      </c>
      <c r="H1520" s="9">
        <f>IF(AND($F1520&lt;&gt;"",ISNUMBER(SEARCH('Nr rejestracyjny'!$F$5,$F1520))),COUNT($H$1:H1519)+1,"")</f>
        <v>0</v>
      </c>
      <c r="I1520" s="9">
        <f>IF(AND($G1520&lt;&gt;"",ISNUMBER(SEARCH('Nr rejestracyjny'!$F$5,$G1520))),COUNT($I$1:I1519)+1,"")</f>
        <v>0</v>
      </c>
    </row>
    <row r="1521" spans="6:9">
      <c r="F1521" s="7">
        <f>IF('W rejestracji'!$C$1528="","",'W rejestracji'!$C$1528)</f>
        <v>0</v>
      </c>
      <c r="G1521" s="7">
        <f>IF(Zarejestrowane!$C$1528="","",Zarejestrowane!$C$1528)</f>
        <v>0</v>
      </c>
      <c r="H1521" s="9">
        <f>IF(AND($F1521&lt;&gt;"",ISNUMBER(SEARCH('Nr rejestracyjny'!$F$5,$F1521))),COUNT($H$1:H1520)+1,"")</f>
        <v>0</v>
      </c>
      <c r="I1521" s="9">
        <f>IF(AND($G1521&lt;&gt;"",ISNUMBER(SEARCH('Nr rejestracyjny'!$F$5,$G1521))),COUNT($I$1:I1520)+1,"")</f>
        <v>0</v>
      </c>
    </row>
    <row r="1522" spans="6:9">
      <c r="F1522" s="7">
        <f>IF('W rejestracji'!$C$1529="","",'W rejestracji'!$C$1529)</f>
        <v>0</v>
      </c>
      <c r="G1522" s="7">
        <f>IF(Zarejestrowane!$C$1529="","",Zarejestrowane!$C$1529)</f>
        <v>0</v>
      </c>
      <c r="H1522" s="9">
        <f>IF(AND($F1522&lt;&gt;"",ISNUMBER(SEARCH('Nr rejestracyjny'!$F$5,$F1522))),COUNT($H$1:H1521)+1,"")</f>
        <v>0</v>
      </c>
      <c r="I1522" s="9">
        <f>IF(AND($G1522&lt;&gt;"",ISNUMBER(SEARCH('Nr rejestracyjny'!$F$5,$G1522))),COUNT($I$1:I1521)+1,"")</f>
        <v>0</v>
      </c>
    </row>
    <row r="1523" spans="6:9">
      <c r="F1523" s="7">
        <f>IF('W rejestracji'!$C$1530="","",'W rejestracji'!$C$1530)</f>
        <v>0</v>
      </c>
      <c r="G1523" s="7">
        <f>IF(Zarejestrowane!$C$1530="","",Zarejestrowane!$C$1530)</f>
        <v>0</v>
      </c>
      <c r="H1523" s="9">
        <f>IF(AND($F1523&lt;&gt;"",ISNUMBER(SEARCH('Nr rejestracyjny'!$F$5,$F1523))),COUNT($H$1:H1522)+1,"")</f>
        <v>0</v>
      </c>
      <c r="I1523" s="9">
        <f>IF(AND($G1523&lt;&gt;"",ISNUMBER(SEARCH('Nr rejestracyjny'!$F$5,$G1523))),COUNT($I$1:I1522)+1,"")</f>
        <v>0</v>
      </c>
    </row>
    <row r="1524" spans="6:9">
      <c r="F1524" s="7">
        <f>IF('W rejestracji'!$C$1531="","",'W rejestracji'!$C$1531)</f>
        <v>0</v>
      </c>
      <c r="G1524" s="7">
        <f>IF(Zarejestrowane!$C$1531="","",Zarejestrowane!$C$1531)</f>
        <v>0</v>
      </c>
      <c r="H1524" s="9">
        <f>IF(AND($F1524&lt;&gt;"",ISNUMBER(SEARCH('Nr rejestracyjny'!$F$5,$F1524))),COUNT($H$1:H1523)+1,"")</f>
        <v>0</v>
      </c>
      <c r="I1524" s="9">
        <f>IF(AND($G1524&lt;&gt;"",ISNUMBER(SEARCH('Nr rejestracyjny'!$F$5,$G1524))),COUNT($I$1:I1523)+1,"")</f>
        <v>0</v>
      </c>
    </row>
    <row r="1525" spans="6:9">
      <c r="F1525" s="7">
        <f>IF('W rejestracji'!$C$1532="","",'W rejestracji'!$C$1532)</f>
        <v>0</v>
      </c>
      <c r="G1525" s="7">
        <f>IF(Zarejestrowane!$C$1532="","",Zarejestrowane!$C$1532)</f>
        <v>0</v>
      </c>
      <c r="H1525" s="9">
        <f>IF(AND($F1525&lt;&gt;"",ISNUMBER(SEARCH('Nr rejestracyjny'!$F$5,$F1525))),COUNT($H$1:H1524)+1,"")</f>
        <v>0</v>
      </c>
      <c r="I1525" s="9">
        <f>IF(AND($G1525&lt;&gt;"",ISNUMBER(SEARCH('Nr rejestracyjny'!$F$5,$G1525))),COUNT($I$1:I1524)+1,"")</f>
        <v>0</v>
      </c>
    </row>
    <row r="1526" spans="6:9">
      <c r="F1526" s="7">
        <f>IF('W rejestracji'!$C$1533="","",'W rejestracji'!$C$1533)</f>
        <v>0</v>
      </c>
      <c r="G1526" s="7">
        <f>IF(Zarejestrowane!$C$1533="","",Zarejestrowane!$C$1533)</f>
        <v>0</v>
      </c>
      <c r="H1526" s="9">
        <f>IF(AND($F1526&lt;&gt;"",ISNUMBER(SEARCH('Nr rejestracyjny'!$F$5,$F1526))),COUNT($H$1:H1525)+1,"")</f>
        <v>0</v>
      </c>
      <c r="I1526" s="9">
        <f>IF(AND($G1526&lt;&gt;"",ISNUMBER(SEARCH('Nr rejestracyjny'!$F$5,$G1526))),COUNT($I$1:I1525)+1,"")</f>
        <v>0</v>
      </c>
    </row>
    <row r="1527" spans="6:9">
      <c r="F1527" s="7">
        <f>IF('W rejestracji'!$C$1534="","",'W rejestracji'!$C$1534)</f>
        <v>0</v>
      </c>
      <c r="G1527" s="7">
        <f>IF(Zarejestrowane!$C$1534="","",Zarejestrowane!$C$1534)</f>
        <v>0</v>
      </c>
      <c r="H1527" s="9">
        <f>IF(AND($F1527&lt;&gt;"",ISNUMBER(SEARCH('Nr rejestracyjny'!$F$5,$F1527))),COUNT($H$1:H1526)+1,"")</f>
        <v>0</v>
      </c>
      <c r="I1527" s="9">
        <f>IF(AND($G1527&lt;&gt;"",ISNUMBER(SEARCH('Nr rejestracyjny'!$F$5,$G1527))),COUNT($I$1:I1526)+1,"")</f>
        <v>0</v>
      </c>
    </row>
    <row r="1528" spans="6:9">
      <c r="F1528" s="7">
        <f>IF('W rejestracji'!$C$1535="","",'W rejestracji'!$C$1535)</f>
        <v>0</v>
      </c>
      <c r="G1528" s="7">
        <f>IF(Zarejestrowane!$C$1535="","",Zarejestrowane!$C$1535)</f>
        <v>0</v>
      </c>
      <c r="H1528" s="9">
        <f>IF(AND($F1528&lt;&gt;"",ISNUMBER(SEARCH('Nr rejestracyjny'!$F$5,$F1528))),COUNT($H$1:H1527)+1,"")</f>
        <v>0</v>
      </c>
      <c r="I1528" s="9">
        <f>IF(AND($G1528&lt;&gt;"",ISNUMBER(SEARCH('Nr rejestracyjny'!$F$5,$G1528))),COUNT($I$1:I1527)+1,"")</f>
        <v>0</v>
      </c>
    </row>
    <row r="1529" spans="6:9">
      <c r="F1529" s="7">
        <f>IF('W rejestracji'!$C$1536="","",'W rejestracji'!$C$1536)</f>
        <v>0</v>
      </c>
      <c r="G1529" s="7">
        <f>IF(Zarejestrowane!$C$1536="","",Zarejestrowane!$C$1536)</f>
        <v>0</v>
      </c>
      <c r="H1529" s="9">
        <f>IF(AND($F1529&lt;&gt;"",ISNUMBER(SEARCH('Nr rejestracyjny'!$F$5,$F1529))),COUNT($H$1:H1528)+1,"")</f>
        <v>0</v>
      </c>
      <c r="I1529" s="9">
        <f>IF(AND($G1529&lt;&gt;"",ISNUMBER(SEARCH('Nr rejestracyjny'!$F$5,$G1529))),COUNT($I$1:I1528)+1,"")</f>
        <v>0</v>
      </c>
    </row>
    <row r="1530" spans="6:9">
      <c r="F1530" s="7">
        <f>IF('W rejestracji'!$C$1537="","",'W rejestracji'!$C$1537)</f>
        <v>0</v>
      </c>
      <c r="G1530" s="7">
        <f>IF(Zarejestrowane!$C$1537="","",Zarejestrowane!$C$1537)</f>
        <v>0</v>
      </c>
      <c r="H1530" s="9">
        <f>IF(AND($F1530&lt;&gt;"",ISNUMBER(SEARCH('Nr rejestracyjny'!$F$5,$F1530))),COUNT($H$1:H1529)+1,"")</f>
        <v>0</v>
      </c>
      <c r="I1530" s="9">
        <f>IF(AND($G1530&lt;&gt;"",ISNUMBER(SEARCH('Nr rejestracyjny'!$F$5,$G1530))),COUNT($I$1:I1529)+1,"")</f>
        <v>0</v>
      </c>
    </row>
    <row r="1531" spans="6:9">
      <c r="F1531" s="7">
        <f>IF('W rejestracji'!$C$1538="","",'W rejestracji'!$C$1538)</f>
        <v>0</v>
      </c>
      <c r="G1531" s="7">
        <f>IF(Zarejestrowane!$C$1538="","",Zarejestrowane!$C$1538)</f>
        <v>0</v>
      </c>
      <c r="H1531" s="9">
        <f>IF(AND($F1531&lt;&gt;"",ISNUMBER(SEARCH('Nr rejestracyjny'!$F$5,$F1531))),COUNT($H$1:H1530)+1,"")</f>
        <v>0</v>
      </c>
      <c r="I1531" s="9">
        <f>IF(AND($G1531&lt;&gt;"",ISNUMBER(SEARCH('Nr rejestracyjny'!$F$5,$G1531))),COUNT($I$1:I1530)+1,"")</f>
        <v>0</v>
      </c>
    </row>
    <row r="1532" spans="6:9">
      <c r="F1532" s="7">
        <f>IF('W rejestracji'!$C$1539="","",'W rejestracji'!$C$1539)</f>
        <v>0</v>
      </c>
      <c r="G1532" s="7">
        <f>IF(Zarejestrowane!$C$1539="","",Zarejestrowane!$C$1539)</f>
        <v>0</v>
      </c>
      <c r="H1532" s="9">
        <f>IF(AND($F1532&lt;&gt;"",ISNUMBER(SEARCH('Nr rejestracyjny'!$F$5,$F1532))),COUNT($H$1:H1531)+1,"")</f>
        <v>0</v>
      </c>
      <c r="I1532" s="9">
        <f>IF(AND($G1532&lt;&gt;"",ISNUMBER(SEARCH('Nr rejestracyjny'!$F$5,$G1532))),COUNT($I$1:I1531)+1,"")</f>
        <v>0</v>
      </c>
    </row>
    <row r="1533" spans="6:9">
      <c r="F1533" s="7">
        <f>IF('W rejestracji'!$C$1540="","",'W rejestracji'!$C$1540)</f>
        <v>0</v>
      </c>
      <c r="G1533" s="7">
        <f>IF(Zarejestrowane!$C$1540="","",Zarejestrowane!$C$1540)</f>
        <v>0</v>
      </c>
      <c r="H1533" s="9">
        <f>IF(AND($F1533&lt;&gt;"",ISNUMBER(SEARCH('Nr rejestracyjny'!$F$5,$F1533))),COUNT($H$1:H1532)+1,"")</f>
        <v>0</v>
      </c>
      <c r="I1533" s="9">
        <f>IF(AND($G1533&lt;&gt;"",ISNUMBER(SEARCH('Nr rejestracyjny'!$F$5,$G1533))),COUNT($I$1:I1532)+1,"")</f>
        <v>0</v>
      </c>
    </row>
    <row r="1534" spans="6:9">
      <c r="F1534" s="7">
        <f>IF('W rejestracji'!$C$1541="","",'W rejestracji'!$C$1541)</f>
        <v>0</v>
      </c>
      <c r="G1534" s="7">
        <f>IF(Zarejestrowane!$C$1541="","",Zarejestrowane!$C$1541)</f>
        <v>0</v>
      </c>
      <c r="H1534" s="9">
        <f>IF(AND($F1534&lt;&gt;"",ISNUMBER(SEARCH('Nr rejestracyjny'!$F$5,$F1534))),COUNT($H$1:H1533)+1,"")</f>
        <v>0</v>
      </c>
      <c r="I1534" s="9">
        <f>IF(AND($G1534&lt;&gt;"",ISNUMBER(SEARCH('Nr rejestracyjny'!$F$5,$G1534))),COUNT($I$1:I1533)+1,"")</f>
        <v>0</v>
      </c>
    </row>
    <row r="1535" spans="6:9">
      <c r="F1535" s="7">
        <f>IF('W rejestracji'!$C$1542="","",'W rejestracji'!$C$1542)</f>
        <v>0</v>
      </c>
      <c r="G1535" s="7">
        <f>IF(Zarejestrowane!$C$1542="","",Zarejestrowane!$C$1542)</f>
        <v>0</v>
      </c>
      <c r="H1535" s="9">
        <f>IF(AND($F1535&lt;&gt;"",ISNUMBER(SEARCH('Nr rejestracyjny'!$F$5,$F1535))),COUNT($H$1:H1534)+1,"")</f>
        <v>0</v>
      </c>
      <c r="I1535" s="9">
        <f>IF(AND($G1535&lt;&gt;"",ISNUMBER(SEARCH('Nr rejestracyjny'!$F$5,$G1535))),COUNT($I$1:I1534)+1,"")</f>
        <v>0</v>
      </c>
    </row>
    <row r="1536" spans="6:9">
      <c r="F1536" s="7">
        <f>IF('W rejestracji'!$C$1543="","",'W rejestracji'!$C$1543)</f>
        <v>0</v>
      </c>
      <c r="G1536" s="7">
        <f>IF(Zarejestrowane!$C$1543="","",Zarejestrowane!$C$1543)</f>
        <v>0</v>
      </c>
      <c r="H1536" s="9">
        <f>IF(AND($F1536&lt;&gt;"",ISNUMBER(SEARCH('Nr rejestracyjny'!$F$5,$F1536))),COUNT($H$1:H1535)+1,"")</f>
        <v>0</v>
      </c>
      <c r="I1536" s="9">
        <f>IF(AND($G1536&lt;&gt;"",ISNUMBER(SEARCH('Nr rejestracyjny'!$F$5,$G1536))),COUNT($I$1:I1535)+1,"")</f>
        <v>0</v>
      </c>
    </row>
    <row r="1537" spans="6:9">
      <c r="F1537" s="7">
        <f>IF('W rejestracji'!$C$1544="","",'W rejestracji'!$C$1544)</f>
        <v>0</v>
      </c>
      <c r="G1537" s="7">
        <f>IF(Zarejestrowane!$C$1544="","",Zarejestrowane!$C$1544)</f>
        <v>0</v>
      </c>
      <c r="H1537" s="9">
        <f>IF(AND($F1537&lt;&gt;"",ISNUMBER(SEARCH('Nr rejestracyjny'!$F$5,$F1537))),COUNT($H$1:H1536)+1,"")</f>
        <v>0</v>
      </c>
      <c r="I1537" s="9">
        <f>IF(AND($G1537&lt;&gt;"",ISNUMBER(SEARCH('Nr rejestracyjny'!$F$5,$G1537))),COUNT($I$1:I1536)+1,"")</f>
        <v>0</v>
      </c>
    </row>
    <row r="1538" spans="6:9">
      <c r="F1538" s="7">
        <f>IF('W rejestracji'!$C$1545="","",'W rejestracji'!$C$1545)</f>
        <v>0</v>
      </c>
      <c r="G1538" s="7">
        <f>IF(Zarejestrowane!$C$1545="","",Zarejestrowane!$C$1545)</f>
        <v>0</v>
      </c>
      <c r="H1538" s="9">
        <f>IF(AND($F1538&lt;&gt;"",ISNUMBER(SEARCH('Nr rejestracyjny'!$F$5,$F1538))),COUNT($H$1:H1537)+1,"")</f>
        <v>0</v>
      </c>
      <c r="I1538" s="9">
        <f>IF(AND($G1538&lt;&gt;"",ISNUMBER(SEARCH('Nr rejestracyjny'!$F$5,$G1538))),COUNT($I$1:I1537)+1,"")</f>
        <v>0</v>
      </c>
    </row>
    <row r="1539" spans="6:9">
      <c r="F1539" s="7">
        <f>IF('W rejestracji'!$C$1546="","",'W rejestracji'!$C$1546)</f>
        <v>0</v>
      </c>
      <c r="G1539" s="7">
        <f>IF(Zarejestrowane!$C$1546="","",Zarejestrowane!$C$1546)</f>
        <v>0</v>
      </c>
      <c r="H1539" s="9">
        <f>IF(AND($F1539&lt;&gt;"",ISNUMBER(SEARCH('Nr rejestracyjny'!$F$5,$F1539))),COUNT($H$1:H1538)+1,"")</f>
        <v>0</v>
      </c>
      <c r="I1539" s="9">
        <f>IF(AND($G1539&lt;&gt;"",ISNUMBER(SEARCH('Nr rejestracyjny'!$F$5,$G1539))),COUNT($I$1:I1538)+1,"")</f>
        <v>0</v>
      </c>
    </row>
    <row r="1540" spans="6:9">
      <c r="F1540" s="7">
        <f>IF('W rejestracji'!$C$1547="","",'W rejestracji'!$C$1547)</f>
        <v>0</v>
      </c>
      <c r="G1540" s="7">
        <f>IF(Zarejestrowane!$C$1547="","",Zarejestrowane!$C$1547)</f>
        <v>0</v>
      </c>
      <c r="H1540" s="9">
        <f>IF(AND($F1540&lt;&gt;"",ISNUMBER(SEARCH('Nr rejestracyjny'!$F$5,$F1540))),COUNT($H$1:H1539)+1,"")</f>
        <v>0</v>
      </c>
      <c r="I1540" s="9">
        <f>IF(AND($G1540&lt;&gt;"",ISNUMBER(SEARCH('Nr rejestracyjny'!$F$5,$G1540))),COUNT($I$1:I1539)+1,"")</f>
        <v>0</v>
      </c>
    </row>
    <row r="1541" spans="6:9">
      <c r="F1541" s="7">
        <f>IF('W rejestracji'!$C$1548="","",'W rejestracji'!$C$1548)</f>
        <v>0</v>
      </c>
      <c r="G1541" s="7">
        <f>IF(Zarejestrowane!$C$1548="","",Zarejestrowane!$C$1548)</f>
        <v>0</v>
      </c>
      <c r="H1541" s="9">
        <f>IF(AND($F1541&lt;&gt;"",ISNUMBER(SEARCH('Nr rejestracyjny'!$F$5,$F1541))),COUNT($H$1:H1540)+1,"")</f>
        <v>0</v>
      </c>
      <c r="I1541" s="9">
        <f>IF(AND($G1541&lt;&gt;"",ISNUMBER(SEARCH('Nr rejestracyjny'!$F$5,$G1541))),COUNT($I$1:I1540)+1,"")</f>
        <v>0</v>
      </c>
    </row>
    <row r="1542" spans="6:9">
      <c r="F1542" s="7">
        <f>IF('W rejestracji'!$C$1549="","",'W rejestracji'!$C$1549)</f>
        <v>0</v>
      </c>
      <c r="G1542" s="7">
        <f>IF(Zarejestrowane!$C$1549="","",Zarejestrowane!$C$1549)</f>
        <v>0</v>
      </c>
      <c r="H1542" s="9">
        <f>IF(AND($F1542&lt;&gt;"",ISNUMBER(SEARCH('Nr rejestracyjny'!$F$5,$F1542))),COUNT($H$1:H1541)+1,"")</f>
        <v>0</v>
      </c>
      <c r="I1542" s="9">
        <f>IF(AND($G1542&lt;&gt;"",ISNUMBER(SEARCH('Nr rejestracyjny'!$F$5,$G1542))),COUNT($I$1:I1541)+1,"")</f>
        <v>0</v>
      </c>
    </row>
    <row r="1543" spans="6:9">
      <c r="F1543" s="7">
        <f>IF('W rejestracji'!$C$1550="","",'W rejestracji'!$C$1550)</f>
        <v>0</v>
      </c>
      <c r="G1543" s="7">
        <f>IF(Zarejestrowane!$C$1550="","",Zarejestrowane!$C$1550)</f>
        <v>0</v>
      </c>
      <c r="H1543" s="9">
        <f>IF(AND($F1543&lt;&gt;"",ISNUMBER(SEARCH('Nr rejestracyjny'!$F$5,$F1543))),COUNT($H$1:H1542)+1,"")</f>
        <v>0</v>
      </c>
      <c r="I1543" s="9">
        <f>IF(AND($G1543&lt;&gt;"",ISNUMBER(SEARCH('Nr rejestracyjny'!$F$5,$G1543))),COUNT($I$1:I1542)+1,"")</f>
        <v>0</v>
      </c>
    </row>
    <row r="1544" spans="6:9">
      <c r="F1544" s="7">
        <f>IF('W rejestracji'!$C$1551="","",'W rejestracji'!$C$1551)</f>
        <v>0</v>
      </c>
      <c r="G1544" s="7">
        <f>IF(Zarejestrowane!$C$1551="","",Zarejestrowane!$C$1551)</f>
        <v>0</v>
      </c>
      <c r="H1544" s="9">
        <f>IF(AND($F1544&lt;&gt;"",ISNUMBER(SEARCH('Nr rejestracyjny'!$F$5,$F1544))),COUNT($H$1:H1543)+1,"")</f>
        <v>0</v>
      </c>
      <c r="I1544" s="9">
        <f>IF(AND($G1544&lt;&gt;"",ISNUMBER(SEARCH('Nr rejestracyjny'!$F$5,$G1544))),COUNT($I$1:I1543)+1,"")</f>
        <v>0</v>
      </c>
    </row>
    <row r="1545" spans="6:9">
      <c r="F1545" s="7">
        <f>IF('W rejestracji'!$C$1552="","",'W rejestracji'!$C$1552)</f>
        <v>0</v>
      </c>
      <c r="G1545" s="7">
        <f>IF(Zarejestrowane!$C$1552="","",Zarejestrowane!$C$1552)</f>
        <v>0</v>
      </c>
      <c r="H1545" s="9">
        <f>IF(AND($F1545&lt;&gt;"",ISNUMBER(SEARCH('Nr rejestracyjny'!$F$5,$F1545))),COUNT($H$1:H1544)+1,"")</f>
        <v>0</v>
      </c>
      <c r="I1545" s="9">
        <f>IF(AND($G1545&lt;&gt;"",ISNUMBER(SEARCH('Nr rejestracyjny'!$F$5,$G1545))),COUNT($I$1:I1544)+1,"")</f>
        <v>0</v>
      </c>
    </row>
    <row r="1546" spans="6:9">
      <c r="F1546" s="7">
        <f>IF('W rejestracji'!$C$1553="","",'W rejestracji'!$C$1553)</f>
        <v>0</v>
      </c>
      <c r="G1546" s="7">
        <f>IF(Zarejestrowane!$C$1553="","",Zarejestrowane!$C$1553)</f>
        <v>0</v>
      </c>
      <c r="H1546" s="9">
        <f>IF(AND($F1546&lt;&gt;"",ISNUMBER(SEARCH('Nr rejestracyjny'!$F$5,$F1546))),COUNT($H$1:H1545)+1,"")</f>
        <v>0</v>
      </c>
      <c r="I1546" s="9">
        <f>IF(AND($G1546&lt;&gt;"",ISNUMBER(SEARCH('Nr rejestracyjny'!$F$5,$G1546))),COUNT($I$1:I1545)+1,"")</f>
        <v>0</v>
      </c>
    </row>
    <row r="1547" spans="6:9">
      <c r="F1547" s="7">
        <f>IF('W rejestracji'!$C$1554="","",'W rejestracji'!$C$1554)</f>
        <v>0</v>
      </c>
      <c r="G1547" s="7">
        <f>IF(Zarejestrowane!$C$1554="","",Zarejestrowane!$C$1554)</f>
        <v>0</v>
      </c>
      <c r="H1547" s="9">
        <f>IF(AND($F1547&lt;&gt;"",ISNUMBER(SEARCH('Nr rejestracyjny'!$F$5,$F1547))),COUNT($H$1:H1546)+1,"")</f>
        <v>0</v>
      </c>
      <c r="I1547" s="9">
        <f>IF(AND($G1547&lt;&gt;"",ISNUMBER(SEARCH('Nr rejestracyjny'!$F$5,$G1547))),COUNT($I$1:I1546)+1,"")</f>
        <v>0</v>
      </c>
    </row>
    <row r="1548" spans="6:9">
      <c r="F1548" s="7">
        <f>IF('W rejestracji'!$C$1555="","",'W rejestracji'!$C$1555)</f>
        <v>0</v>
      </c>
      <c r="G1548" s="7">
        <f>IF(Zarejestrowane!$C$1555="","",Zarejestrowane!$C$1555)</f>
        <v>0</v>
      </c>
      <c r="H1548" s="9">
        <f>IF(AND($F1548&lt;&gt;"",ISNUMBER(SEARCH('Nr rejestracyjny'!$F$5,$F1548))),COUNT($H$1:H1547)+1,"")</f>
        <v>0</v>
      </c>
      <c r="I1548" s="9">
        <f>IF(AND($G1548&lt;&gt;"",ISNUMBER(SEARCH('Nr rejestracyjny'!$F$5,$G1548))),COUNT($I$1:I1547)+1,"")</f>
        <v>0</v>
      </c>
    </row>
    <row r="1549" spans="6:9">
      <c r="F1549" s="7">
        <f>IF('W rejestracji'!$C$1556="","",'W rejestracji'!$C$1556)</f>
        <v>0</v>
      </c>
      <c r="G1549" s="7">
        <f>IF(Zarejestrowane!$C$1556="","",Zarejestrowane!$C$1556)</f>
        <v>0</v>
      </c>
      <c r="H1549" s="9">
        <f>IF(AND($F1549&lt;&gt;"",ISNUMBER(SEARCH('Nr rejestracyjny'!$F$5,$F1549))),COUNT($H$1:H1548)+1,"")</f>
        <v>0</v>
      </c>
      <c r="I1549" s="9">
        <f>IF(AND($G1549&lt;&gt;"",ISNUMBER(SEARCH('Nr rejestracyjny'!$F$5,$G1549))),COUNT($I$1:I1548)+1,"")</f>
        <v>0</v>
      </c>
    </row>
    <row r="1550" spans="6:9">
      <c r="F1550" s="7">
        <f>IF('W rejestracji'!$C$1557="","",'W rejestracji'!$C$1557)</f>
        <v>0</v>
      </c>
      <c r="G1550" s="7">
        <f>IF(Zarejestrowane!$C$1557="","",Zarejestrowane!$C$1557)</f>
        <v>0</v>
      </c>
      <c r="H1550" s="9">
        <f>IF(AND($F1550&lt;&gt;"",ISNUMBER(SEARCH('Nr rejestracyjny'!$F$5,$F1550))),COUNT($H$1:H1549)+1,"")</f>
        <v>0</v>
      </c>
      <c r="I1550" s="9">
        <f>IF(AND($G1550&lt;&gt;"",ISNUMBER(SEARCH('Nr rejestracyjny'!$F$5,$G1550))),COUNT($I$1:I1549)+1,"")</f>
        <v>0</v>
      </c>
    </row>
    <row r="1551" spans="6:9">
      <c r="F1551" s="7">
        <f>IF('W rejestracji'!$C$1558="","",'W rejestracji'!$C$1558)</f>
        <v>0</v>
      </c>
      <c r="G1551" s="7">
        <f>IF(Zarejestrowane!$C$1558="","",Zarejestrowane!$C$1558)</f>
        <v>0</v>
      </c>
      <c r="H1551" s="9">
        <f>IF(AND($F1551&lt;&gt;"",ISNUMBER(SEARCH('Nr rejestracyjny'!$F$5,$F1551))),COUNT($H$1:H1550)+1,"")</f>
        <v>0</v>
      </c>
      <c r="I1551" s="9">
        <f>IF(AND($G1551&lt;&gt;"",ISNUMBER(SEARCH('Nr rejestracyjny'!$F$5,$G1551))),COUNT($I$1:I1550)+1,"")</f>
        <v>0</v>
      </c>
    </row>
    <row r="1552" spans="6:9">
      <c r="F1552" s="7">
        <f>IF('W rejestracji'!$C$1559="","",'W rejestracji'!$C$1559)</f>
        <v>0</v>
      </c>
      <c r="G1552" s="7">
        <f>IF(Zarejestrowane!$C$1559="","",Zarejestrowane!$C$1559)</f>
        <v>0</v>
      </c>
      <c r="H1552" s="9">
        <f>IF(AND($F1552&lt;&gt;"",ISNUMBER(SEARCH('Nr rejestracyjny'!$F$5,$F1552))),COUNT($H$1:H1551)+1,"")</f>
        <v>0</v>
      </c>
      <c r="I1552" s="9">
        <f>IF(AND($G1552&lt;&gt;"",ISNUMBER(SEARCH('Nr rejestracyjny'!$F$5,$G1552))),COUNT($I$1:I1551)+1,"")</f>
        <v>0</v>
      </c>
    </row>
    <row r="1553" spans="6:9">
      <c r="F1553" s="7">
        <f>IF('W rejestracji'!$C$1560="","",'W rejestracji'!$C$1560)</f>
        <v>0</v>
      </c>
      <c r="G1553" s="7">
        <f>IF(Zarejestrowane!$C$1560="","",Zarejestrowane!$C$1560)</f>
        <v>0</v>
      </c>
      <c r="H1553" s="9">
        <f>IF(AND($F1553&lt;&gt;"",ISNUMBER(SEARCH('Nr rejestracyjny'!$F$5,$F1553))),COUNT($H$1:H1552)+1,"")</f>
        <v>0</v>
      </c>
      <c r="I1553" s="9">
        <f>IF(AND($G1553&lt;&gt;"",ISNUMBER(SEARCH('Nr rejestracyjny'!$F$5,$G1553))),COUNT($I$1:I1552)+1,"")</f>
        <v>0</v>
      </c>
    </row>
    <row r="1554" spans="6:9">
      <c r="F1554" s="7">
        <f>IF('W rejestracji'!$C$1561="","",'W rejestracji'!$C$1561)</f>
        <v>0</v>
      </c>
      <c r="G1554" s="7">
        <f>IF(Zarejestrowane!$C$1561="","",Zarejestrowane!$C$1561)</f>
        <v>0</v>
      </c>
      <c r="H1554" s="9">
        <f>IF(AND($F1554&lt;&gt;"",ISNUMBER(SEARCH('Nr rejestracyjny'!$F$5,$F1554))),COUNT($H$1:H1553)+1,"")</f>
        <v>0</v>
      </c>
      <c r="I1554" s="9">
        <f>IF(AND($G1554&lt;&gt;"",ISNUMBER(SEARCH('Nr rejestracyjny'!$F$5,$G1554))),COUNT($I$1:I1553)+1,"")</f>
        <v>0</v>
      </c>
    </row>
    <row r="1555" spans="6:9">
      <c r="F1555" s="7">
        <f>IF('W rejestracji'!$C$1562="","",'W rejestracji'!$C$1562)</f>
        <v>0</v>
      </c>
      <c r="G1555" s="7">
        <f>IF(Zarejestrowane!$C$1562="","",Zarejestrowane!$C$1562)</f>
        <v>0</v>
      </c>
      <c r="H1555" s="9">
        <f>IF(AND($F1555&lt;&gt;"",ISNUMBER(SEARCH('Nr rejestracyjny'!$F$5,$F1555))),COUNT($H$1:H1554)+1,"")</f>
        <v>0</v>
      </c>
      <c r="I1555" s="9">
        <f>IF(AND($G1555&lt;&gt;"",ISNUMBER(SEARCH('Nr rejestracyjny'!$F$5,$G1555))),COUNT($I$1:I1554)+1,"")</f>
        <v>0</v>
      </c>
    </row>
    <row r="1556" spans="6:9">
      <c r="F1556" s="7">
        <f>IF('W rejestracji'!$C$1563="","",'W rejestracji'!$C$1563)</f>
        <v>0</v>
      </c>
      <c r="G1556" s="7">
        <f>IF(Zarejestrowane!$C$1563="","",Zarejestrowane!$C$1563)</f>
        <v>0</v>
      </c>
      <c r="H1556" s="9">
        <f>IF(AND($F1556&lt;&gt;"",ISNUMBER(SEARCH('Nr rejestracyjny'!$F$5,$F1556))),COUNT($H$1:H1555)+1,"")</f>
        <v>0</v>
      </c>
      <c r="I1556" s="9">
        <f>IF(AND($G1556&lt;&gt;"",ISNUMBER(SEARCH('Nr rejestracyjny'!$F$5,$G1556))),COUNT($I$1:I1555)+1,"")</f>
        <v>0</v>
      </c>
    </row>
    <row r="1557" spans="6:9">
      <c r="F1557" s="7">
        <f>IF('W rejestracji'!$C$1564="","",'W rejestracji'!$C$1564)</f>
        <v>0</v>
      </c>
      <c r="G1557" s="7">
        <f>IF(Zarejestrowane!$C$1564="","",Zarejestrowane!$C$1564)</f>
        <v>0</v>
      </c>
      <c r="H1557" s="9">
        <f>IF(AND($F1557&lt;&gt;"",ISNUMBER(SEARCH('Nr rejestracyjny'!$F$5,$F1557))),COUNT($H$1:H1556)+1,"")</f>
        <v>0</v>
      </c>
      <c r="I1557" s="9">
        <f>IF(AND($G1557&lt;&gt;"",ISNUMBER(SEARCH('Nr rejestracyjny'!$F$5,$G1557))),COUNT($I$1:I1556)+1,"")</f>
        <v>0</v>
      </c>
    </row>
    <row r="1558" spans="6:9">
      <c r="F1558" s="7">
        <f>IF('W rejestracji'!$C$1565="","",'W rejestracji'!$C$1565)</f>
        <v>0</v>
      </c>
      <c r="G1558" s="7">
        <f>IF(Zarejestrowane!$C$1565="","",Zarejestrowane!$C$1565)</f>
        <v>0</v>
      </c>
      <c r="H1558" s="9">
        <f>IF(AND($F1558&lt;&gt;"",ISNUMBER(SEARCH('Nr rejestracyjny'!$F$5,$F1558))),COUNT($H$1:H1557)+1,"")</f>
        <v>0</v>
      </c>
      <c r="I1558" s="9">
        <f>IF(AND($G1558&lt;&gt;"",ISNUMBER(SEARCH('Nr rejestracyjny'!$F$5,$G1558))),COUNT($I$1:I1557)+1,"")</f>
        <v>0</v>
      </c>
    </row>
    <row r="1559" spans="6:9">
      <c r="F1559" s="7">
        <f>IF('W rejestracji'!$C$1566="","",'W rejestracji'!$C$1566)</f>
        <v>0</v>
      </c>
      <c r="G1559" s="7">
        <f>IF(Zarejestrowane!$C$1566="","",Zarejestrowane!$C$1566)</f>
        <v>0</v>
      </c>
      <c r="H1559" s="9">
        <f>IF(AND($F1559&lt;&gt;"",ISNUMBER(SEARCH('Nr rejestracyjny'!$F$5,$F1559))),COUNT($H$1:H1558)+1,"")</f>
        <v>0</v>
      </c>
      <c r="I1559" s="9">
        <f>IF(AND($G1559&lt;&gt;"",ISNUMBER(SEARCH('Nr rejestracyjny'!$F$5,$G1559))),COUNT($I$1:I1558)+1,"")</f>
        <v>0</v>
      </c>
    </row>
    <row r="1560" spans="6:9">
      <c r="F1560" s="7">
        <f>IF('W rejestracji'!$C$1567="","",'W rejestracji'!$C$1567)</f>
        <v>0</v>
      </c>
      <c r="G1560" s="7">
        <f>IF(Zarejestrowane!$C$1567="","",Zarejestrowane!$C$1567)</f>
        <v>0</v>
      </c>
      <c r="H1560" s="9">
        <f>IF(AND($F1560&lt;&gt;"",ISNUMBER(SEARCH('Nr rejestracyjny'!$F$5,$F1560))),COUNT($H$1:H1559)+1,"")</f>
        <v>0</v>
      </c>
      <c r="I1560" s="9">
        <f>IF(AND($G1560&lt;&gt;"",ISNUMBER(SEARCH('Nr rejestracyjny'!$F$5,$G1560))),COUNT($I$1:I1559)+1,"")</f>
        <v>0</v>
      </c>
    </row>
    <row r="1561" spans="6:9">
      <c r="F1561" s="7">
        <f>IF('W rejestracji'!$C$1568="","",'W rejestracji'!$C$1568)</f>
        <v>0</v>
      </c>
      <c r="G1561" s="7">
        <f>IF(Zarejestrowane!$C$1568="","",Zarejestrowane!$C$1568)</f>
        <v>0</v>
      </c>
      <c r="H1561" s="9">
        <f>IF(AND($F1561&lt;&gt;"",ISNUMBER(SEARCH('Nr rejestracyjny'!$F$5,$F1561))),COUNT($H$1:H1560)+1,"")</f>
        <v>0</v>
      </c>
      <c r="I1561" s="9">
        <f>IF(AND($G1561&lt;&gt;"",ISNUMBER(SEARCH('Nr rejestracyjny'!$F$5,$G1561))),COUNT($I$1:I1560)+1,"")</f>
        <v>0</v>
      </c>
    </row>
    <row r="1562" spans="6:9">
      <c r="F1562" s="7">
        <f>IF('W rejestracji'!$C$1569="","",'W rejestracji'!$C$1569)</f>
        <v>0</v>
      </c>
      <c r="G1562" s="7">
        <f>IF(Zarejestrowane!$C$1569="","",Zarejestrowane!$C$1569)</f>
        <v>0</v>
      </c>
      <c r="H1562" s="9">
        <f>IF(AND($F1562&lt;&gt;"",ISNUMBER(SEARCH('Nr rejestracyjny'!$F$5,$F1562))),COUNT($H$1:H1561)+1,"")</f>
        <v>0</v>
      </c>
      <c r="I1562" s="9">
        <f>IF(AND($G1562&lt;&gt;"",ISNUMBER(SEARCH('Nr rejestracyjny'!$F$5,$G1562))),COUNT($I$1:I1561)+1,"")</f>
        <v>0</v>
      </c>
    </row>
    <row r="1563" spans="6:9">
      <c r="F1563" s="7">
        <f>IF('W rejestracji'!$C$1570="","",'W rejestracji'!$C$1570)</f>
        <v>0</v>
      </c>
      <c r="G1563" s="7">
        <f>IF(Zarejestrowane!$C$1570="","",Zarejestrowane!$C$1570)</f>
        <v>0</v>
      </c>
      <c r="H1563" s="9">
        <f>IF(AND($F1563&lt;&gt;"",ISNUMBER(SEARCH('Nr rejestracyjny'!$F$5,$F1563))),COUNT($H$1:H1562)+1,"")</f>
        <v>0</v>
      </c>
      <c r="I1563" s="9">
        <f>IF(AND($G1563&lt;&gt;"",ISNUMBER(SEARCH('Nr rejestracyjny'!$F$5,$G1563))),COUNT($I$1:I1562)+1,"")</f>
        <v>0</v>
      </c>
    </row>
    <row r="1564" spans="6:9">
      <c r="F1564" s="7">
        <f>IF('W rejestracji'!$C$1571="","",'W rejestracji'!$C$1571)</f>
        <v>0</v>
      </c>
      <c r="G1564" s="7">
        <f>IF(Zarejestrowane!$C$1571="","",Zarejestrowane!$C$1571)</f>
        <v>0</v>
      </c>
      <c r="H1564" s="9">
        <f>IF(AND($F1564&lt;&gt;"",ISNUMBER(SEARCH('Nr rejestracyjny'!$F$5,$F1564))),COUNT($H$1:H1563)+1,"")</f>
        <v>0</v>
      </c>
      <c r="I1564" s="9">
        <f>IF(AND($G1564&lt;&gt;"",ISNUMBER(SEARCH('Nr rejestracyjny'!$F$5,$G1564))),COUNT($I$1:I1563)+1,"")</f>
        <v>0</v>
      </c>
    </row>
    <row r="1565" spans="6:9">
      <c r="F1565" s="7">
        <f>IF('W rejestracji'!$C$1572="","",'W rejestracji'!$C$1572)</f>
        <v>0</v>
      </c>
      <c r="G1565" s="7">
        <f>IF(Zarejestrowane!$C$1572="","",Zarejestrowane!$C$1572)</f>
        <v>0</v>
      </c>
      <c r="H1565" s="9">
        <f>IF(AND($F1565&lt;&gt;"",ISNUMBER(SEARCH('Nr rejestracyjny'!$F$5,$F1565))),COUNT($H$1:H1564)+1,"")</f>
        <v>0</v>
      </c>
      <c r="I1565" s="9">
        <f>IF(AND($G1565&lt;&gt;"",ISNUMBER(SEARCH('Nr rejestracyjny'!$F$5,$G1565))),COUNT($I$1:I1564)+1,"")</f>
        <v>0</v>
      </c>
    </row>
    <row r="1566" spans="6:9">
      <c r="F1566" s="7">
        <f>IF('W rejestracji'!$C$1573="","",'W rejestracji'!$C$1573)</f>
        <v>0</v>
      </c>
      <c r="G1566" s="7">
        <f>IF(Zarejestrowane!$C$1573="","",Zarejestrowane!$C$1573)</f>
        <v>0</v>
      </c>
      <c r="H1566" s="9">
        <f>IF(AND($F1566&lt;&gt;"",ISNUMBER(SEARCH('Nr rejestracyjny'!$F$5,$F1566))),COUNT($H$1:H1565)+1,"")</f>
        <v>0</v>
      </c>
      <c r="I1566" s="9">
        <f>IF(AND($G1566&lt;&gt;"",ISNUMBER(SEARCH('Nr rejestracyjny'!$F$5,$G1566))),COUNT($I$1:I1565)+1,"")</f>
        <v>0</v>
      </c>
    </row>
    <row r="1567" spans="6:9">
      <c r="F1567" s="7">
        <f>IF('W rejestracji'!$C$1574="","",'W rejestracji'!$C$1574)</f>
        <v>0</v>
      </c>
      <c r="G1567" s="7">
        <f>IF(Zarejestrowane!$C$1574="","",Zarejestrowane!$C$1574)</f>
        <v>0</v>
      </c>
      <c r="H1567" s="9">
        <f>IF(AND($F1567&lt;&gt;"",ISNUMBER(SEARCH('Nr rejestracyjny'!$F$5,$F1567))),COUNT($H$1:H1566)+1,"")</f>
        <v>0</v>
      </c>
      <c r="I1567" s="9">
        <f>IF(AND($G1567&lt;&gt;"",ISNUMBER(SEARCH('Nr rejestracyjny'!$F$5,$G1567))),COUNT($I$1:I1566)+1,"")</f>
        <v>0</v>
      </c>
    </row>
    <row r="1568" spans="6:9">
      <c r="F1568" s="7">
        <f>IF('W rejestracji'!$C$1575="","",'W rejestracji'!$C$1575)</f>
        <v>0</v>
      </c>
      <c r="G1568" s="7">
        <f>IF(Zarejestrowane!$C$1575="","",Zarejestrowane!$C$1575)</f>
        <v>0</v>
      </c>
      <c r="H1568" s="9">
        <f>IF(AND($F1568&lt;&gt;"",ISNUMBER(SEARCH('Nr rejestracyjny'!$F$5,$F1568))),COUNT($H$1:H1567)+1,"")</f>
        <v>0</v>
      </c>
      <c r="I1568" s="9">
        <f>IF(AND($G1568&lt;&gt;"",ISNUMBER(SEARCH('Nr rejestracyjny'!$F$5,$G1568))),COUNT($I$1:I1567)+1,"")</f>
        <v>0</v>
      </c>
    </row>
    <row r="1569" spans="6:9">
      <c r="F1569" s="7">
        <f>IF('W rejestracji'!$C$1576="","",'W rejestracji'!$C$1576)</f>
        <v>0</v>
      </c>
      <c r="G1569" s="7">
        <f>IF(Zarejestrowane!$C$1576="","",Zarejestrowane!$C$1576)</f>
        <v>0</v>
      </c>
      <c r="H1569" s="9">
        <f>IF(AND($F1569&lt;&gt;"",ISNUMBER(SEARCH('Nr rejestracyjny'!$F$5,$F1569))),COUNT($H$1:H1568)+1,"")</f>
        <v>0</v>
      </c>
      <c r="I1569" s="9">
        <f>IF(AND($G1569&lt;&gt;"",ISNUMBER(SEARCH('Nr rejestracyjny'!$F$5,$G1569))),COUNT($I$1:I1568)+1,"")</f>
        <v>0</v>
      </c>
    </row>
    <row r="1570" spans="6:9">
      <c r="F1570" s="7">
        <f>IF('W rejestracji'!$C$1577="","",'W rejestracji'!$C$1577)</f>
        <v>0</v>
      </c>
      <c r="G1570" s="7">
        <f>IF(Zarejestrowane!$C$1577="","",Zarejestrowane!$C$1577)</f>
        <v>0</v>
      </c>
      <c r="H1570" s="9">
        <f>IF(AND($F1570&lt;&gt;"",ISNUMBER(SEARCH('Nr rejestracyjny'!$F$5,$F1570))),COUNT($H$1:H1569)+1,"")</f>
        <v>0</v>
      </c>
      <c r="I1570" s="9">
        <f>IF(AND($G1570&lt;&gt;"",ISNUMBER(SEARCH('Nr rejestracyjny'!$F$5,$G1570))),COUNT($I$1:I1569)+1,"")</f>
        <v>0</v>
      </c>
    </row>
    <row r="1571" spans="6:9">
      <c r="F1571" s="7">
        <f>IF('W rejestracji'!$C$1578="","",'W rejestracji'!$C$1578)</f>
        <v>0</v>
      </c>
      <c r="G1571" s="7">
        <f>IF(Zarejestrowane!$C$1578="","",Zarejestrowane!$C$1578)</f>
        <v>0</v>
      </c>
      <c r="H1571" s="9">
        <f>IF(AND($F1571&lt;&gt;"",ISNUMBER(SEARCH('Nr rejestracyjny'!$F$5,$F1571))),COUNT($H$1:H1570)+1,"")</f>
        <v>0</v>
      </c>
      <c r="I1571" s="9">
        <f>IF(AND($G1571&lt;&gt;"",ISNUMBER(SEARCH('Nr rejestracyjny'!$F$5,$G1571))),COUNT($I$1:I1570)+1,"")</f>
        <v>0</v>
      </c>
    </row>
    <row r="1572" spans="6:9">
      <c r="F1572" s="7">
        <f>IF('W rejestracji'!$C$1579="","",'W rejestracji'!$C$1579)</f>
        <v>0</v>
      </c>
      <c r="G1572" s="7">
        <f>IF(Zarejestrowane!$C$1579="","",Zarejestrowane!$C$1579)</f>
        <v>0</v>
      </c>
      <c r="H1572" s="9">
        <f>IF(AND($F1572&lt;&gt;"",ISNUMBER(SEARCH('Nr rejestracyjny'!$F$5,$F1572))),COUNT($H$1:H1571)+1,"")</f>
        <v>0</v>
      </c>
      <c r="I1572" s="9">
        <f>IF(AND($G1572&lt;&gt;"",ISNUMBER(SEARCH('Nr rejestracyjny'!$F$5,$G1572))),COUNT($I$1:I1571)+1,"")</f>
        <v>0</v>
      </c>
    </row>
    <row r="1573" spans="6:9">
      <c r="F1573" s="7">
        <f>IF('W rejestracji'!$C$1580="","",'W rejestracji'!$C$1580)</f>
        <v>0</v>
      </c>
      <c r="G1573" s="7">
        <f>IF(Zarejestrowane!$C$1580="","",Zarejestrowane!$C$1580)</f>
        <v>0</v>
      </c>
      <c r="H1573" s="9">
        <f>IF(AND($F1573&lt;&gt;"",ISNUMBER(SEARCH('Nr rejestracyjny'!$F$5,$F1573))),COUNT($H$1:H1572)+1,"")</f>
        <v>0</v>
      </c>
      <c r="I1573" s="9">
        <f>IF(AND($G1573&lt;&gt;"",ISNUMBER(SEARCH('Nr rejestracyjny'!$F$5,$G1573))),COUNT($I$1:I1572)+1,"")</f>
        <v>0</v>
      </c>
    </row>
    <row r="1574" spans="6:9">
      <c r="F1574" s="7">
        <f>IF('W rejestracji'!$C$1581="","",'W rejestracji'!$C$1581)</f>
        <v>0</v>
      </c>
      <c r="G1574" s="7">
        <f>IF(Zarejestrowane!$C$1581="","",Zarejestrowane!$C$1581)</f>
        <v>0</v>
      </c>
      <c r="H1574" s="9">
        <f>IF(AND($F1574&lt;&gt;"",ISNUMBER(SEARCH('Nr rejestracyjny'!$F$5,$F1574))),COUNT($H$1:H1573)+1,"")</f>
        <v>0</v>
      </c>
      <c r="I1574" s="9">
        <f>IF(AND($G1574&lt;&gt;"",ISNUMBER(SEARCH('Nr rejestracyjny'!$F$5,$G1574))),COUNT($I$1:I1573)+1,"")</f>
        <v>0</v>
      </c>
    </row>
    <row r="1575" spans="6:9">
      <c r="F1575" s="7">
        <f>IF('W rejestracji'!$C$1582="","",'W rejestracji'!$C$1582)</f>
        <v>0</v>
      </c>
      <c r="G1575" s="7">
        <f>IF(Zarejestrowane!$C$1582="","",Zarejestrowane!$C$1582)</f>
        <v>0</v>
      </c>
      <c r="H1575" s="9">
        <f>IF(AND($F1575&lt;&gt;"",ISNUMBER(SEARCH('Nr rejestracyjny'!$F$5,$F1575))),COUNT($H$1:H1574)+1,"")</f>
        <v>0</v>
      </c>
      <c r="I1575" s="9">
        <f>IF(AND($G1575&lt;&gt;"",ISNUMBER(SEARCH('Nr rejestracyjny'!$F$5,$G1575))),COUNT($I$1:I1574)+1,"")</f>
        <v>0</v>
      </c>
    </row>
    <row r="1576" spans="6:9">
      <c r="F1576" s="7">
        <f>IF('W rejestracji'!$C$1583="","",'W rejestracji'!$C$1583)</f>
        <v>0</v>
      </c>
      <c r="G1576" s="7">
        <f>IF(Zarejestrowane!$C$1583="","",Zarejestrowane!$C$1583)</f>
        <v>0</v>
      </c>
      <c r="H1576" s="9">
        <f>IF(AND($F1576&lt;&gt;"",ISNUMBER(SEARCH('Nr rejestracyjny'!$F$5,$F1576))),COUNT($H$1:H1575)+1,"")</f>
        <v>0</v>
      </c>
      <c r="I1576" s="9">
        <f>IF(AND($G1576&lt;&gt;"",ISNUMBER(SEARCH('Nr rejestracyjny'!$F$5,$G1576))),COUNT($I$1:I1575)+1,"")</f>
        <v>0</v>
      </c>
    </row>
    <row r="1577" spans="6:9">
      <c r="F1577" s="7">
        <f>IF('W rejestracji'!$C$1584="","",'W rejestracji'!$C$1584)</f>
        <v>0</v>
      </c>
      <c r="G1577" s="7">
        <f>IF(Zarejestrowane!$C$1584="","",Zarejestrowane!$C$1584)</f>
        <v>0</v>
      </c>
      <c r="H1577" s="9">
        <f>IF(AND($F1577&lt;&gt;"",ISNUMBER(SEARCH('Nr rejestracyjny'!$F$5,$F1577))),COUNT($H$1:H1576)+1,"")</f>
        <v>0</v>
      </c>
      <c r="I1577" s="9">
        <f>IF(AND($G1577&lt;&gt;"",ISNUMBER(SEARCH('Nr rejestracyjny'!$F$5,$G1577))),COUNT($I$1:I1576)+1,"")</f>
        <v>0</v>
      </c>
    </row>
    <row r="1578" spans="6:9">
      <c r="F1578" s="7">
        <f>IF('W rejestracji'!$C$1585="","",'W rejestracji'!$C$1585)</f>
        <v>0</v>
      </c>
      <c r="G1578" s="7">
        <f>IF(Zarejestrowane!$C$1585="","",Zarejestrowane!$C$1585)</f>
        <v>0</v>
      </c>
      <c r="H1578" s="9">
        <f>IF(AND($F1578&lt;&gt;"",ISNUMBER(SEARCH('Nr rejestracyjny'!$F$5,$F1578))),COUNT($H$1:H1577)+1,"")</f>
        <v>0</v>
      </c>
      <c r="I1578" s="9">
        <f>IF(AND($G1578&lt;&gt;"",ISNUMBER(SEARCH('Nr rejestracyjny'!$F$5,$G1578))),COUNT($I$1:I1577)+1,"")</f>
        <v>0</v>
      </c>
    </row>
    <row r="1579" spans="6:9">
      <c r="F1579" s="7">
        <f>IF('W rejestracji'!$C$1586="","",'W rejestracji'!$C$1586)</f>
        <v>0</v>
      </c>
      <c r="G1579" s="7">
        <f>IF(Zarejestrowane!$C$1586="","",Zarejestrowane!$C$1586)</f>
        <v>0</v>
      </c>
      <c r="H1579" s="9">
        <f>IF(AND($F1579&lt;&gt;"",ISNUMBER(SEARCH('Nr rejestracyjny'!$F$5,$F1579))),COUNT($H$1:H1578)+1,"")</f>
        <v>0</v>
      </c>
      <c r="I1579" s="9">
        <f>IF(AND($G1579&lt;&gt;"",ISNUMBER(SEARCH('Nr rejestracyjny'!$F$5,$G1579))),COUNT($I$1:I1578)+1,"")</f>
        <v>0</v>
      </c>
    </row>
    <row r="1580" spans="6:9">
      <c r="F1580" s="7">
        <f>IF('W rejestracji'!$C$1587="","",'W rejestracji'!$C$1587)</f>
        <v>0</v>
      </c>
      <c r="G1580" s="7">
        <f>IF(Zarejestrowane!$C$1587="","",Zarejestrowane!$C$1587)</f>
        <v>0</v>
      </c>
      <c r="H1580" s="9">
        <f>IF(AND($F1580&lt;&gt;"",ISNUMBER(SEARCH('Nr rejestracyjny'!$F$5,$F1580))),COUNT($H$1:H1579)+1,"")</f>
        <v>0</v>
      </c>
      <c r="I1580" s="9">
        <f>IF(AND($G1580&lt;&gt;"",ISNUMBER(SEARCH('Nr rejestracyjny'!$F$5,$G1580))),COUNT($I$1:I1579)+1,"")</f>
        <v>0</v>
      </c>
    </row>
    <row r="1581" spans="6:9">
      <c r="F1581" s="7">
        <f>IF('W rejestracji'!$C$1588="","",'W rejestracji'!$C$1588)</f>
        <v>0</v>
      </c>
      <c r="G1581" s="7">
        <f>IF(Zarejestrowane!$C$1588="","",Zarejestrowane!$C$1588)</f>
        <v>0</v>
      </c>
      <c r="H1581" s="9">
        <f>IF(AND($F1581&lt;&gt;"",ISNUMBER(SEARCH('Nr rejestracyjny'!$F$5,$F1581))),COUNT($H$1:H1580)+1,"")</f>
        <v>0</v>
      </c>
      <c r="I1581" s="9">
        <f>IF(AND($G1581&lt;&gt;"",ISNUMBER(SEARCH('Nr rejestracyjny'!$F$5,$G1581))),COUNT($I$1:I1580)+1,"")</f>
        <v>0</v>
      </c>
    </row>
    <row r="1582" spans="6:9">
      <c r="F1582" s="7">
        <f>IF('W rejestracji'!$C$1589="","",'W rejestracji'!$C$1589)</f>
        <v>0</v>
      </c>
      <c r="G1582" s="7">
        <f>IF(Zarejestrowane!$C$1589="","",Zarejestrowane!$C$1589)</f>
        <v>0</v>
      </c>
      <c r="H1582" s="9">
        <f>IF(AND($F1582&lt;&gt;"",ISNUMBER(SEARCH('Nr rejestracyjny'!$F$5,$F1582))),COUNT($H$1:H1581)+1,"")</f>
        <v>0</v>
      </c>
      <c r="I1582" s="9">
        <f>IF(AND($G1582&lt;&gt;"",ISNUMBER(SEARCH('Nr rejestracyjny'!$F$5,$G1582))),COUNT($I$1:I1581)+1,"")</f>
        <v>0</v>
      </c>
    </row>
    <row r="1583" spans="6:9">
      <c r="F1583" s="7">
        <f>IF('W rejestracji'!$C$1590="","",'W rejestracji'!$C$1590)</f>
        <v>0</v>
      </c>
      <c r="G1583" s="7">
        <f>IF(Zarejestrowane!$C$1590="","",Zarejestrowane!$C$1590)</f>
        <v>0</v>
      </c>
      <c r="H1583" s="9">
        <f>IF(AND($F1583&lt;&gt;"",ISNUMBER(SEARCH('Nr rejestracyjny'!$F$5,$F1583))),COUNT($H$1:H1582)+1,"")</f>
        <v>0</v>
      </c>
      <c r="I1583" s="9">
        <f>IF(AND($G1583&lt;&gt;"",ISNUMBER(SEARCH('Nr rejestracyjny'!$F$5,$G1583))),COUNT($I$1:I1582)+1,"")</f>
        <v>0</v>
      </c>
    </row>
    <row r="1584" spans="6:9">
      <c r="F1584" s="7">
        <f>IF('W rejestracji'!$C$1591="","",'W rejestracji'!$C$1591)</f>
        <v>0</v>
      </c>
      <c r="G1584" s="7">
        <f>IF(Zarejestrowane!$C$1591="","",Zarejestrowane!$C$1591)</f>
        <v>0</v>
      </c>
      <c r="H1584" s="9">
        <f>IF(AND($F1584&lt;&gt;"",ISNUMBER(SEARCH('Nr rejestracyjny'!$F$5,$F1584))),COUNT($H$1:H1583)+1,"")</f>
        <v>0</v>
      </c>
      <c r="I1584" s="9">
        <f>IF(AND($G1584&lt;&gt;"",ISNUMBER(SEARCH('Nr rejestracyjny'!$F$5,$G1584))),COUNT($I$1:I1583)+1,"")</f>
        <v>0</v>
      </c>
    </row>
    <row r="1585" spans="6:9">
      <c r="F1585" s="7">
        <f>IF('W rejestracji'!$C$1592="","",'W rejestracji'!$C$1592)</f>
        <v>0</v>
      </c>
      <c r="G1585" s="7">
        <f>IF(Zarejestrowane!$C$1592="","",Zarejestrowane!$C$1592)</f>
        <v>0</v>
      </c>
      <c r="H1585" s="9">
        <f>IF(AND($F1585&lt;&gt;"",ISNUMBER(SEARCH('Nr rejestracyjny'!$F$5,$F1585))),COUNT($H$1:H1584)+1,"")</f>
        <v>0</v>
      </c>
      <c r="I1585" s="9">
        <f>IF(AND($G1585&lt;&gt;"",ISNUMBER(SEARCH('Nr rejestracyjny'!$F$5,$G1585))),COUNT($I$1:I1584)+1,"")</f>
        <v>0</v>
      </c>
    </row>
    <row r="1586" spans="6:9">
      <c r="F1586" s="7">
        <f>IF('W rejestracji'!$C$1593="","",'W rejestracji'!$C$1593)</f>
        <v>0</v>
      </c>
      <c r="G1586" s="7">
        <f>IF(Zarejestrowane!$C$1593="","",Zarejestrowane!$C$1593)</f>
        <v>0</v>
      </c>
      <c r="H1586" s="9">
        <f>IF(AND($F1586&lt;&gt;"",ISNUMBER(SEARCH('Nr rejestracyjny'!$F$5,$F1586))),COUNT($H$1:H1585)+1,"")</f>
        <v>0</v>
      </c>
      <c r="I1586" s="9">
        <f>IF(AND($G1586&lt;&gt;"",ISNUMBER(SEARCH('Nr rejestracyjny'!$F$5,$G1586))),COUNT($I$1:I1585)+1,"")</f>
        <v>0</v>
      </c>
    </row>
    <row r="1587" spans="6:9">
      <c r="F1587" s="7">
        <f>IF('W rejestracji'!$C$1594="","",'W rejestracji'!$C$1594)</f>
        <v>0</v>
      </c>
      <c r="G1587" s="7">
        <f>IF(Zarejestrowane!$C$1594="","",Zarejestrowane!$C$1594)</f>
        <v>0</v>
      </c>
      <c r="H1587" s="9">
        <f>IF(AND($F1587&lt;&gt;"",ISNUMBER(SEARCH('Nr rejestracyjny'!$F$5,$F1587))),COUNT($H$1:H1586)+1,"")</f>
        <v>0</v>
      </c>
      <c r="I1587" s="9">
        <f>IF(AND($G1587&lt;&gt;"",ISNUMBER(SEARCH('Nr rejestracyjny'!$F$5,$G1587))),COUNT($I$1:I1586)+1,"")</f>
        <v>0</v>
      </c>
    </row>
    <row r="1588" spans="6:9">
      <c r="F1588" s="7">
        <f>IF('W rejestracji'!$C$1595="","",'W rejestracji'!$C$1595)</f>
        <v>0</v>
      </c>
      <c r="G1588" s="7">
        <f>IF(Zarejestrowane!$C$1595="","",Zarejestrowane!$C$1595)</f>
        <v>0</v>
      </c>
      <c r="H1588" s="9">
        <f>IF(AND($F1588&lt;&gt;"",ISNUMBER(SEARCH('Nr rejestracyjny'!$F$5,$F1588))),COUNT($H$1:H1587)+1,"")</f>
        <v>0</v>
      </c>
      <c r="I1588" s="9">
        <f>IF(AND($G1588&lt;&gt;"",ISNUMBER(SEARCH('Nr rejestracyjny'!$F$5,$G1588))),COUNT($I$1:I1587)+1,"")</f>
        <v>0</v>
      </c>
    </row>
    <row r="1589" spans="6:9">
      <c r="F1589" s="7">
        <f>IF('W rejestracji'!$C$1596="","",'W rejestracji'!$C$1596)</f>
        <v>0</v>
      </c>
      <c r="G1589" s="7">
        <f>IF(Zarejestrowane!$C$1596="","",Zarejestrowane!$C$1596)</f>
        <v>0</v>
      </c>
      <c r="H1589" s="9">
        <f>IF(AND($F1589&lt;&gt;"",ISNUMBER(SEARCH('Nr rejestracyjny'!$F$5,$F1589))),COUNT($H$1:H1588)+1,"")</f>
        <v>0</v>
      </c>
      <c r="I1589" s="9">
        <f>IF(AND($G1589&lt;&gt;"",ISNUMBER(SEARCH('Nr rejestracyjny'!$F$5,$G1589))),COUNT($I$1:I1588)+1,"")</f>
        <v>0</v>
      </c>
    </row>
    <row r="1590" spans="6:9">
      <c r="F1590" s="7">
        <f>IF('W rejestracji'!$C$1597="","",'W rejestracji'!$C$1597)</f>
        <v>0</v>
      </c>
      <c r="G1590" s="7">
        <f>IF(Zarejestrowane!$C$1597="","",Zarejestrowane!$C$1597)</f>
        <v>0</v>
      </c>
      <c r="H1590" s="9">
        <f>IF(AND($F1590&lt;&gt;"",ISNUMBER(SEARCH('Nr rejestracyjny'!$F$5,$F1590))),COUNT($H$1:H1589)+1,"")</f>
        <v>0</v>
      </c>
      <c r="I1590" s="9">
        <f>IF(AND($G1590&lt;&gt;"",ISNUMBER(SEARCH('Nr rejestracyjny'!$F$5,$G1590))),COUNT($I$1:I1589)+1,"")</f>
        <v>0</v>
      </c>
    </row>
    <row r="1591" spans="6:9">
      <c r="F1591" s="7">
        <f>IF('W rejestracji'!$C$1598="","",'W rejestracji'!$C$1598)</f>
        <v>0</v>
      </c>
      <c r="G1591" s="7">
        <f>IF(Zarejestrowane!$C$1598="","",Zarejestrowane!$C$1598)</f>
        <v>0</v>
      </c>
      <c r="H1591" s="9">
        <f>IF(AND($F1591&lt;&gt;"",ISNUMBER(SEARCH('Nr rejestracyjny'!$F$5,$F1591))),COUNT($H$1:H1590)+1,"")</f>
        <v>0</v>
      </c>
      <c r="I1591" s="9">
        <f>IF(AND($G1591&lt;&gt;"",ISNUMBER(SEARCH('Nr rejestracyjny'!$F$5,$G1591))),COUNT($I$1:I1590)+1,"")</f>
        <v>0</v>
      </c>
    </row>
    <row r="1592" spans="6:9">
      <c r="F1592" s="7">
        <f>IF('W rejestracji'!$C$1599="","",'W rejestracji'!$C$1599)</f>
        <v>0</v>
      </c>
      <c r="G1592" s="7">
        <f>IF(Zarejestrowane!$C$1599="","",Zarejestrowane!$C$1599)</f>
        <v>0</v>
      </c>
      <c r="H1592" s="9">
        <f>IF(AND($F1592&lt;&gt;"",ISNUMBER(SEARCH('Nr rejestracyjny'!$F$5,$F1592))),COUNT($H$1:H1591)+1,"")</f>
        <v>0</v>
      </c>
      <c r="I1592" s="9">
        <f>IF(AND($G1592&lt;&gt;"",ISNUMBER(SEARCH('Nr rejestracyjny'!$F$5,$G1592))),COUNT($I$1:I1591)+1,"")</f>
        <v>0</v>
      </c>
    </row>
    <row r="1593" spans="6:9">
      <c r="F1593" s="7">
        <f>IF('W rejestracji'!$C$1600="","",'W rejestracji'!$C$1600)</f>
        <v>0</v>
      </c>
      <c r="G1593" s="7">
        <f>IF(Zarejestrowane!$C$1600="","",Zarejestrowane!$C$1600)</f>
        <v>0</v>
      </c>
      <c r="H1593" s="9">
        <f>IF(AND($F1593&lt;&gt;"",ISNUMBER(SEARCH('Nr rejestracyjny'!$F$5,$F1593))),COUNT($H$1:H1592)+1,"")</f>
        <v>0</v>
      </c>
      <c r="I1593" s="9">
        <f>IF(AND($G1593&lt;&gt;"",ISNUMBER(SEARCH('Nr rejestracyjny'!$F$5,$G1593))),COUNT($I$1:I1592)+1,"")</f>
        <v>0</v>
      </c>
    </row>
    <row r="1594" spans="6:9">
      <c r="F1594" s="7">
        <f>IF('W rejestracji'!$C$1601="","",'W rejestracji'!$C$1601)</f>
        <v>0</v>
      </c>
      <c r="G1594" s="7">
        <f>IF(Zarejestrowane!$C$1601="","",Zarejestrowane!$C$1601)</f>
        <v>0</v>
      </c>
      <c r="H1594" s="9">
        <f>IF(AND($F1594&lt;&gt;"",ISNUMBER(SEARCH('Nr rejestracyjny'!$F$5,$F1594))),COUNT($H$1:H1593)+1,"")</f>
        <v>0</v>
      </c>
      <c r="I1594" s="9">
        <f>IF(AND($G1594&lt;&gt;"",ISNUMBER(SEARCH('Nr rejestracyjny'!$F$5,$G1594))),COUNT($I$1:I1593)+1,"")</f>
        <v>0</v>
      </c>
    </row>
    <row r="1595" spans="6:9">
      <c r="F1595" s="7">
        <f>IF('W rejestracji'!$C$1602="","",'W rejestracji'!$C$1602)</f>
        <v>0</v>
      </c>
      <c r="G1595" s="7">
        <f>IF(Zarejestrowane!$C$1602="","",Zarejestrowane!$C$1602)</f>
        <v>0</v>
      </c>
      <c r="H1595" s="9">
        <f>IF(AND($F1595&lt;&gt;"",ISNUMBER(SEARCH('Nr rejestracyjny'!$F$5,$F1595))),COUNT($H$1:H1594)+1,"")</f>
        <v>0</v>
      </c>
      <c r="I1595" s="9">
        <f>IF(AND($G1595&lt;&gt;"",ISNUMBER(SEARCH('Nr rejestracyjny'!$F$5,$G1595))),COUNT($I$1:I1594)+1,"")</f>
        <v>0</v>
      </c>
    </row>
    <row r="1596" spans="6:9">
      <c r="F1596" s="7">
        <f>IF('W rejestracji'!$C$1603="","",'W rejestracji'!$C$1603)</f>
        <v>0</v>
      </c>
      <c r="G1596" s="7">
        <f>IF(Zarejestrowane!$C$1603="","",Zarejestrowane!$C$1603)</f>
        <v>0</v>
      </c>
      <c r="H1596" s="9">
        <f>IF(AND($F1596&lt;&gt;"",ISNUMBER(SEARCH('Nr rejestracyjny'!$F$5,$F1596))),COUNT($H$1:H1595)+1,"")</f>
        <v>0</v>
      </c>
      <c r="I1596" s="9">
        <f>IF(AND($G1596&lt;&gt;"",ISNUMBER(SEARCH('Nr rejestracyjny'!$F$5,$G1596))),COUNT($I$1:I1595)+1,"")</f>
        <v>0</v>
      </c>
    </row>
    <row r="1597" spans="6:9">
      <c r="F1597" s="7">
        <f>IF('W rejestracji'!$C$1604="","",'W rejestracji'!$C$1604)</f>
        <v>0</v>
      </c>
      <c r="G1597" s="7">
        <f>IF(Zarejestrowane!$C$1604="","",Zarejestrowane!$C$1604)</f>
        <v>0</v>
      </c>
      <c r="H1597" s="9">
        <f>IF(AND($F1597&lt;&gt;"",ISNUMBER(SEARCH('Nr rejestracyjny'!$F$5,$F1597))),COUNT($H$1:H1596)+1,"")</f>
        <v>0</v>
      </c>
      <c r="I1597" s="9">
        <f>IF(AND($G1597&lt;&gt;"",ISNUMBER(SEARCH('Nr rejestracyjny'!$F$5,$G1597))),COUNT($I$1:I1596)+1,"")</f>
        <v>0</v>
      </c>
    </row>
    <row r="1598" spans="6:9">
      <c r="F1598" s="7">
        <f>IF('W rejestracji'!$C$1605="","",'W rejestracji'!$C$1605)</f>
        <v>0</v>
      </c>
      <c r="G1598" s="7">
        <f>IF(Zarejestrowane!$C$1605="","",Zarejestrowane!$C$1605)</f>
        <v>0</v>
      </c>
      <c r="H1598" s="9">
        <f>IF(AND($F1598&lt;&gt;"",ISNUMBER(SEARCH('Nr rejestracyjny'!$F$5,$F1598))),COUNT($H$1:H1597)+1,"")</f>
        <v>0</v>
      </c>
      <c r="I1598" s="9">
        <f>IF(AND($G1598&lt;&gt;"",ISNUMBER(SEARCH('Nr rejestracyjny'!$F$5,$G1598))),COUNT($I$1:I1597)+1,"")</f>
        <v>0</v>
      </c>
    </row>
    <row r="1599" spans="6:9">
      <c r="F1599" s="7">
        <f>IF('W rejestracji'!$C$1606="","",'W rejestracji'!$C$1606)</f>
        <v>0</v>
      </c>
      <c r="G1599" s="7">
        <f>IF(Zarejestrowane!$C$1606="","",Zarejestrowane!$C$1606)</f>
        <v>0</v>
      </c>
      <c r="H1599" s="9">
        <f>IF(AND($F1599&lt;&gt;"",ISNUMBER(SEARCH('Nr rejestracyjny'!$F$5,$F1599))),COUNT($H$1:H1598)+1,"")</f>
        <v>0</v>
      </c>
      <c r="I1599" s="9">
        <f>IF(AND($G1599&lt;&gt;"",ISNUMBER(SEARCH('Nr rejestracyjny'!$F$5,$G1599))),COUNT($I$1:I1598)+1,"")</f>
        <v>0</v>
      </c>
    </row>
    <row r="1600" spans="6:9">
      <c r="F1600" s="7">
        <f>IF('W rejestracji'!$C$1607="","",'W rejestracji'!$C$1607)</f>
        <v>0</v>
      </c>
      <c r="G1600" s="7">
        <f>IF(Zarejestrowane!$C$1607="","",Zarejestrowane!$C$1607)</f>
        <v>0</v>
      </c>
      <c r="H1600" s="9">
        <f>IF(AND($F1600&lt;&gt;"",ISNUMBER(SEARCH('Nr rejestracyjny'!$F$5,$F1600))),COUNT($H$1:H1599)+1,"")</f>
        <v>0</v>
      </c>
      <c r="I1600" s="9">
        <f>IF(AND($G1600&lt;&gt;"",ISNUMBER(SEARCH('Nr rejestracyjny'!$F$5,$G1600))),COUNT($I$1:I1599)+1,"")</f>
        <v>0</v>
      </c>
    </row>
    <row r="1601" spans="6:9">
      <c r="F1601" s="7">
        <f>IF('W rejestracji'!$C$1608="","",'W rejestracji'!$C$1608)</f>
        <v>0</v>
      </c>
      <c r="G1601" s="7">
        <f>IF(Zarejestrowane!$C$1608="","",Zarejestrowane!$C$1608)</f>
        <v>0</v>
      </c>
      <c r="H1601" s="9">
        <f>IF(AND($F1601&lt;&gt;"",ISNUMBER(SEARCH('Nr rejestracyjny'!$F$5,$F1601))),COUNT($H$1:H1600)+1,"")</f>
        <v>0</v>
      </c>
      <c r="I1601" s="9">
        <f>IF(AND($G1601&lt;&gt;"",ISNUMBER(SEARCH('Nr rejestracyjny'!$F$5,$G1601))),COUNT($I$1:I1600)+1,"")</f>
        <v>0</v>
      </c>
    </row>
    <row r="1602" spans="6:9">
      <c r="F1602" s="7">
        <f>IF('W rejestracji'!$C$1609="","",'W rejestracji'!$C$1609)</f>
        <v>0</v>
      </c>
      <c r="G1602" s="7">
        <f>IF(Zarejestrowane!$C$1609="","",Zarejestrowane!$C$1609)</f>
        <v>0</v>
      </c>
      <c r="H1602" s="9">
        <f>IF(AND($F1602&lt;&gt;"",ISNUMBER(SEARCH('Nr rejestracyjny'!$F$5,$F1602))),COUNT($H$1:H1601)+1,"")</f>
        <v>0</v>
      </c>
      <c r="I1602" s="9">
        <f>IF(AND($G1602&lt;&gt;"",ISNUMBER(SEARCH('Nr rejestracyjny'!$F$5,$G1602))),COUNT($I$1:I1601)+1,"")</f>
        <v>0</v>
      </c>
    </row>
    <row r="1603" spans="6:9">
      <c r="F1603" s="7">
        <f>IF('W rejestracji'!$C$1610="","",'W rejestracji'!$C$1610)</f>
        <v>0</v>
      </c>
      <c r="G1603" s="7">
        <f>IF(Zarejestrowane!$C$1610="","",Zarejestrowane!$C$1610)</f>
        <v>0</v>
      </c>
      <c r="H1603" s="9">
        <f>IF(AND($F1603&lt;&gt;"",ISNUMBER(SEARCH('Nr rejestracyjny'!$F$5,$F1603))),COUNT($H$1:H1602)+1,"")</f>
        <v>0</v>
      </c>
      <c r="I1603" s="9">
        <f>IF(AND($G1603&lt;&gt;"",ISNUMBER(SEARCH('Nr rejestracyjny'!$F$5,$G1603))),COUNT($I$1:I1602)+1,"")</f>
        <v>0</v>
      </c>
    </row>
    <row r="1604" spans="6:9">
      <c r="F1604" s="7">
        <f>IF('W rejestracji'!$C$1611="","",'W rejestracji'!$C$1611)</f>
        <v>0</v>
      </c>
      <c r="G1604" s="7">
        <f>IF(Zarejestrowane!$C$1611="","",Zarejestrowane!$C$1611)</f>
        <v>0</v>
      </c>
      <c r="H1604" s="9">
        <f>IF(AND($F1604&lt;&gt;"",ISNUMBER(SEARCH('Nr rejestracyjny'!$F$5,$F1604))),COUNT($H$1:H1603)+1,"")</f>
        <v>0</v>
      </c>
      <c r="I1604" s="9">
        <f>IF(AND($G1604&lt;&gt;"",ISNUMBER(SEARCH('Nr rejestracyjny'!$F$5,$G1604))),COUNT($I$1:I1603)+1,"")</f>
        <v>0</v>
      </c>
    </row>
    <row r="1605" spans="6:9">
      <c r="F1605" s="7">
        <f>IF('W rejestracji'!$C$1612="","",'W rejestracji'!$C$1612)</f>
        <v>0</v>
      </c>
      <c r="G1605" s="7">
        <f>IF(Zarejestrowane!$C$1612="","",Zarejestrowane!$C$1612)</f>
        <v>0</v>
      </c>
      <c r="H1605" s="9">
        <f>IF(AND($F1605&lt;&gt;"",ISNUMBER(SEARCH('Nr rejestracyjny'!$F$5,$F1605))),COUNT($H$1:H1604)+1,"")</f>
        <v>0</v>
      </c>
      <c r="I1605" s="9">
        <f>IF(AND($G1605&lt;&gt;"",ISNUMBER(SEARCH('Nr rejestracyjny'!$F$5,$G1605))),COUNT($I$1:I1604)+1,"")</f>
        <v>0</v>
      </c>
    </row>
    <row r="1606" spans="6:9">
      <c r="F1606" s="7">
        <f>IF('W rejestracji'!$C$1613="","",'W rejestracji'!$C$1613)</f>
        <v>0</v>
      </c>
      <c r="G1606" s="7">
        <f>IF(Zarejestrowane!$C$1613="","",Zarejestrowane!$C$1613)</f>
        <v>0</v>
      </c>
      <c r="H1606" s="9">
        <f>IF(AND($F1606&lt;&gt;"",ISNUMBER(SEARCH('Nr rejestracyjny'!$F$5,$F1606))),COUNT($H$1:H1605)+1,"")</f>
        <v>0</v>
      </c>
      <c r="I1606" s="9">
        <f>IF(AND($G1606&lt;&gt;"",ISNUMBER(SEARCH('Nr rejestracyjny'!$F$5,$G1606))),COUNT($I$1:I1605)+1,"")</f>
        <v>0</v>
      </c>
    </row>
    <row r="1607" spans="6:9">
      <c r="F1607" s="7">
        <f>IF('W rejestracji'!$C$1614="","",'W rejestracji'!$C$1614)</f>
        <v>0</v>
      </c>
      <c r="G1607" s="7">
        <f>IF(Zarejestrowane!$C$1614="","",Zarejestrowane!$C$1614)</f>
        <v>0</v>
      </c>
      <c r="H1607" s="9">
        <f>IF(AND($F1607&lt;&gt;"",ISNUMBER(SEARCH('Nr rejestracyjny'!$F$5,$F1607))),COUNT($H$1:H1606)+1,"")</f>
        <v>0</v>
      </c>
      <c r="I1607" s="9">
        <f>IF(AND($G1607&lt;&gt;"",ISNUMBER(SEARCH('Nr rejestracyjny'!$F$5,$G1607))),COUNT($I$1:I1606)+1,"")</f>
        <v>0</v>
      </c>
    </row>
    <row r="1608" spans="6:9">
      <c r="F1608" s="7">
        <f>IF('W rejestracji'!$C$1615="","",'W rejestracji'!$C$1615)</f>
        <v>0</v>
      </c>
      <c r="G1608" s="7">
        <f>IF(Zarejestrowane!$C$1615="","",Zarejestrowane!$C$1615)</f>
        <v>0</v>
      </c>
      <c r="H1608" s="9">
        <f>IF(AND($F1608&lt;&gt;"",ISNUMBER(SEARCH('Nr rejestracyjny'!$F$5,$F1608))),COUNT($H$1:H1607)+1,"")</f>
        <v>0</v>
      </c>
      <c r="I1608" s="9">
        <f>IF(AND($G1608&lt;&gt;"",ISNUMBER(SEARCH('Nr rejestracyjny'!$F$5,$G1608))),COUNT($I$1:I1607)+1,"")</f>
        <v>0</v>
      </c>
    </row>
    <row r="1609" spans="6:9">
      <c r="F1609" s="7">
        <f>IF('W rejestracji'!$C$1616="","",'W rejestracji'!$C$1616)</f>
        <v>0</v>
      </c>
      <c r="G1609" s="7">
        <f>IF(Zarejestrowane!$C$1616="","",Zarejestrowane!$C$1616)</f>
        <v>0</v>
      </c>
      <c r="H1609" s="9">
        <f>IF(AND($F1609&lt;&gt;"",ISNUMBER(SEARCH('Nr rejestracyjny'!$F$5,$F1609))),COUNT($H$1:H1608)+1,"")</f>
        <v>0</v>
      </c>
      <c r="I1609" s="9">
        <f>IF(AND($G1609&lt;&gt;"",ISNUMBER(SEARCH('Nr rejestracyjny'!$F$5,$G1609))),COUNT($I$1:I1608)+1,"")</f>
        <v>0</v>
      </c>
    </row>
    <row r="1610" spans="6:9">
      <c r="F1610" s="7">
        <f>IF('W rejestracji'!$C$1617="","",'W rejestracji'!$C$1617)</f>
        <v>0</v>
      </c>
      <c r="G1610" s="7">
        <f>IF(Zarejestrowane!$C$1617="","",Zarejestrowane!$C$1617)</f>
        <v>0</v>
      </c>
      <c r="H1610" s="9">
        <f>IF(AND($F1610&lt;&gt;"",ISNUMBER(SEARCH('Nr rejestracyjny'!$F$5,$F1610))),COUNT($H$1:H1609)+1,"")</f>
        <v>0</v>
      </c>
      <c r="I1610" s="9">
        <f>IF(AND($G1610&lt;&gt;"",ISNUMBER(SEARCH('Nr rejestracyjny'!$F$5,$G1610))),COUNT($I$1:I1609)+1,"")</f>
        <v>0</v>
      </c>
    </row>
    <row r="1611" spans="6:9">
      <c r="F1611" s="7">
        <f>IF('W rejestracji'!$C$1618="","",'W rejestracji'!$C$1618)</f>
        <v>0</v>
      </c>
      <c r="G1611" s="7">
        <f>IF(Zarejestrowane!$C$1618="","",Zarejestrowane!$C$1618)</f>
        <v>0</v>
      </c>
      <c r="H1611" s="9">
        <f>IF(AND($F1611&lt;&gt;"",ISNUMBER(SEARCH('Nr rejestracyjny'!$F$5,$F1611))),COUNT($H$1:H1610)+1,"")</f>
        <v>0</v>
      </c>
      <c r="I1611" s="9">
        <f>IF(AND($G1611&lt;&gt;"",ISNUMBER(SEARCH('Nr rejestracyjny'!$F$5,$G1611))),COUNT($I$1:I1610)+1,"")</f>
        <v>0</v>
      </c>
    </row>
    <row r="1612" spans="6:9">
      <c r="F1612" s="7">
        <f>IF('W rejestracji'!$C$1619="","",'W rejestracji'!$C$1619)</f>
        <v>0</v>
      </c>
      <c r="G1612" s="7">
        <f>IF(Zarejestrowane!$C$1619="","",Zarejestrowane!$C$1619)</f>
        <v>0</v>
      </c>
      <c r="H1612" s="9">
        <f>IF(AND($F1612&lt;&gt;"",ISNUMBER(SEARCH('Nr rejestracyjny'!$F$5,$F1612))),COUNT($H$1:H1611)+1,"")</f>
        <v>0</v>
      </c>
      <c r="I1612" s="9">
        <f>IF(AND($G1612&lt;&gt;"",ISNUMBER(SEARCH('Nr rejestracyjny'!$F$5,$G1612))),COUNT($I$1:I1611)+1,"")</f>
        <v>0</v>
      </c>
    </row>
    <row r="1613" spans="6:9">
      <c r="F1613" s="7">
        <f>IF('W rejestracji'!$C$1620="","",'W rejestracji'!$C$1620)</f>
        <v>0</v>
      </c>
      <c r="G1613" s="7">
        <f>IF(Zarejestrowane!$C$1620="","",Zarejestrowane!$C$1620)</f>
        <v>0</v>
      </c>
      <c r="H1613" s="9">
        <f>IF(AND($F1613&lt;&gt;"",ISNUMBER(SEARCH('Nr rejestracyjny'!$F$5,$F1613))),COUNT($H$1:H1612)+1,"")</f>
        <v>0</v>
      </c>
      <c r="I1613" s="9">
        <f>IF(AND($G1613&lt;&gt;"",ISNUMBER(SEARCH('Nr rejestracyjny'!$F$5,$G1613))),COUNT($I$1:I1612)+1,"")</f>
        <v>0</v>
      </c>
    </row>
    <row r="1614" spans="6:9">
      <c r="F1614" s="7">
        <f>IF('W rejestracji'!$C$1621="","",'W rejestracji'!$C$1621)</f>
        <v>0</v>
      </c>
      <c r="G1614" s="7">
        <f>IF(Zarejestrowane!$C$1621="","",Zarejestrowane!$C$1621)</f>
        <v>0</v>
      </c>
      <c r="H1614" s="9">
        <f>IF(AND($F1614&lt;&gt;"",ISNUMBER(SEARCH('Nr rejestracyjny'!$F$5,$F1614))),COUNT($H$1:H1613)+1,"")</f>
        <v>0</v>
      </c>
      <c r="I1614" s="9">
        <f>IF(AND($G1614&lt;&gt;"",ISNUMBER(SEARCH('Nr rejestracyjny'!$F$5,$G1614))),COUNT($I$1:I1613)+1,"")</f>
        <v>0</v>
      </c>
    </row>
    <row r="1615" spans="6:9">
      <c r="F1615" s="7">
        <f>IF('W rejestracji'!$C$1622="","",'W rejestracji'!$C$1622)</f>
        <v>0</v>
      </c>
      <c r="G1615" s="7">
        <f>IF(Zarejestrowane!$C$1622="","",Zarejestrowane!$C$1622)</f>
        <v>0</v>
      </c>
      <c r="H1615" s="9">
        <f>IF(AND($F1615&lt;&gt;"",ISNUMBER(SEARCH('Nr rejestracyjny'!$F$5,$F1615))),COUNT($H$1:H1614)+1,"")</f>
        <v>0</v>
      </c>
      <c r="I1615" s="9">
        <f>IF(AND($G1615&lt;&gt;"",ISNUMBER(SEARCH('Nr rejestracyjny'!$F$5,$G1615))),COUNT($I$1:I1614)+1,"")</f>
        <v>0</v>
      </c>
    </row>
    <row r="1616" spans="6:9">
      <c r="F1616" s="7">
        <f>IF('W rejestracji'!$C$1623="","",'W rejestracji'!$C$1623)</f>
        <v>0</v>
      </c>
      <c r="G1616" s="7">
        <f>IF(Zarejestrowane!$C$1623="","",Zarejestrowane!$C$1623)</f>
        <v>0</v>
      </c>
      <c r="H1616" s="9">
        <f>IF(AND($F1616&lt;&gt;"",ISNUMBER(SEARCH('Nr rejestracyjny'!$F$5,$F1616))),COUNT($H$1:H1615)+1,"")</f>
        <v>0</v>
      </c>
      <c r="I1616" s="9">
        <f>IF(AND($G1616&lt;&gt;"",ISNUMBER(SEARCH('Nr rejestracyjny'!$F$5,$G1616))),COUNT($I$1:I1615)+1,"")</f>
        <v>0</v>
      </c>
    </row>
    <row r="1617" spans="6:9">
      <c r="F1617" s="7">
        <f>IF('W rejestracji'!$C$1624="","",'W rejestracji'!$C$1624)</f>
        <v>0</v>
      </c>
      <c r="G1617" s="7">
        <f>IF(Zarejestrowane!$C$1624="","",Zarejestrowane!$C$1624)</f>
        <v>0</v>
      </c>
      <c r="H1617" s="9">
        <f>IF(AND($F1617&lt;&gt;"",ISNUMBER(SEARCH('Nr rejestracyjny'!$F$5,$F1617))),COUNT($H$1:H1616)+1,"")</f>
        <v>0</v>
      </c>
      <c r="I1617" s="9">
        <f>IF(AND($G1617&lt;&gt;"",ISNUMBER(SEARCH('Nr rejestracyjny'!$F$5,$G1617))),COUNT($I$1:I1616)+1,"")</f>
        <v>0</v>
      </c>
    </row>
    <row r="1618" spans="6:9">
      <c r="F1618" s="7">
        <f>IF('W rejestracji'!$C$1625="","",'W rejestracji'!$C$1625)</f>
        <v>0</v>
      </c>
      <c r="G1618" s="7">
        <f>IF(Zarejestrowane!$C$1625="","",Zarejestrowane!$C$1625)</f>
        <v>0</v>
      </c>
      <c r="H1618" s="9">
        <f>IF(AND($F1618&lt;&gt;"",ISNUMBER(SEARCH('Nr rejestracyjny'!$F$5,$F1618))),COUNT($H$1:H1617)+1,"")</f>
        <v>0</v>
      </c>
      <c r="I1618" s="9">
        <f>IF(AND($G1618&lt;&gt;"",ISNUMBER(SEARCH('Nr rejestracyjny'!$F$5,$G1618))),COUNT($I$1:I1617)+1,"")</f>
        <v>0</v>
      </c>
    </row>
    <row r="1619" spans="6:9">
      <c r="F1619" s="7">
        <f>IF('W rejestracji'!$C$1626="","",'W rejestracji'!$C$1626)</f>
        <v>0</v>
      </c>
      <c r="G1619" s="7">
        <f>IF(Zarejestrowane!$C$1626="","",Zarejestrowane!$C$1626)</f>
        <v>0</v>
      </c>
      <c r="H1619" s="9">
        <f>IF(AND($F1619&lt;&gt;"",ISNUMBER(SEARCH('Nr rejestracyjny'!$F$5,$F1619))),COUNT($H$1:H1618)+1,"")</f>
        <v>0</v>
      </c>
      <c r="I1619" s="9">
        <f>IF(AND($G1619&lt;&gt;"",ISNUMBER(SEARCH('Nr rejestracyjny'!$F$5,$G1619))),COUNT($I$1:I1618)+1,"")</f>
        <v>0</v>
      </c>
    </row>
    <row r="1620" spans="6:9">
      <c r="F1620" s="7">
        <f>IF('W rejestracji'!$C$1627="","",'W rejestracji'!$C$1627)</f>
        <v>0</v>
      </c>
      <c r="G1620" s="7">
        <f>IF(Zarejestrowane!$C$1627="","",Zarejestrowane!$C$1627)</f>
        <v>0</v>
      </c>
      <c r="H1620" s="9">
        <f>IF(AND($F1620&lt;&gt;"",ISNUMBER(SEARCH('Nr rejestracyjny'!$F$5,$F1620))),COUNT($H$1:H1619)+1,"")</f>
        <v>0</v>
      </c>
      <c r="I1620" s="9">
        <f>IF(AND($G1620&lt;&gt;"",ISNUMBER(SEARCH('Nr rejestracyjny'!$F$5,$G1620))),COUNT($I$1:I1619)+1,"")</f>
        <v>0</v>
      </c>
    </row>
    <row r="1621" spans="6:9">
      <c r="F1621" s="7">
        <f>IF('W rejestracji'!$C$1628="","",'W rejestracji'!$C$1628)</f>
        <v>0</v>
      </c>
      <c r="G1621" s="7">
        <f>IF(Zarejestrowane!$C$1628="","",Zarejestrowane!$C$1628)</f>
        <v>0</v>
      </c>
      <c r="H1621" s="9">
        <f>IF(AND($F1621&lt;&gt;"",ISNUMBER(SEARCH('Nr rejestracyjny'!$F$5,$F1621))),COUNT($H$1:H1620)+1,"")</f>
        <v>0</v>
      </c>
      <c r="I1621" s="9">
        <f>IF(AND($G1621&lt;&gt;"",ISNUMBER(SEARCH('Nr rejestracyjny'!$F$5,$G1621))),COUNT($I$1:I1620)+1,"")</f>
        <v>0</v>
      </c>
    </row>
    <row r="1622" spans="6:9">
      <c r="F1622" s="7">
        <f>IF('W rejestracji'!$C$1629="","",'W rejestracji'!$C$1629)</f>
        <v>0</v>
      </c>
      <c r="G1622" s="7">
        <f>IF(Zarejestrowane!$C$1629="","",Zarejestrowane!$C$1629)</f>
        <v>0</v>
      </c>
      <c r="H1622" s="9">
        <f>IF(AND($F1622&lt;&gt;"",ISNUMBER(SEARCH('Nr rejestracyjny'!$F$5,$F1622))),COUNT($H$1:H1621)+1,"")</f>
        <v>0</v>
      </c>
      <c r="I1622" s="9">
        <f>IF(AND($G1622&lt;&gt;"",ISNUMBER(SEARCH('Nr rejestracyjny'!$F$5,$G1622))),COUNT($I$1:I1621)+1,"")</f>
        <v>0</v>
      </c>
    </row>
    <row r="1623" spans="6:9">
      <c r="F1623" s="7">
        <f>IF('W rejestracji'!$C$1630="","",'W rejestracji'!$C$1630)</f>
        <v>0</v>
      </c>
      <c r="G1623" s="7">
        <f>IF(Zarejestrowane!$C$1630="","",Zarejestrowane!$C$1630)</f>
        <v>0</v>
      </c>
      <c r="H1623" s="9">
        <f>IF(AND($F1623&lt;&gt;"",ISNUMBER(SEARCH('Nr rejestracyjny'!$F$5,$F1623))),COUNT($H$1:H1622)+1,"")</f>
        <v>0</v>
      </c>
      <c r="I1623" s="9">
        <f>IF(AND($G1623&lt;&gt;"",ISNUMBER(SEARCH('Nr rejestracyjny'!$F$5,$G1623))),COUNT($I$1:I1622)+1,"")</f>
        <v>0</v>
      </c>
    </row>
    <row r="1624" spans="6:9">
      <c r="F1624" s="7">
        <f>IF('W rejestracji'!$C$1631="","",'W rejestracji'!$C$1631)</f>
        <v>0</v>
      </c>
      <c r="G1624" s="7">
        <f>IF(Zarejestrowane!$C$1631="","",Zarejestrowane!$C$1631)</f>
        <v>0</v>
      </c>
      <c r="H1624" s="9">
        <f>IF(AND($F1624&lt;&gt;"",ISNUMBER(SEARCH('Nr rejestracyjny'!$F$5,$F1624))),COUNT($H$1:H1623)+1,"")</f>
        <v>0</v>
      </c>
      <c r="I1624" s="9">
        <f>IF(AND($G1624&lt;&gt;"",ISNUMBER(SEARCH('Nr rejestracyjny'!$F$5,$G1624))),COUNT($I$1:I1623)+1,"")</f>
        <v>0</v>
      </c>
    </row>
    <row r="1625" spans="6:9">
      <c r="F1625" s="7">
        <f>IF('W rejestracji'!$C$1632="","",'W rejestracji'!$C$1632)</f>
        <v>0</v>
      </c>
      <c r="G1625" s="7">
        <f>IF(Zarejestrowane!$C$1632="","",Zarejestrowane!$C$1632)</f>
        <v>0</v>
      </c>
      <c r="H1625" s="9">
        <f>IF(AND($F1625&lt;&gt;"",ISNUMBER(SEARCH('Nr rejestracyjny'!$F$5,$F1625))),COUNT($H$1:H1624)+1,"")</f>
        <v>0</v>
      </c>
      <c r="I1625" s="9">
        <f>IF(AND($G1625&lt;&gt;"",ISNUMBER(SEARCH('Nr rejestracyjny'!$F$5,$G1625))),COUNT($I$1:I1624)+1,"")</f>
        <v>0</v>
      </c>
    </row>
    <row r="1626" spans="6:9">
      <c r="F1626" s="7">
        <f>IF('W rejestracji'!$C$1633="","",'W rejestracji'!$C$1633)</f>
        <v>0</v>
      </c>
      <c r="G1626" s="7">
        <f>IF(Zarejestrowane!$C$1633="","",Zarejestrowane!$C$1633)</f>
        <v>0</v>
      </c>
      <c r="H1626" s="9">
        <f>IF(AND($F1626&lt;&gt;"",ISNUMBER(SEARCH('Nr rejestracyjny'!$F$5,$F1626))),COUNT($H$1:H1625)+1,"")</f>
        <v>0</v>
      </c>
      <c r="I1626" s="9">
        <f>IF(AND($G1626&lt;&gt;"",ISNUMBER(SEARCH('Nr rejestracyjny'!$F$5,$G1626))),COUNT($I$1:I1625)+1,"")</f>
        <v>0</v>
      </c>
    </row>
    <row r="1627" spans="6:9">
      <c r="F1627" s="7">
        <f>IF('W rejestracji'!$C$1634="","",'W rejestracji'!$C$1634)</f>
        <v>0</v>
      </c>
      <c r="G1627" s="7">
        <f>IF(Zarejestrowane!$C$1634="","",Zarejestrowane!$C$1634)</f>
        <v>0</v>
      </c>
      <c r="H1627" s="9">
        <f>IF(AND($F1627&lt;&gt;"",ISNUMBER(SEARCH('Nr rejestracyjny'!$F$5,$F1627))),COUNT($H$1:H1626)+1,"")</f>
        <v>0</v>
      </c>
      <c r="I1627" s="9">
        <f>IF(AND($G1627&lt;&gt;"",ISNUMBER(SEARCH('Nr rejestracyjny'!$F$5,$G1627))),COUNT($I$1:I1626)+1,"")</f>
        <v>0</v>
      </c>
    </row>
    <row r="1628" spans="6:9">
      <c r="F1628" s="7">
        <f>IF('W rejestracji'!$C$1635="","",'W rejestracji'!$C$1635)</f>
        <v>0</v>
      </c>
      <c r="G1628" s="7">
        <f>IF(Zarejestrowane!$C$1635="","",Zarejestrowane!$C$1635)</f>
        <v>0</v>
      </c>
      <c r="H1628" s="9">
        <f>IF(AND($F1628&lt;&gt;"",ISNUMBER(SEARCH('Nr rejestracyjny'!$F$5,$F1628))),COUNT($H$1:H1627)+1,"")</f>
        <v>0</v>
      </c>
      <c r="I1628" s="9">
        <f>IF(AND($G1628&lt;&gt;"",ISNUMBER(SEARCH('Nr rejestracyjny'!$F$5,$G1628))),COUNT($I$1:I1627)+1,"")</f>
        <v>0</v>
      </c>
    </row>
    <row r="1629" spans="6:9">
      <c r="F1629" s="7">
        <f>IF('W rejestracji'!$C$1636="","",'W rejestracji'!$C$1636)</f>
        <v>0</v>
      </c>
      <c r="G1629" s="7">
        <f>IF(Zarejestrowane!$C$1636="","",Zarejestrowane!$C$1636)</f>
        <v>0</v>
      </c>
      <c r="H1629" s="9">
        <f>IF(AND($F1629&lt;&gt;"",ISNUMBER(SEARCH('Nr rejestracyjny'!$F$5,$F1629))),COUNT($H$1:H1628)+1,"")</f>
        <v>0</v>
      </c>
      <c r="I1629" s="9">
        <f>IF(AND($G1629&lt;&gt;"",ISNUMBER(SEARCH('Nr rejestracyjny'!$F$5,$G1629))),COUNT($I$1:I1628)+1,"")</f>
        <v>0</v>
      </c>
    </row>
    <row r="1630" spans="6:9">
      <c r="F1630" s="7">
        <f>IF('W rejestracji'!$C$1637="","",'W rejestracji'!$C$1637)</f>
        <v>0</v>
      </c>
      <c r="G1630" s="7">
        <f>IF(Zarejestrowane!$C$1637="","",Zarejestrowane!$C$1637)</f>
        <v>0</v>
      </c>
      <c r="H1630" s="9">
        <f>IF(AND($F1630&lt;&gt;"",ISNUMBER(SEARCH('Nr rejestracyjny'!$F$5,$F1630))),COUNT($H$1:H1629)+1,"")</f>
        <v>0</v>
      </c>
      <c r="I1630" s="9">
        <f>IF(AND($G1630&lt;&gt;"",ISNUMBER(SEARCH('Nr rejestracyjny'!$F$5,$G1630))),COUNT($I$1:I1629)+1,"")</f>
        <v>0</v>
      </c>
    </row>
    <row r="1631" spans="6:9">
      <c r="F1631" s="7">
        <f>IF('W rejestracji'!$C$1638="","",'W rejestracji'!$C$1638)</f>
        <v>0</v>
      </c>
      <c r="G1631" s="7">
        <f>IF(Zarejestrowane!$C$1638="","",Zarejestrowane!$C$1638)</f>
        <v>0</v>
      </c>
      <c r="H1631" s="9">
        <f>IF(AND($F1631&lt;&gt;"",ISNUMBER(SEARCH('Nr rejestracyjny'!$F$5,$F1631))),COUNT($H$1:H1630)+1,"")</f>
        <v>0</v>
      </c>
      <c r="I1631" s="9">
        <f>IF(AND($G1631&lt;&gt;"",ISNUMBER(SEARCH('Nr rejestracyjny'!$F$5,$G1631))),COUNT($I$1:I1630)+1,"")</f>
        <v>0</v>
      </c>
    </row>
    <row r="1632" spans="6:9">
      <c r="F1632" s="7">
        <f>IF('W rejestracji'!$C$1639="","",'W rejestracji'!$C$1639)</f>
        <v>0</v>
      </c>
      <c r="G1632" s="7">
        <f>IF(Zarejestrowane!$C$1639="","",Zarejestrowane!$C$1639)</f>
        <v>0</v>
      </c>
      <c r="H1632" s="9">
        <f>IF(AND($F1632&lt;&gt;"",ISNUMBER(SEARCH('Nr rejestracyjny'!$F$5,$F1632))),COUNT($H$1:H1631)+1,"")</f>
        <v>0</v>
      </c>
      <c r="I1632" s="9">
        <f>IF(AND($G1632&lt;&gt;"",ISNUMBER(SEARCH('Nr rejestracyjny'!$F$5,$G1632))),COUNT($I$1:I1631)+1,"")</f>
        <v>0</v>
      </c>
    </row>
    <row r="1633" spans="6:9">
      <c r="F1633" s="7">
        <f>IF('W rejestracji'!$C$1640="","",'W rejestracji'!$C$1640)</f>
        <v>0</v>
      </c>
      <c r="G1633" s="7">
        <f>IF(Zarejestrowane!$C$1640="","",Zarejestrowane!$C$1640)</f>
        <v>0</v>
      </c>
      <c r="H1633" s="9">
        <f>IF(AND($F1633&lt;&gt;"",ISNUMBER(SEARCH('Nr rejestracyjny'!$F$5,$F1633))),COUNT($H$1:H1632)+1,"")</f>
        <v>0</v>
      </c>
      <c r="I1633" s="9">
        <f>IF(AND($G1633&lt;&gt;"",ISNUMBER(SEARCH('Nr rejestracyjny'!$F$5,$G1633))),COUNT($I$1:I1632)+1,"")</f>
        <v>0</v>
      </c>
    </row>
    <row r="1634" spans="6:9">
      <c r="F1634" s="7">
        <f>IF('W rejestracji'!$C$1641="","",'W rejestracji'!$C$1641)</f>
        <v>0</v>
      </c>
      <c r="G1634" s="7">
        <f>IF(Zarejestrowane!$C$1641="","",Zarejestrowane!$C$1641)</f>
        <v>0</v>
      </c>
      <c r="H1634" s="9">
        <f>IF(AND($F1634&lt;&gt;"",ISNUMBER(SEARCH('Nr rejestracyjny'!$F$5,$F1634))),COUNT($H$1:H1633)+1,"")</f>
        <v>0</v>
      </c>
      <c r="I1634" s="9">
        <f>IF(AND($G1634&lt;&gt;"",ISNUMBER(SEARCH('Nr rejestracyjny'!$F$5,$G1634))),COUNT($I$1:I1633)+1,"")</f>
        <v>0</v>
      </c>
    </row>
    <row r="1635" spans="6:9">
      <c r="F1635" s="7">
        <f>IF('W rejestracji'!$C$1642="","",'W rejestracji'!$C$1642)</f>
        <v>0</v>
      </c>
      <c r="G1635" s="7">
        <f>IF(Zarejestrowane!$C$1642="","",Zarejestrowane!$C$1642)</f>
        <v>0</v>
      </c>
      <c r="H1635" s="9">
        <f>IF(AND($F1635&lt;&gt;"",ISNUMBER(SEARCH('Nr rejestracyjny'!$F$5,$F1635))),COUNT($H$1:H1634)+1,"")</f>
        <v>0</v>
      </c>
      <c r="I1635" s="9">
        <f>IF(AND($G1635&lt;&gt;"",ISNUMBER(SEARCH('Nr rejestracyjny'!$F$5,$G1635))),COUNT($I$1:I1634)+1,"")</f>
        <v>0</v>
      </c>
    </row>
    <row r="1636" spans="6:9">
      <c r="F1636" s="7">
        <f>IF('W rejestracji'!$C$1643="","",'W rejestracji'!$C$1643)</f>
        <v>0</v>
      </c>
      <c r="G1636" s="7">
        <f>IF(Zarejestrowane!$C$1643="","",Zarejestrowane!$C$1643)</f>
        <v>0</v>
      </c>
      <c r="H1636" s="9">
        <f>IF(AND($F1636&lt;&gt;"",ISNUMBER(SEARCH('Nr rejestracyjny'!$F$5,$F1636))),COUNT($H$1:H1635)+1,"")</f>
        <v>0</v>
      </c>
      <c r="I1636" s="9">
        <f>IF(AND($G1636&lt;&gt;"",ISNUMBER(SEARCH('Nr rejestracyjny'!$F$5,$G1636))),COUNT($I$1:I1635)+1,"")</f>
        <v>0</v>
      </c>
    </row>
    <row r="1637" spans="6:9">
      <c r="F1637" s="7">
        <f>IF('W rejestracji'!$C$1644="","",'W rejestracji'!$C$1644)</f>
        <v>0</v>
      </c>
      <c r="G1637" s="7">
        <f>IF(Zarejestrowane!$C$1644="","",Zarejestrowane!$C$1644)</f>
        <v>0</v>
      </c>
      <c r="H1637" s="9">
        <f>IF(AND($F1637&lt;&gt;"",ISNUMBER(SEARCH('Nr rejestracyjny'!$F$5,$F1637))),COUNT($H$1:H1636)+1,"")</f>
        <v>0</v>
      </c>
      <c r="I1637" s="9">
        <f>IF(AND($G1637&lt;&gt;"",ISNUMBER(SEARCH('Nr rejestracyjny'!$F$5,$G1637))),COUNT($I$1:I1636)+1,"")</f>
        <v>0</v>
      </c>
    </row>
    <row r="1638" spans="6:9">
      <c r="F1638" s="7">
        <f>IF('W rejestracji'!$C$1645="","",'W rejestracji'!$C$1645)</f>
        <v>0</v>
      </c>
      <c r="G1638" s="7">
        <f>IF(Zarejestrowane!$C$1645="","",Zarejestrowane!$C$1645)</f>
        <v>0</v>
      </c>
      <c r="H1638" s="9">
        <f>IF(AND($F1638&lt;&gt;"",ISNUMBER(SEARCH('Nr rejestracyjny'!$F$5,$F1638))),COUNT($H$1:H1637)+1,"")</f>
        <v>0</v>
      </c>
      <c r="I1638" s="9">
        <f>IF(AND($G1638&lt;&gt;"",ISNUMBER(SEARCH('Nr rejestracyjny'!$F$5,$G1638))),COUNT($I$1:I1637)+1,"")</f>
        <v>0</v>
      </c>
    </row>
    <row r="1639" spans="6:9">
      <c r="F1639" s="7">
        <f>IF('W rejestracji'!$C$1646="","",'W rejestracji'!$C$1646)</f>
        <v>0</v>
      </c>
      <c r="G1639" s="7">
        <f>IF(Zarejestrowane!$C$1646="","",Zarejestrowane!$C$1646)</f>
        <v>0</v>
      </c>
      <c r="H1639" s="9">
        <f>IF(AND($F1639&lt;&gt;"",ISNUMBER(SEARCH('Nr rejestracyjny'!$F$5,$F1639))),COUNT($H$1:H1638)+1,"")</f>
        <v>0</v>
      </c>
      <c r="I1639" s="9">
        <f>IF(AND($G1639&lt;&gt;"",ISNUMBER(SEARCH('Nr rejestracyjny'!$F$5,$G1639))),COUNT($I$1:I1638)+1,"")</f>
        <v>0</v>
      </c>
    </row>
    <row r="1640" spans="6:9">
      <c r="F1640" s="7">
        <f>IF('W rejestracji'!$C$1647="","",'W rejestracji'!$C$1647)</f>
        <v>0</v>
      </c>
      <c r="G1640" s="7">
        <f>IF(Zarejestrowane!$C$1647="","",Zarejestrowane!$C$1647)</f>
        <v>0</v>
      </c>
      <c r="H1640" s="9">
        <f>IF(AND($F1640&lt;&gt;"",ISNUMBER(SEARCH('Nr rejestracyjny'!$F$5,$F1640))),COUNT($H$1:H1639)+1,"")</f>
        <v>0</v>
      </c>
      <c r="I1640" s="9">
        <f>IF(AND($G1640&lt;&gt;"",ISNUMBER(SEARCH('Nr rejestracyjny'!$F$5,$G1640))),COUNT($I$1:I1639)+1,"")</f>
        <v>0</v>
      </c>
    </row>
    <row r="1641" spans="6:9">
      <c r="F1641" s="7">
        <f>IF('W rejestracji'!$C$1648="","",'W rejestracji'!$C$1648)</f>
        <v>0</v>
      </c>
      <c r="G1641" s="7">
        <f>IF(Zarejestrowane!$C$1648="","",Zarejestrowane!$C$1648)</f>
        <v>0</v>
      </c>
      <c r="H1641" s="9">
        <f>IF(AND($F1641&lt;&gt;"",ISNUMBER(SEARCH('Nr rejestracyjny'!$F$5,$F1641))),COUNT($H$1:H1640)+1,"")</f>
        <v>0</v>
      </c>
      <c r="I1641" s="9">
        <f>IF(AND($G1641&lt;&gt;"",ISNUMBER(SEARCH('Nr rejestracyjny'!$F$5,$G1641))),COUNT($I$1:I1640)+1,"")</f>
        <v>0</v>
      </c>
    </row>
    <row r="1642" spans="6:9">
      <c r="F1642" s="7">
        <f>IF('W rejestracji'!$C$1649="","",'W rejestracji'!$C$1649)</f>
        <v>0</v>
      </c>
      <c r="G1642" s="7">
        <f>IF(Zarejestrowane!$C$1649="","",Zarejestrowane!$C$1649)</f>
        <v>0</v>
      </c>
      <c r="H1642" s="9">
        <f>IF(AND($F1642&lt;&gt;"",ISNUMBER(SEARCH('Nr rejestracyjny'!$F$5,$F1642))),COUNT($H$1:H1641)+1,"")</f>
        <v>0</v>
      </c>
      <c r="I1642" s="9">
        <f>IF(AND($G1642&lt;&gt;"",ISNUMBER(SEARCH('Nr rejestracyjny'!$F$5,$G1642))),COUNT($I$1:I1641)+1,"")</f>
        <v>0</v>
      </c>
    </row>
    <row r="1643" spans="6:9">
      <c r="F1643" s="7">
        <f>IF('W rejestracji'!$C$1650="","",'W rejestracji'!$C$1650)</f>
        <v>0</v>
      </c>
      <c r="G1643" s="7">
        <f>IF(Zarejestrowane!$C$1650="","",Zarejestrowane!$C$1650)</f>
        <v>0</v>
      </c>
      <c r="H1643" s="9">
        <f>IF(AND($F1643&lt;&gt;"",ISNUMBER(SEARCH('Nr rejestracyjny'!$F$5,$F1643))),COUNT($H$1:H1642)+1,"")</f>
        <v>0</v>
      </c>
      <c r="I1643" s="9">
        <f>IF(AND($G1643&lt;&gt;"",ISNUMBER(SEARCH('Nr rejestracyjny'!$F$5,$G1643))),COUNT($I$1:I1642)+1,"")</f>
        <v>0</v>
      </c>
    </row>
    <row r="1644" spans="6:9">
      <c r="F1644" s="7">
        <f>IF('W rejestracji'!$C$1651="","",'W rejestracji'!$C$1651)</f>
        <v>0</v>
      </c>
      <c r="G1644" s="7">
        <f>IF(Zarejestrowane!$C$1651="","",Zarejestrowane!$C$1651)</f>
        <v>0</v>
      </c>
      <c r="H1644" s="9">
        <f>IF(AND($F1644&lt;&gt;"",ISNUMBER(SEARCH('Nr rejestracyjny'!$F$5,$F1644))),COUNT($H$1:H1643)+1,"")</f>
        <v>0</v>
      </c>
      <c r="I1644" s="9">
        <f>IF(AND($G1644&lt;&gt;"",ISNUMBER(SEARCH('Nr rejestracyjny'!$F$5,$G1644))),COUNT($I$1:I1643)+1,"")</f>
        <v>0</v>
      </c>
    </row>
    <row r="1645" spans="6:9">
      <c r="F1645" s="7">
        <f>IF('W rejestracji'!$C$1652="","",'W rejestracji'!$C$1652)</f>
        <v>0</v>
      </c>
      <c r="G1645" s="7">
        <f>IF(Zarejestrowane!$C$1652="","",Zarejestrowane!$C$1652)</f>
        <v>0</v>
      </c>
      <c r="H1645" s="9">
        <f>IF(AND($F1645&lt;&gt;"",ISNUMBER(SEARCH('Nr rejestracyjny'!$F$5,$F1645))),COUNT($H$1:H1644)+1,"")</f>
        <v>0</v>
      </c>
      <c r="I1645" s="9">
        <f>IF(AND($G1645&lt;&gt;"",ISNUMBER(SEARCH('Nr rejestracyjny'!$F$5,$G1645))),COUNT($I$1:I1644)+1,"")</f>
        <v>0</v>
      </c>
    </row>
    <row r="1646" spans="6:9">
      <c r="F1646" s="7">
        <f>IF('W rejestracji'!$C$1653="","",'W rejestracji'!$C$1653)</f>
        <v>0</v>
      </c>
      <c r="G1646" s="7">
        <f>IF(Zarejestrowane!$C$1653="","",Zarejestrowane!$C$1653)</f>
        <v>0</v>
      </c>
      <c r="H1646" s="9">
        <f>IF(AND($F1646&lt;&gt;"",ISNUMBER(SEARCH('Nr rejestracyjny'!$F$5,$F1646))),COUNT($H$1:H1645)+1,"")</f>
        <v>0</v>
      </c>
      <c r="I1646" s="9">
        <f>IF(AND($G1646&lt;&gt;"",ISNUMBER(SEARCH('Nr rejestracyjny'!$F$5,$G1646))),COUNT($I$1:I1645)+1,"")</f>
        <v>0</v>
      </c>
    </row>
    <row r="1647" spans="6:9">
      <c r="F1647" s="7">
        <f>IF('W rejestracji'!$C$1654="","",'W rejestracji'!$C$1654)</f>
        <v>0</v>
      </c>
      <c r="G1647" s="7">
        <f>IF(Zarejestrowane!$C$1654="","",Zarejestrowane!$C$1654)</f>
        <v>0</v>
      </c>
      <c r="H1647" s="9">
        <f>IF(AND($F1647&lt;&gt;"",ISNUMBER(SEARCH('Nr rejestracyjny'!$F$5,$F1647))),COUNT($H$1:H1646)+1,"")</f>
        <v>0</v>
      </c>
      <c r="I1647" s="9">
        <f>IF(AND($G1647&lt;&gt;"",ISNUMBER(SEARCH('Nr rejestracyjny'!$F$5,$G1647))),COUNT($I$1:I1646)+1,"")</f>
        <v>0</v>
      </c>
    </row>
    <row r="1648" spans="6:9">
      <c r="F1648" s="7">
        <f>IF('W rejestracji'!$C$1655="","",'W rejestracji'!$C$1655)</f>
        <v>0</v>
      </c>
      <c r="G1648" s="7">
        <f>IF(Zarejestrowane!$C$1655="","",Zarejestrowane!$C$1655)</f>
        <v>0</v>
      </c>
      <c r="H1648" s="9">
        <f>IF(AND($F1648&lt;&gt;"",ISNUMBER(SEARCH('Nr rejestracyjny'!$F$5,$F1648))),COUNT($H$1:H1647)+1,"")</f>
        <v>0</v>
      </c>
      <c r="I1648" s="9">
        <f>IF(AND($G1648&lt;&gt;"",ISNUMBER(SEARCH('Nr rejestracyjny'!$F$5,$G1648))),COUNT($I$1:I1647)+1,"")</f>
        <v>0</v>
      </c>
    </row>
    <row r="1649" spans="6:9">
      <c r="F1649" s="7">
        <f>IF('W rejestracji'!$C$1656="","",'W rejestracji'!$C$1656)</f>
        <v>0</v>
      </c>
      <c r="G1649" s="7">
        <f>IF(Zarejestrowane!$C$1656="","",Zarejestrowane!$C$1656)</f>
        <v>0</v>
      </c>
      <c r="H1649" s="9">
        <f>IF(AND($F1649&lt;&gt;"",ISNUMBER(SEARCH('Nr rejestracyjny'!$F$5,$F1649))),COUNT($H$1:H1648)+1,"")</f>
        <v>0</v>
      </c>
      <c r="I1649" s="9">
        <f>IF(AND($G1649&lt;&gt;"",ISNUMBER(SEARCH('Nr rejestracyjny'!$F$5,$G1649))),COUNT($I$1:I1648)+1,"")</f>
        <v>0</v>
      </c>
    </row>
    <row r="1650" spans="6:9">
      <c r="F1650" s="7">
        <f>IF('W rejestracji'!$C$1657="","",'W rejestracji'!$C$1657)</f>
        <v>0</v>
      </c>
      <c r="G1650" s="7">
        <f>IF(Zarejestrowane!$C$1657="","",Zarejestrowane!$C$1657)</f>
        <v>0</v>
      </c>
      <c r="H1650" s="9">
        <f>IF(AND($F1650&lt;&gt;"",ISNUMBER(SEARCH('Nr rejestracyjny'!$F$5,$F1650))),COUNT($H$1:H1649)+1,"")</f>
        <v>0</v>
      </c>
      <c r="I1650" s="9">
        <f>IF(AND($G1650&lt;&gt;"",ISNUMBER(SEARCH('Nr rejestracyjny'!$F$5,$G1650))),COUNT($I$1:I1649)+1,"")</f>
        <v>0</v>
      </c>
    </row>
    <row r="1651" spans="6:9">
      <c r="F1651" s="7">
        <f>IF('W rejestracji'!$C$1658="","",'W rejestracji'!$C$1658)</f>
        <v>0</v>
      </c>
      <c r="G1651" s="7">
        <f>IF(Zarejestrowane!$C$1658="","",Zarejestrowane!$C$1658)</f>
        <v>0</v>
      </c>
      <c r="H1651" s="9">
        <f>IF(AND($F1651&lt;&gt;"",ISNUMBER(SEARCH('Nr rejestracyjny'!$F$5,$F1651))),COUNT($H$1:H1650)+1,"")</f>
        <v>0</v>
      </c>
      <c r="I1651" s="9">
        <f>IF(AND($G1651&lt;&gt;"",ISNUMBER(SEARCH('Nr rejestracyjny'!$F$5,$G1651))),COUNT($I$1:I1650)+1,"")</f>
        <v>0</v>
      </c>
    </row>
    <row r="1652" spans="6:9">
      <c r="F1652" s="7">
        <f>IF('W rejestracji'!$C$1659="","",'W rejestracji'!$C$1659)</f>
        <v>0</v>
      </c>
      <c r="G1652" s="7">
        <f>IF(Zarejestrowane!$C$1659="","",Zarejestrowane!$C$1659)</f>
        <v>0</v>
      </c>
      <c r="H1652" s="9">
        <f>IF(AND($F1652&lt;&gt;"",ISNUMBER(SEARCH('Nr rejestracyjny'!$F$5,$F1652))),COUNT($H$1:H1651)+1,"")</f>
        <v>0</v>
      </c>
      <c r="I1652" s="9">
        <f>IF(AND($G1652&lt;&gt;"",ISNUMBER(SEARCH('Nr rejestracyjny'!$F$5,$G1652))),COUNT($I$1:I1651)+1,"")</f>
        <v>0</v>
      </c>
    </row>
    <row r="1653" spans="6:9">
      <c r="F1653" s="7">
        <f>IF('W rejestracji'!$C$1660="","",'W rejestracji'!$C$1660)</f>
        <v>0</v>
      </c>
      <c r="G1653" s="7">
        <f>IF(Zarejestrowane!$C$1660="","",Zarejestrowane!$C$1660)</f>
        <v>0</v>
      </c>
      <c r="H1653" s="9">
        <f>IF(AND($F1653&lt;&gt;"",ISNUMBER(SEARCH('Nr rejestracyjny'!$F$5,$F1653))),COUNT($H$1:H1652)+1,"")</f>
        <v>0</v>
      </c>
      <c r="I1653" s="9">
        <f>IF(AND($G1653&lt;&gt;"",ISNUMBER(SEARCH('Nr rejestracyjny'!$F$5,$G1653))),COUNT($I$1:I1652)+1,"")</f>
        <v>0</v>
      </c>
    </row>
    <row r="1654" spans="6:9">
      <c r="F1654" s="7">
        <f>IF('W rejestracji'!$C$1661="","",'W rejestracji'!$C$1661)</f>
        <v>0</v>
      </c>
      <c r="G1654" s="7">
        <f>IF(Zarejestrowane!$C$1661="","",Zarejestrowane!$C$1661)</f>
        <v>0</v>
      </c>
      <c r="H1654" s="9">
        <f>IF(AND($F1654&lt;&gt;"",ISNUMBER(SEARCH('Nr rejestracyjny'!$F$5,$F1654))),COUNT($H$1:H1653)+1,"")</f>
        <v>0</v>
      </c>
      <c r="I1654" s="9">
        <f>IF(AND($G1654&lt;&gt;"",ISNUMBER(SEARCH('Nr rejestracyjny'!$F$5,$G1654))),COUNT($I$1:I1653)+1,"")</f>
        <v>0</v>
      </c>
    </row>
    <row r="1655" spans="6:9">
      <c r="F1655" s="7">
        <f>IF('W rejestracji'!$C$1662="","",'W rejestracji'!$C$1662)</f>
        <v>0</v>
      </c>
      <c r="G1655" s="7">
        <f>IF(Zarejestrowane!$C$1662="","",Zarejestrowane!$C$1662)</f>
        <v>0</v>
      </c>
      <c r="H1655" s="9">
        <f>IF(AND($F1655&lt;&gt;"",ISNUMBER(SEARCH('Nr rejestracyjny'!$F$5,$F1655))),COUNT($H$1:H1654)+1,"")</f>
        <v>0</v>
      </c>
      <c r="I1655" s="9">
        <f>IF(AND($G1655&lt;&gt;"",ISNUMBER(SEARCH('Nr rejestracyjny'!$F$5,$G1655))),COUNT($I$1:I1654)+1,"")</f>
        <v>0</v>
      </c>
    </row>
    <row r="1656" spans="6:9">
      <c r="F1656" s="7">
        <f>IF('W rejestracji'!$C$1663="","",'W rejestracji'!$C$1663)</f>
        <v>0</v>
      </c>
      <c r="G1656" s="7">
        <f>IF(Zarejestrowane!$C$1663="","",Zarejestrowane!$C$1663)</f>
        <v>0</v>
      </c>
      <c r="H1656" s="9">
        <f>IF(AND($F1656&lt;&gt;"",ISNUMBER(SEARCH('Nr rejestracyjny'!$F$5,$F1656))),COUNT($H$1:H1655)+1,"")</f>
        <v>0</v>
      </c>
      <c r="I1656" s="9">
        <f>IF(AND($G1656&lt;&gt;"",ISNUMBER(SEARCH('Nr rejestracyjny'!$F$5,$G1656))),COUNT($I$1:I1655)+1,"")</f>
        <v>0</v>
      </c>
    </row>
    <row r="1657" spans="6:9">
      <c r="F1657" s="7">
        <f>IF('W rejestracji'!$C$1664="","",'W rejestracji'!$C$1664)</f>
        <v>0</v>
      </c>
      <c r="G1657" s="7">
        <f>IF(Zarejestrowane!$C$1664="","",Zarejestrowane!$C$1664)</f>
        <v>0</v>
      </c>
      <c r="H1657" s="9">
        <f>IF(AND($F1657&lt;&gt;"",ISNUMBER(SEARCH('Nr rejestracyjny'!$F$5,$F1657))),COUNT($H$1:H1656)+1,"")</f>
        <v>0</v>
      </c>
      <c r="I1657" s="9">
        <f>IF(AND($G1657&lt;&gt;"",ISNUMBER(SEARCH('Nr rejestracyjny'!$F$5,$G1657))),COUNT($I$1:I1656)+1,"")</f>
        <v>0</v>
      </c>
    </row>
    <row r="1658" spans="6:9">
      <c r="F1658" s="7">
        <f>IF('W rejestracji'!$C$1665="","",'W rejestracji'!$C$1665)</f>
        <v>0</v>
      </c>
      <c r="G1658" s="7">
        <f>IF(Zarejestrowane!$C$1665="","",Zarejestrowane!$C$1665)</f>
        <v>0</v>
      </c>
      <c r="H1658" s="9">
        <f>IF(AND($F1658&lt;&gt;"",ISNUMBER(SEARCH('Nr rejestracyjny'!$F$5,$F1658))),COUNT($H$1:H1657)+1,"")</f>
        <v>0</v>
      </c>
      <c r="I1658" s="9">
        <f>IF(AND($G1658&lt;&gt;"",ISNUMBER(SEARCH('Nr rejestracyjny'!$F$5,$G1658))),COUNT($I$1:I1657)+1,"")</f>
        <v>0</v>
      </c>
    </row>
    <row r="1659" spans="6:9">
      <c r="F1659" s="7">
        <f>IF('W rejestracji'!$C$1666="","",'W rejestracji'!$C$1666)</f>
        <v>0</v>
      </c>
      <c r="G1659" s="7">
        <f>IF(Zarejestrowane!$C$1666="","",Zarejestrowane!$C$1666)</f>
        <v>0</v>
      </c>
      <c r="H1659" s="9">
        <f>IF(AND($F1659&lt;&gt;"",ISNUMBER(SEARCH('Nr rejestracyjny'!$F$5,$F1659))),COUNT($H$1:H1658)+1,"")</f>
        <v>0</v>
      </c>
      <c r="I1659" s="9">
        <f>IF(AND($G1659&lt;&gt;"",ISNUMBER(SEARCH('Nr rejestracyjny'!$F$5,$G1659))),COUNT($I$1:I1658)+1,"")</f>
        <v>0</v>
      </c>
    </row>
    <row r="1660" spans="6:9">
      <c r="F1660" s="7">
        <f>IF('W rejestracji'!$C$1667="","",'W rejestracji'!$C$1667)</f>
        <v>0</v>
      </c>
      <c r="G1660" s="7">
        <f>IF(Zarejestrowane!$C$1667="","",Zarejestrowane!$C$1667)</f>
        <v>0</v>
      </c>
      <c r="H1660" s="9">
        <f>IF(AND($F1660&lt;&gt;"",ISNUMBER(SEARCH('Nr rejestracyjny'!$F$5,$F1660))),COUNT($H$1:H1659)+1,"")</f>
        <v>0</v>
      </c>
      <c r="I1660" s="9">
        <f>IF(AND($G1660&lt;&gt;"",ISNUMBER(SEARCH('Nr rejestracyjny'!$F$5,$G1660))),COUNT($I$1:I1659)+1,"")</f>
        <v>0</v>
      </c>
    </row>
    <row r="1661" spans="6:9">
      <c r="F1661" s="7">
        <f>IF('W rejestracji'!$C$1668="","",'W rejestracji'!$C$1668)</f>
        <v>0</v>
      </c>
      <c r="G1661" s="7">
        <f>IF(Zarejestrowane!$C$1668="","",Zarejestrowane!$C$1668)</f>
        <v>0</v>
      </c>
      <c r="H1661" s="9">
        <f>IF(AND($F1661&lt;&gt;"",ISNUMBER(SEARCH('Nr rejestracyjny'!$F$5,$F1661))),COUNT($H$1:H1660)+1,"")</f>
        <v>0</v>
      </c>
      <c r="I1661" s="9">
        <f>IF(AND($G1661&lt;&gt;"",ISNUMBER(SEARCH('Nr rejestracyjny'!$F$5,$G1661))),COUNT($I$1:I1660)+1,"")</f>
        <v>0</v>
      </c>
    </row>
    <row r="1662" spans="6:9">
      <c r="F1662" s="7">
        <f>IF('W rejestracji'!$C$1669="","",'W rejestracji'!$C$1669)</f>
        <v>0</v>
      </c>
      <c r="G1662" s="7">
        <f>IF(Zarejestrowane!$C$1669="","",Zarejestrowane!$C$1669)</f>
        <v>0</v>
      </c>
      <c r="H1662" s="9">
        <f>IF(AND($F1662&lt;&gt;"",ISNUMBER(SEARCH('Nr rejestracyjny'!$F$5,$F1662))),COUNT($H$1:H1661)+1,"")</f>
        <v>0</v>
      </c>
      <c r="I1662" s="9">
        <f>IF(AND($G1662&lt;&gt;"",ISNUMBER(SEARCH('Nr rejestracyjny'!$F$5,$G1662))),COUNT($I$1:I1661)+1,"")</f>
        <v>0</v>
      </c>
    </row>
    <row r="1663" spans="6:9">
      <c r="F1663" s="7">
        <f>IF('W rejestracji'!$C$1670="","",'W rejestracji'!$C$1670)</f>
        <v>0</v>
      </c>
      <c r="G1663" s="7">
        <f>IF(Zarejestrowane!$C$1670="","",Zarejestrowane!$C$1670)</f>
        <v>0</v>
      </c>
      <c r="H1663" s="9">
        <f>IF(AND($F1663&lt;&gt;"",ISNUMBER(SEARCH('Nr rejestracyjny'!$F$5,$F1663))),COUNT($H$1:H1662)+1,"")</f>
        <v>0</v>
      </c>
      <c r="I1663" s="9">
        <f>IF(AND($G1663&lt;&gt;"",ISNUMBER(SEARCH('Nr rejestracyjny'!$F$5,$G1663))),COUNT($I$1:I1662)+1,"")</f>
        <v>0</v>
      </c>
    </row>
    <row r="1664" spans="6:9">
      <c r="F1664" s="7">
        <f>IF('W rejestracji'!$C$1671="","",'W rejestracji'!$C$1671)</f>
        <v>0</v>
      </c>
      <c r="G1664" s="7">
        <f>IF(Zarejestrowane!$C$1671="","",Zarejestrowane!$C$1671)</f>
        <v>0</v>
      </c>
      <c r="H1664" s="9">
        <f>IF(AND($F1664&lt;&gt;"",ISNUMBER(SEARCH('Nr rejestracyjny'!$F$5,$F1664))),COUNT($H$1:H1663)+1,"")</f>
        <v>0</v>
      </c>
      <c r="I1664" s="9">
        <f>IF(AND($G1664&lt;&gt;"",ISNUMBER(SEARCH('Nr rejestracyjny'!$F$5,$G1664))),COUNT($I$1:I1663)+1,"")</f>
        <v>0</v>
      </c>
    </row>
    <row r="1665" spans="6:9">
      <c r="F1665" s="7">
        <f>IF('W rejestracji'!$C$1672="","",'W rejestracji'!$C$1672)</f>
        <v>0</v>
      </c>
      <c r="G1665" s="7">
        <f>IF(Zarejestrowane!$C$1672="","",Zarejestrowane!$C$1672)</f>
        <v>0</v>
      </c>
      <c r="H1665" s="9">
        <f>IF(AND($F1665&lt;&gt;"",ISNUMBER(SEARCH('Nr rejestracyjny'!$F$5,$F1665))),COUNT($H$1:H1664)+1,"")</f>
        <v>0</v>
      </c>
      <c r="I1665" s="9">
        <f>IF(AND($G1665&lt;&gt;"",ISNUMBER(SEARCH('Nr rejestracyjny'!$F$5,$G1665))),COUNT($I$1:I1664)+1,"")</f>
        <v>0</v>
      </c>
    </row>
    <row r="1666" spans="6:9">
      <c r="F1666" s="7">
        <f>IF('W rejestracji'!$C$1673="","",'W rejestracji'!$C$1673)</f>
        <v>0</v>
      </c>
      <c r="G1666" s="7">
        <f>IF(Zarejestrowane!$C$1673="","",Zarejestrowane!$C$1673)</f>
        <v>0</v>
      </c>
      <c r="H1666" s="9">
        <f>IF(AND($F1666&lt;&gt;"",ISNUMBER(SEARCH('Nr rejestracyjny'!$F$5,$F1666))),COUNT($H$1:H1665)+1,"")</f>
        <v>0</v>
      </c>
      <c r="I1666" s="9">
        <f>IF(AND($G1666&lt;&gt;"",ISNUMBER(SEARCH('Nr rejestracyjny'!$F$5,$G1666))),COUNT($I$1:I1665)+1,"")</f>
        <v>0</v>
      </c>
    </row>
    <row r="1667" spans="6:9">
      <c r="F1667" s="7">
        <f>IF('W rejestracji'!$C$1674="","",'W rejestracji'!$C$1674)</f>
        <v>0</v>
      </c>
      <c r="G1667" s="7">
        <f>IF(Zarejestrowane!$C$1674="","",Zarejestrowane!$C$1674)</f>
        <v>0</v>
      </c>
      <c r="H1667" s="9">
        <f>IF(AND($F1667&lt;&gt;"",ISNUMBER(SEARCH('Nr rejestracyjny'!$F$5,$F1667))),COUNT($H$1:H1666)+1,"")</f>
        <v>0</v>
      </c>
      <c r="I1667" s="9">
        <f>IF(AND($G1667&lt;&gt;"",ISNUMBER(SEARCH('Nr rejestracyjny'!$F$5,$G1667))),COUNT($I$1:I1666)+1,"")</f>
        <v>0</v>
      </c>
    </row>
    <row r="1668" spans="6:9">
      <c r="F1668" s="7">
        <f>IF('W rejestracji'!$C$1675="","",'W rejestracji'!$C$1675)</f>
        <v>0</v>
      </c>
      <c r="G1668" s="7">
        <f>IF(Zarejestrowane!$C$1675="","",Zarejestrowane!$C$1675)</f>
        <v>0</v>
      </c>
      <c r="H1668" s="9">
        <f>IF(AND($F1668&lt;&gt;"",ISNUMBER(SEARCH('Nr rejestracyjny'!$F$5,$F1668))),COUNT($H$1:H1667)+1,"")</f>
        <v>0</v>
      </c>
      <c r="I1668" s="9">
        <f>IF(AND($G1668&lt;&gt;"",ISNUMBER(SEARCH('Nr rejestracyjny'!$F$5,$G1668))),COUNT($I$1:I1667)+1,"")</f>
        <v>0</v>
      </c>
    </row>
    <row r="1669" spans="6:9">
      <c r="F1669" s="7">
        <f>IF('W rejestracji'!$C$1676="","",'W rejestracji'!$C$1676)</f>
        <v>0</v>
      </c>
      <c r="G1669" s="7">
        <f>IF(Zarejestrowane!$C$1676="","",Zarejestrowane!$C$1676)</f>
        <v>0</v>
      </c>
      <c r="H1669" s="9">
        <f>IF(AND($F1669&lt;&gt;"",ISNUMBER(SEARCH('Nr rejestracyjny'!$F$5,$F1669))),COUNT($H$1:H1668)+1,"")</f>
        <v>0</v>
      </c>
      <c r="I1669" s="9">
        <f>IF(AND($G1669&lt;&gt;"",ISNUMBER(SEARCH('Nr rejestracyjny'!$F$5,$G1669))),COUNT($I$1:I1668)+1,"")</f>
        <v>0</v>
      </c>
    </row>
    <row r="1670" spans="6:9">
      <c r="F1670" s="7">
        <f>IF('W rejestracji'!$C$1677="","",'W rejestracji'!$C$1677)</f>
        <v>0</v>
      </c>
      <c r="G1670" s="7">
        <f>IF(Zarejestrowane!$C$1677="","",Zarejestrowane!$C$1677)</f>
        <v>0</v>
      </c>
      <c r="H1670" s="9">
        <f>IF(AND($F1670&lt;&gt;"",ISNUMBER(SEARCH('Nr rejestracyjny'!$F$5,$F1670))),COUNT($H$1:H1669)+1,"")</f>
        <v>0</v>
      </c>
      <c r="I1670" s="9">
        <f>IF(AND($G1670&lt;&gt;"",ISNUMBER(SEARCH('Nr rejestracyjny'!$F$5,$G1670))),COUNT($I$1:I1669)+1,"")</f>
        <v>0</v>
      </c>
    </row>
    <row r="1671" spans="6:9">
      <c r="F1671" s="7">
        <f>IF('W rejestracji'!$C$1678="","",'W rejestracji'!$C$1678)</f>
        <v>0</v>
      </c>
      <c r="G1671" s="7">
        <f>IF(Zarejestrowane!$C$1678="","",Zarejestrowane!$C$1678)</f>
        <v>0</v>
      </c>
      <c r="H1671" s="9">
        <f>IF(AND($F1671&lt;&gt;"",ISNUMBER(SEARCH('Nr rejestracyjny'!$F$5,$F1671))),COUNT($H$1:H1670)+1,"")</f>
        <v>0</v>
      </c>
      <c r="I1671" s="9">
        <f>IF(AND($G1671&lt;&gt;"",ISNUMBER(SEARCH('Nr rejestracyjny'!$F$5,$G1671))),COUNT($I$1:I1670)+1,"")</f>
        <v>0</v>
      </c>
    </row>
    <row r="1672" spans="6:9">
      <c r="F1672" s="7">
        <f>IF('W rejestracji'!$C$1679="","",'W rejestracji'!$C$1679)</f>
        <v>0</v>
      </c>
      <c r="G1672" s="7">
        <f>IF(Zarejestrowane!$C$1679="","",Zarejestrowane!$C$1679)</f>
        <v>0</v>
      </c>
      <c r="H1672" s="9">
        <f>IF(AND($F1672&lt;&gt;"",ISNUMBER(SEARCH('Nr rejestracyjny'!$F$5,$F1672))),COUNT($H$1:H1671)+1,"")</f>
        <v>0</v>
      </c>
      <c r="I1672" s="9">
        <f>IF(AND($G1672&lt;&gt;"",ISNUMBER(SEARCH('Nr rejestracyjny'!$F$5,$G1672))),COUNT($I$1:I1671)+1,"")</f>
        <v>0</v>
      </c>
    </row>
    <row r="1673" spans="6:9">
      <c r="F1673" s="7">
        <f>IF('W rejestracji'!$C$1680="","",'W rejestracji'!$C$1680)</f>
        <v>0</v>
      </c>
      <c r="G1673" s="7">
        <f>IF(Zarejestrowane!$C$1680="","",Zarejestrowane!$C$1680)</f>
        <v>0</v>
      </c>
      <c r="H1673" s="9">
        <f>IF(AND($F1673&lt;&gt;"",ISNUMBER(SEARCH('Nr rejestracyjny'!$F$5,$F1673))),COUNT($H$1:H1672)+1,"")</f>
        <v>0</v>
      </c>
      <c r="I1673" s="9">
        <f>IF(AND($G1673&lt;&gt;"",ISNUMBER(SEARCH('Nr rejestracyjny'!$F$5,$G1673))),COUNT($I$1:I1672)+1,"")</f>
        <v>0</v>
      </c>
    </row>
    <row r="1674" spans="6:9">
      <c r="F1674" s="7">
        <f>IF('W rejestracji'!$C$1681="","",'W rejestracji'!$C$1681)</f>
        <v>0</v>
      </c>
      <c r="G1674" s="7">
        <f>IF(Zarejestrowane!$C$1681="","",Zarejestrowane!$C$1681)</f>
        <v>0</v>
      </c>
      <c r="H1674" s="9">
        <f>IF(AND($F1674&lt;&gt;"",ISNUMBER(SEARCH('Nr rejestracyjny'!$F$5,$F1674))),COUNT($H$1:H1673)+1,"")</f>
        <v>0</v>
      </c>
      <c r="I1674" s="9">
        <f>IF(AND($G1674&lt;&gt;"",ISNUMBER(SEARCH('Nr rejestracyjny'!$F$5,$G1674))),COUNT($I$1:I1673)+1,"")</f>
        <v>0</v>
      </c>
    </row>
    <row r="1675" spans="6:9">
      <c r="F1675" s="7">
        <f>IF('W rejestracji'!$C$1682="","",'W rejestracji'!$C$1682)</f>
        <v>0</v>
      </c>
      <c r="G1675" s="7">
        <f>IF(Zarejestrowane!$C$1682="","",Zarejestrowane!$C$1682)</f>
        <v>0</v>
      </c>
      <c r="H1675" s="9">
        <f>IF(AND($F1675&lt;&gt;"",ISNUMBER(SEARCH('Nr rejestracyjny'!$F$5,$F1675))),COUNT($H$1:H1674)+1,"")</f>
        <v>0</v>
      </c>
      <c r="I1675" s="9">
        <f>IF(AND($G1675&lt;&gt;"",ISNUMBER(SEARCH('Nr rejestracyjny'!$F$5,$G1675))),COUNT($I$1:I1674)+1,"")</f>
        <v>0</v>
      </c>
    </row>
    <row r="1676" spans="6:9">
      <c r="F1676" s="7">
        <f>IF('W rejestracji'!$C$1683="","",'W rejestracji'!$C$1683)</f>
        <v>0</v>
      </c>
      <c r="G1676" s="7">
        <f>IF(Zarejestrowane!$C$1683="","",Zarejestrowane!$C$1683)</f>
        <v>0</v>
      </c>
      <c r="H1676" s="9">
        <f>IF(AND($F1676&lt;&gt;"",ISNUMBER(SEARCH('Nr rejestracyjny'!$F$5,$F1676))),COUNT($H$1:H1675)+1,"")</f>
        <v>0</v>
      </c>
      <c r="I1676" s="9">
        <f>IF(AND($G1676&lt;&gt;"",ISNUMBER(SEARCH('Nr rejestracyjny'!$F$5,$G1676))),COUNT($I$1:I1675)+1,"")</f>
        <v>0</v>
      </c>
    </row>
    <row r="1677" spans="6:9">
      <c r="F1677" s="7">
        <f>IF('W rejestracji'!$C$1684="","",'W rejestracji'!$C$1684)</f>
        <v>0</v>
      </c>
      <c r="G1677" s="7">
        <f>IF(Zarejestrowane!$C$1684="","",Zarejestrowane!$C$1684)</f>
        <v>0</v>
      </c>
      <c r="H1677" s="9">
        <f>IF(AND($F1677&lt;&gt;"",ISNUMBER(SEARCH('Nr rejestracyjny'!$F$5,$F1677))),COUNT($H$1:H1676)+1,"")</f>
        <v>0</v>
      </c>
      <c r="I1677" s="9">
        <f>IF(AND($G1677&lt;&gt;"",ISNUMBER(SEARCH('Nr rejestracyjny'!$F$5,$G1677))),COUNT($I$1:I1676)+1,"")</f>
        <v>0</v>
      </c>
    </row>
    <row r="1678" spans="6:9">
      <c r="F1678" s="7">
        <f>IF('W rejestracji'!$C$1685="","",'W rejestracji'!$C$1685)</f>
        <v>0</v>
      </c>
      <c r="G1678" s="7">
        <f>IF(Zarejestrowane!$C$1685="","",Zarejestrowane!$C$1685)</f>
        <v>0</v>
      </c>
      <c r="H1678" s="9">
        <f>IF(AND($F1678&lt;&gt;"",ISNUMBER(SEARCH('Nr rejestracyjny'!$F$5,$F1678))),COUNT($H$1:H1677)+1,"")</f>
        <v>0</v>
      </c>
      <c r="I1678" s="9">
        <f>IF(AND($G1678&lt;&gt;"",ISNUMBER(SEARCH('Nr rejestracyjny'!$F$5,$G1678))),COUNT($I$1:I1677)+1,"")</f>
        <v>0</v>
      </c>
    </row>
    <row r="1679" spans="6:9">
      <c r="F1679" s="7">
        <f>IF('W rejestracji'!$C$1686="","",'W rejestracji'!$C$1686)</f>
        <v>0</v>
      </c>
      <c r="G1679" s="7">
        <f>IF(Zarejestrowane!$C$1686="","",Zarejestrowane!$C$1686)</f>
        <v>0</v>
      </c>
      <c r="H1679" s="9">
        <f>IF(AND($F1679&lt;&gt;"",ISNUMBER(SEARCH('Nr rejestracyjny'!$F$5,$F1679))),COUNT($H$1:H1678)+1,"")</f>
        <v>0</v>
      </c>
      <c r="I1679" s="9">
        <f>IF(AND($G1679&lt;&gt;"",ISNUMBER(SEARCH('Nr rejestracyjny'!$F$5,$G1679))),COUNT($I$1:I1678)+1,"")</f>
        <v>0</v>
      </c>
    </row>
    <row r="1680" spans="6:9">
      <c r="F1680" s="7">
        <f>IF('W rejestracji'!$C$1687="","",'W rejestracji'!$C$1687)</f>
        <v>0</v>
      </c>
      <c r="G1680" s="7">
        <f>IF(Zarejestrowane!$C$1687="","",Zarejestrowane!$C$1687)</f>
        <v>0</v>
      </c>
      <c r="H1680" s="9">
        <f>IF(AND($F1680&lt;&gt;"",ISNUMBER(SEARCH('Nr rejestracyjny'!$F$5,$F1680))),COUNT($H$1:H1679)+1,"")</f>
        <v>0</v>
      </c>
      <c r="I1680" s="9">
        <f>IF(AND($G1680&lt;&gt;"",ISNUMBER(SEARCH('Nr rejestracyjny'!$F$5,$G1680))),COUNT($I$1:I1679)+1,"")</f>
        <v>0</v>
      </c>
    </row>
    <row r="1681" spans="6:9">
      <c r="F1681" s="7">
        <f>IF('W rejestracji'!$C$1688="","",'W rejestracji'!$C$1688)</f>
        <v>0</v>
      </c>
      <c r="G1681" s="7">
        <f>IF(Zarejestrowane!$C$1688="","",Zarejestrowane!$C$1688)</f>
        <v>0</v>
      </c>
      <c r="H1681" s="9">
        <f>IF(AND($F1681&lt;&gt;"",ISNUMBER(SEARCH('Nr rejestracyjny'!$F$5,$F1681))),COUNT($H$1:H1680)+1,"")</f>
        <v>0</v>
      </c>
      <c r="I1681" s="9">
        <f>IF(AND($G1681&lt;&gt;"",ISNUMBER(SEARCH('Nr rejestracyjny'!$F$5,$G1681))),COUNT($I$1:I1680)+1,"")</f>
        <v>0</v>
      </c>
    </row>
    <row r="1682" spans="6:9">
      <c r="F1682" s="7">
        <f>IF('W rejestracji'!$C$1689="","",'W rejestracji'!$C$1689)</f>
        <v>0</v>
      </c>
      <c r="G1682" s="7">
        <f>IF(Zarejestrowane!$C$1689="","",Zarejestrowane!$C$1689)</f>
        <v>0</v>
      </c>
      <c r="H1682" s="9">
        <f>IF(AND($F1682&lt;&gt;"",ISNUMBER(SEARCH('Nr rejestracyjny'!$F$5,$F1682))),COUNT($H$1:H1681)+1,"")</f>
        <v>0</v>
      </c>
      <c r="I1682" s="9">
        <f>IF(AND($G1682&lt;&gt;"",ISNUMBER(SEARCH('Nr rejestracyjny'!$F$5,$G1682))),COUNT($I$1:I1681)+1,"")</f>
        <v>0</v>
      </c>
    </row>
    <row r="1683" spans="6:9">
      <c r="F1683" s="7">
        <f>IF('W rejestracji'!$C$1690="","",'W rejestracji'!$C$1690)</f>
        <v>0</v>
      </c>
      <c r="G1683" s="7">
        <f>IF(Zarejestrowane!$C$1690="","",Zarejestrowane!$C$1690)</f>
        <v>0</v>
      </c>
      <c r="H1683" s="9">
        <f>IF(AND($F1683&lt;&gt;"",ISNUMBER(SEARCH('Nr rejestracyjny'!$F$5,$F1683))),COUNT($H$1:H1682)+1,"")</f>
        <v>0</v>
      </c>
      <c r="I1683" s="9">
        <f>IF(AND($G1683&lt;&gt;"",ISNUMBER(SEARCH('Nr rejestracyjny'!$F$5,$G1683))),COUNT($I$1:I1682)+1,"")</f>
        <v>0</v>
      </c>
    </row>
    <row r="1684" spans="6:9">
      <c r="F1684" s="7">
        <f>IF('W rejestracji'!$C$1691="","",'W rejestracji'!$C$1691)</f>
        <v>0</v>
      </c>
      <c r="G1684" s="7">
        <f>IF(Zarejestrowane!$C$1691="","",Zarejestrowane!$C$1691)</f>
        <v>0</v>
      </c>
      <c r="H1684" s="9">
        <f>IF(AND($F1684&lt;&gt;"",ISNUMBER(SEARCH('Nr rejestracyjny'!$F$5,$F1684))),COUNT($H$1:H1683)+1,"")</f>
        <v>0</v>
      </c>
      <c r="I1684" s="9">
        <f>IF(AND($G1684&lt;&gt;"",ISNUMBER(SEARCH('Nr rejestracyjny'!$F$5,$G1684))),COUNT($I$1:I1683)+1,"")</f>
        <v>0</v>
      </c>
    </row>
    <row r="1685" spans="6:9">
      <c r="F1685" s="7">
        <f>IF('W rejestracji'!$C$1692="","",'W rejestracji'!$C$1692)</f>
        <v>0</v>
      </c>
      <c r="G1685" s="7">
        <f>IF(Zarejestrowane!$C$1692="","",Zarejestrowane!$C$1692)</f>
        <v>0</v>
      </c>
      <c r="H1685" s="9">
        <f>IF(AND($F1685&lt;&gt;"",ISNUMBER(SEARCH('Nr rejestracyjny'!$F$5,$F1685))),COUNT($H$1:H1684)+1,"")</f>
        <v>0</v>
      </c>
      <c r="I1685" s="9">
        <f>IF(AND($G1685&lt;&gt;"",ISNUMBER(SEARCH('Nr rejestracyjny'!$F$5,$G1685))),COUNT($I$1:I1684)+1,"")</f>
        <v>0</v>
      </c>
    </row>
    <row r="1686" spans="6:9">
      <c r="F1686" s="7">
        <f>IF('W rejestracji'!$C$1693="","",'W rejestracji'!$C$1693)</f>
        <v>0</v>
      </c>
      <c r="G1686" s="7">
        <f>IF(Zarejestrowane!$C$1693="","",Zarejestrowane!$C$1693)</f>
        <v>0</v>
      </c>
      <c r="H1686" s="9">
        <f>IF(AND($F1686&lt;&gt;"",ISNUMBER(SEARCH('Nr rejestracyjny'!$F$5,$F1686))),COUNT($H$1:H1685)+1,"")</f>
        <v>0</v>
      </c>
      <c r="I1686" s="9">
        <f>IF(AND($G1686&lt;&gt;"",ISNUMBER(SEARCH('Nr rejestracyjny'!$F$5,$G1686))),COUNT($I$1:I1685)+1,"")</f>
        <v>0</v>
      </c>
    </row>
    <row r="1687" spans="6:9">
      <c r="F1687" s="7">
        <f>IF('W rejestracji'!$C$1694="","",'W rejestracji'!$C$1694)</f>
        <v>0</v>
      </c>
      <c r="G1687" s="7">
        <f>IF(Zarejestrowane!$C$1694="","",Zarejestrowane!$C$1694)</f>
        <v>0</v>
      </c>
      <c r="H1687" s="9">
        <f>IF(AND($F1687&lt;&gt;"",ISNUMBER(SEARCH('Nr rejestracyjny'!$F$5,$F1687))),COUNT($H$1:H1686)+1,"")</f>
        <v>0</v>
      </c>
      <c r="I1687" s="9">
        <f>IF(AND($G1687&lt;&gt;"",ISNUMBER(SEARCH('Nr rejestracyjny'!$F$5,$G1687))),COUNT($I$1:I1686)+1,"")</f>
        <v>0</v>
      </c>
    </row>
    <row r="1688" spans="6:9">
      <c r="F1688" s="7">
        <f>IF('W rejestracji'!$C$1695="","",'W rejestracji'!$C$1695)</f>
        <v>0</v>
      </c>
      <c r="G1688" s="7">
        <f>IF(Zarejestrowane!$C$1695="","",Zarejestrowane!$C$1695)</f>
        <v>0</v>
      </c>
      <c r="H1688" s="9">
        <f>IF(AND($F1688&lt;&gt;"",ISNUMBER(SEARCH('Nr rejestracyjny'!$F$5,$F1688))),COUNT($H$1:H1687)+1,"")</f>
        <v>0</v>
      </c>
      <c r="I1688" s="9">
        <f>IF(AND($G1688&lt;&gt;"",ISNUMBER(SEARCH('Nr rejestracyjny'!$F$5,$G1688))),COUNT($I$1:I1687)+1,"")</f>
        <v>0</v>
      </c>
    </row>
    <row r="1689" spans="6:9">
      <c r="F1689" s="7">
        <f>IF('W rejestracji'!$C$1696="","",'W rejestracji'!$C$1696)</f>
        <v>0</v>
      </c>
      <c r="G1689" s="7">
        <f>IF(Zarejestrowane!$C$1696="","",Zarejestrowane!$C$1696)</f>
        <v>0</v>
      </c>
      <c r="H1689" s="9">
        <f>IF(AND($F1689&lt;&gt;"",ISNUMBER(SEARCH('Nr rejestracyjny'!$F$5,$F1689))),COUNT($H$1:H1688)+1,"")</f>
        <v>0</v>
      </c>
      <c r="I1689" s="9">
        <f>IF(AND($G1689&lt;&gt;"",ISNUMBER(SEARCH('Nr rejestracyjny'!$F$5,$G1689))),COUNT($I$1:I1688)+1,"")</f>
        <v>0</v>
      </c>
    </row>
    <row r="1690" spans="6:9">
      <c r="F1690" s="7">
        <f>IF('W rejestracji'!$C$1697="","",'W rejestracji'!$C$1697)</f>
        <v>0</v>
      </c>
      <c r="G1690" s="7">
        <f>IF(Zarejestrowane!$C$1697="","",Zarejestrowane!$C$1697)</f>
        <v>0</v>
      </c>
      <c r="H1690" s="9">
        <f>IF(AND($F1690&lt;&gt;"",ISNUMBER(SEARCH('Nr rejestracyjny'!$F$5,$F1690))),COUNT($H$1:H1689)+1,"")</f>
        <v>0</v>
      </c>
      <c r="I1690" s="9">
        <f>IF(AND($G1690&lt;&gt;"",ISNUMBER(SEARCH('Nr rejestracyjny'!$F$5,$G1690))),COUNT($I$1:I1689)+1,"")</f>
        <v>0</v>
      </c>
    </row>
    <row r="1691" spans="6:9">
      <c r="F1691" s="7">
        <f>IF('W rejestracji'!$C$1698="","",'W rejestracji'!$C$1698)</f>
        <v>0</v>
      </c>
      <c r="G1691" s="7">
        <f>IF(Zarejestrowane!$C$1698="","",Zarejestrowane!$C$1698)</f>
        <v>0</v>
      </c>
      <c r="H1691" s="9">
        <f>IF(AND($F1691&lt;&gt;"",ISNUMBER(SEARCH('Nr rejestracyjny'!$F$5,$F1691))),COUNT($H$1:H1690)+1,"")</f>
        <v>0</v>
      </c>
      <c r="I1691" s="9">
        <f>IF(AND($G1691&lt;&gt;"",ISNUMBER(SEARCH('Nr rejestracyjny'!$F$5,$G1691))),COUNT($I$1:I1690)+1,"")</f>
        <v>0</v>
      </c>
    </row>
    <row r="1692" spans="6:9">
      <c r="F1692" s="7">
        <f>IF('W rejestracji'!$C$1699="","",'W rejestracji'!$C$1699)</f>
        <v>0</v>
      </c>
      <c r="G1692" s="7">
        <f>IF(Zarejestrowane!$C$1699="","",Zarejestrowane!$C$1699)</f>
        <v>0</v>
      </c>
      <c r="H1692" s="9">
        <f>IF(AND($F1692&lt;&gt;"",ISNUMBER(SEARCH('Nr rejestracyjny'!$F$5,$F1692))),COUNT($H$1:H1691)+1,"")</f>
        <v>0</v>
      </c>
      <c r="I1692" s="9">
        <f>IF(AND($G1692&lt;&gt;"",ISNUMBER(SEARCH('Nr rejestracyjny'!$F$5,$G1692))),COUNT($I$1:I1691)+1,"")</f>
        <v>0</v>
      </c>
    </row>
    <row r="1693" spans="6:9">
      <c r="F1693" s="7">
        <f>IF('W rejestracji'!$C$1700="","",'W rejestracji'!$C$1700)</f>
        <v>0</v>
      </c>
      <c r="G1693" s="7">
        <f>IF(Zarejestrowane!$C$1700="","",Zarejestrowane!$C$1700)</f>
        <v>0</v>
      </c>
      <c r="H1693" s="9">
        <f>IF(AND($F1693&lt;&gt;"",ISNUMBER(SEARCH('Nr rejestracyjny'!$F$5,$F1693))),COUNT($H$1:H1692)+1,"")</f>
        <v>0</v>
      </c>
      <c r="I1693" s="9">
        <f>IF(AND($G1693&lt;&gt;"",ISNUMBER(SEARCH('Nr rejestracyjny'!$F$5,$G1693))),COUNT($I$1:I1692)+1,"")</f>
        <v>0</v>
      </c>
    </row>
    <row r="1694" spans="6:9">
      <c r="F1694" s="7">
        <f>IF('W rejestracji'!$C$1701="","",'W rejestracji'!$C$1701)</f>
        <v>0</v>
      </c>
      <c r="G1694" s="7">
        <f>IF(Zarejestrowane!$C$1701="","",Zarejestrowane!$C$1701)</f>
        <v>0</v>
      </c>
      <c r="H1694" s="9">
        <f>IF(AND($F1694&lt;&gt;"",ISNUMBER(SEARCH('Nr rejestracyjny'!$F$5,$F1694))),COUNT($H$1:H1693)+1,"")</f>
        <v>0</v>
      </c>
      <c r="I1694" s="9">
        <f>IF(AND($G1694&lt;&gt;"",ISNUMBER(SEARCH('Nr rejestracyjny'!$F$5,$G1694))),COUNT($I$1:I1693)+1,"")</f>
        <v>0</v>
      </c>
    </row>
    <row r="1695" spans="6:9">
      <c r="F1695" s="7">
        <f>IF('W rejestracji'!$C$1702="","",'W rejestracji'!$C$1702)</f>
        <v>0</v>
      </c>
      <c r="G1695" s="7">
        <f>IF(Zarejestrowane!$C$1702="","",Zarejestrowane!$C$1702)</f>
        <v>0</v>
      </c>
      <c r="H1695" s="9">
        <f>IF(AND($F1695&lt;&gt;"",ISNUMBER(SEARCH('Nr rejestracyjny'!$F$5,$F1695))),COUNT($H$1:H1694)+1,"")</f>
        <v>0</v>
      </c>
      <c r="I1695" s="9">
        <f>IF(AND($G1695&lt;&gt;"",ISNUMBER(SEARCH('Nr rejestracyjny'!$F$5,$G1695))),COUNT($I$1:I1694)+1,"")</f>
        <v>0</v>
      </c>
    </row>
    <row r="1696" spans="6:9">
      <c r="F1696" s="7">
        <f>IF('W rejestracji'!$C$1703="","",'W rejestracji'!$C$1703)</f>
        <v>0</v>
      </c>
      <c r="G1696" s="7">
        <f>IF(Zarejestrowane!$C$1703="","",Zarejestrowane!$C$1703)</f>
        <v>0</v>
      </c>
      <c r="H1696" s="9">
        <f>IF(AND($F1696&lt;&gt;"",ISNUMBER(SEARCH('Nr rejestracyjny'!$F$5,$F1696))),COUNT($H$1:H1695)+1,"")</f>
        <v>0</v>
      </c>
      <c r="I1696" s="9">
        <f>IF(AND($G1696&lt;&gt;"",ISNUMBER(SEARCH('Nr rejestracyjny'!$F$5,$G1696))),COUNT($I$1:I1695)+1,"")</f>
        <v>0</v>
      </c>
    </row>
    <row r="1697" spans="6:9">
      <c r="F1697" s="7">
        <f>IF('W rejestracji'!$C$1704="","",'W rejestracji'!$C$1704)</f>
        <v>0</v>
      </c>
      <c r="G1697" s="7">
        <f>IF(Zarejestrowane!$C$1704="","",Zarejestrowane!$C$1704)</f>
        <v>0</v>
      </c>
      <c r="H1697" s="9">
        <f>IF(AND($F1697&lt;&gt;"",ISNUMBER(SEARCH('Nr rejestracyjny'!$F$5,$F1697))),COUNT($H$1:H1696)+1,"")</f>
        <v>0</v>
      </c>
      <c r="I1697" s="9">
        <f>IF(AND($G1697&lt;&gt;"",ISNUMBER(SEARCH('Nr rejestracyjny'!$F$5,$G1697))),COUNT($I$1:I1696)+1,"")</f>
        <v>0</v>
      </c>
    </row>
    <row r="1698" spans="6:9">
      <c r="F1698" s="7">
        <f>IF('W rejestracji'!$C$1705="","",'W rejestracji'!$C$1705)</f>
        <v>0</v>
      </c>
      <c r="G1698" s="7">
        <f>IF(Zarejestrowane!$C$1705="","",Zarejestrowane!$C$1705)</f>
        <v>0</v>
      </c>
      <c r="H1698" s="9">
        <f>IF(AND($F1698&lt;&gt;"",ISNUMBER(SEARCH('Nr rejestracyjny'!$F$5,$F1698))),COUNT($H$1:H1697)+1,"")</f>
        <v>0</v>
      </c>
      <c r="I1698" s="9">
        <f>IF(AND($G1698&lt;&gt;"",ISNUMBER(SEARCH('Nr rejestracyjny'!$F$5,$G1698))),COUNT($I$1:I1697)+1,"")</f>
        <v>0</v>
      </c>
    </row>
    <row r="1699" spans="6:9">
      <c r="F1699" s="7">
        <f>IF('W rejestracji'!$C$1706="","",'W rejestracji'!$C$1706)</f>
        <v>0</v>
      </c>
      <c r="G1699" s="7">
        <f>IF(Zarejestrowane!$C$1706="","",Zarejestrowane!$C$1706)</f>
        <v>0</v>
      </c>
      <c r="H1699" s="9">
        <f>IF(AND($F1699&lt;&gt;"",ISNUMBER(SEARCH('Nr rejestracyjny'!$F$5,$F1699))),COUNT($H$1:H1698)+1,"")</f>
        <v>0</v>
      </c>
      <c r="I1699" s="9">
        <f>IF(AND($G1699&lt;&gt;"",ISNUMBER(SEARCH('Nr rejestracyjny'!$F$5,$G1699))),COUNT($I$1:I1698)+1,"")</f>
        <v>0</v>
      </c>
    </row>
    <row r="1700" spans="6:9">
      <c r="F1700" s="7">
        <f>IF('W rejestracji'!$C$1707="","",'W rejestracji'!$C$1707)</f>
        <v>0</v>
      </c>
      <c r="G1700" s="7">
        <f>IF(Zarejestrowane!$C$1707="","",Zarejestrowane!$C$1707)</f>
        <v>0</v>
      </c>
      <c r="H1700" s="9">
        <f>IF(AND($F1700&lt;&gt;"",ISNUMBER(SEARCH('Nr rejestracyjny'!$F$5,$F1700))),COUNT($H$1:H1699)+1,"")</f>
        <v>0</v>
      </c>
      <c r="I1700" s="9">
        <f>IF(AND($G1700&lt;&gt;"",ISNUMBER(SEARCH('Nr rejestracyjny'!$F$5,$G1700))),COUNT($I$1:I1699)+1,"")</f>
        <v>0</v>
      </c>
    </row>
    <row r="1701" spans="6:9">
      <c r="F1701" s="7">
        <f>IF('W rejestracji'!$C$1708="","",'W rejestracji'!$C$1708)</f>
        <v>0</v>
      </c>
      <c r="G1701" s="7">
        <f>IF(Zarejestrowane!$C$1708="","",Zarejestrowane!$C$1708)</f>
        <v>0</v>
      </c>
      <c r="H1701" s="9">
        <f>IF(AND($F1701&lt;&gt;"",ISNUMBER(SEARCH('Nr rejestracyjny'!$F$5,$F1701))),COUNT($H$1:H1700)+1,"")</f>
        <v>0</v>
      </c>
      <c r="I1701" s="9">
        <f>IF(AND($G1701&lt;&gt;"",ISNUMBER(SEARCH('Nr rejestracyjny'!$F$5,$G1701))),COUNT($I$1:I1700)+1,"")</f>
        <v>0</v>
      </c>
    </row>
    <row r="1702" spans="6:9">
      <c r="F1702" s="7">
        <f>IF('W rejestracji'!$C$1709="","",'W rejestracji'!$C$1709)</f>
        <v>0</v>
      </c>
      <c r="G1702" s="7">
        <f>IF(Zarejestrowane!$C$1709="","",Zarejestrowane!$C$1709)</f>
        <v>0</v>
      </c>
      <c r="H1702" s="9">
        <f>IF(AND($F1702&lt;&gt;"",ISNUMBER(SEARCH('Nr rejestracyjny'!$F$5,$F1702))),COUNT($H$1:H1701)+1,"")</f>
        <v>0</v>
      </c>
      <c r="I1702" s="9">
        <f>IF(AND($G1702&lt;&gt;"",ISNUMBER(SEARCH('Nr rejestracyjny'!$F$5,$G1702))),COUNT($I$1:I1701)+1,"")</f>
        <v>0</v>
      </c>
    </row>
    <row r="1703" spans="6:9">
      <c r="F1703" s="7">
        <f>IF('W rejestracji'!$C$1710="","",'W rejestracji'!$C$1710)</f>
        <v>0</v>
      </c>
      <c r="G1703" s="7">
        <f>IF(Zarejestrowane!$C$1710="","",Zarejestrowane!$C$1710)</f>
        <v>0</v>
      </c>
      <c r="H1703" s="9">
        <f>IF(AND($F1703&lt;&gt;"",ISNUMBER(SEARCH('Nr rejestracyjny'!$F$5,$F1703))),COUNT($H$1:H1702)+1,"")</f>
        <v>0</v>
      </c>
      <c r="I1703" s="9">
        <f>IF(AND($G1703&lt;&gt;"",ISNUMBER(SEARCH('Nr rejestracyjny'!$F$5,$G1703))),COUNT($I$1:I1702)+1,"")</f>
        <v>0</v>
      </c>
    </row>
    <row r="1704" spans="6:9">
      <c r="F1704" s="7">
        <f>IF('W rejestracji'!$C$1711="","",'W rejestracji'!$C$1711)</f>
        <v>0</v>
      </c>
      <c r="G1704" s="7">
        <f>IF(Zarejestrowane!$C$1711="","",Zarejestrowane!$C$1711)</f>
        <v>0</v>
      </c>
      <c r="H1704" s="9">
        <f>IF(AND($F1704&lt;&gt;"",ISNUMBER(SEARCH('Nr rejestracyjny'!$F$5,$F1704))),COUNT($H$1:H1703)+1,"")</f>
        <v>0</v>
      </c>
      <c r="I1704" s="9">
        <f>IF(AND($G1704&lt;&gt;"",ISNUMBER(SEARCH('Nr rejestracyjny'!$F$5,$G1704))),COUNT($I$1:I1703)+1,"")</f>
        <v>0</v>
      </c>
    </row>
    <row r="1705" spans="6:9">
      <c r="F1705" s="7">
        <f>IF('W rejestracji'!$C$1712="","",'W rejestracji'!$C$1712)</f>
        <v>0</v>
      </c>
      <c r="G1705" s="7">
        <f>IF(Zarejestrowane!$C$1712="","",Zarejestrowane!$C$1712)</f>
        <v>0</v>
      </c>
      <c r="H1705" s="9">
        <f>IF(AND($F1705&lt;&gt;"",ISNUMBER(SEARCH('Nr rejestracyjny'!$F$5,$F1705))),COUNT($H$1:H1704)+1,"")</f>
        <v>0</v>
      </c>
      <c r="I1705" s="9">
        <f>IF(AND($G1705&lt;&gt;"",ISNUMBER(SEARCH('Nr rejestracyjny'!$F$5,$G1705))),COUNT($I$1:I1704)+1,"")</f>
        <v>0</v>
      </c>
    </row>
    <row r="1706" spans="6:9">
      <c r="F1706" s="7">
        <f>IF('W rejestracji'!$C$1713="","",'W rejestracji'!$C$1713)</f>
        <v>0</v>
      </c>
      <c r="G1706" s="7">
        <f>IF(Zarejestrowane!$C$1713="","",Zarejestrowane!$C$1713)</f>
        <v>0</v>
      </c>
      <c r="H1706" s="9">
        <f>IF(AND($F1706&lt;&gt;"",ISNUMBER(SEARCH('Nr rejestracyjny'!$F$5,$F1706))),COUNT($H$1:H1705)+1,"")</f>
        <v>0</v>
      </c>
      <c r="I1706" s="9">
        <f>IF(AND($G1706&lt;&gt;"",ISNUMBER(SEARCH('Nr rejestracyjny'!$F$5,$G1706))),COUNT($I$1:I1705)+1,"")</f>
        <v>0</v>
      </c>
    </row>
    <row r="1707" spans="6:9">
      <c r="F1707" s="7">
        <f>IF('W rejestracji'!$C$1714="","",'W rejestracji'!$C$1714)</f>
        <v>0</v>
      </c>
      <c r="G1707" s="7">
        <f>IF(Zarejestrowane!$C$1714="","",Zarejestrowane!$C$1714)</f>
        <v>0</v>
      </c>
      <c r="H1707" s="9">
        <f>IF(AND($F1707&lt;&gt;"",ISNUMBER(SEARCH('Nr rejestracyjny'!$F$5,$F1707))),COUNT($H$1:H1706)+1,"")</f>
        <v>0</v>
      </c>
      <c r="I1707" s="9">
        <f>IF(AND($G1707&lt;&gt;"",ISNUMBER(SEARCH('Nr rejestracyjny'!$F$5,$G1707))),COUNT($I$1:I1706)+1,"")</f>
        <v>0</v>
      </c>
    </row>
    <row r="1708" spans="6:9">
      <c r="F1708" s="7">
        <f>IF('W rejestracji'!$C$1715="","",'W rejestracji'!$C$1715)</f>
        <v>0</v>
      </c>
      <c r="G1708" s="7">
        <f>IF(Zarejestrowane!$C$1715="","",Zarejestrowane!$C$1715)</f>
        <v>0</v>
      </c>
      <c r="H1708" s="9">
        <f>IF(AND($F1708&lt;&gt;"",ISNUMBER(SEARCH('Nr rejestracyjny'!$F$5,$F1708))),COUNT($H$1:H1707)+1,"")</f>
        <v>0</v>
      </c>
      <c r="I1708" s="9">
        <f>IF(AND($G1708&lt;&gt;"",ISNUMBER(SEARCH('Nr rejestracyjny'!$F$5,$G1708))),COUNT($I$1:I1707)+1,"")</f>
        <v>0</v>
      </c>
    </row>
    <row r="1709" spans="6:9">
      <c r="F1709" s="7">
        <f>IF('W rejestracji'!$C$1716="","",'W rejestracji'!$C$1716)</f>
        <v>0</v>
      </c>
      <c r="G1709" s="7">
        <f>IF(Zarejestrowane!$C$1716="","",Zarejestrowane!$C$1716)</f>
        <v>0</v>
      </c>
      <c r="H1709" s="9">
        <f>IF(AND($F1709&lt;&gt;"",ISNUMBER(SEARCH('Nr rejestracyjny'!$F$5,$F1709))),COUNT($H$1:H1708)+1,"")</f>
        <v>0</v>
      </c>
      <c r="I1709" s="9">
        <f>IF(AND($G1709&lt;&gt;"",ISNUMBER(SEARCH('Nr rejestracyjny'!$F$5,$G1709))),COUNT($I$1:I1708)+1,"")</f>
        <v>0</v>
      </c>
    </row>
    <row r="1710" spans="6:9">
      <c r="F1710" s="7">
        <f>IF('W rejestracji'!$C$1717="","",'W rejestracji'!$C$1717)</f>
        <v>0</v>
      </c>
      <c r="G1710" s="7">
        <f>IF(Zarejestrowane!$C$1717="","",Zarejestrowane!$C$1717)</f>
        <v>0</v>
      </c>
      <c r="H1710" s="9">
        <f>IF(AND($F1710&lt;&gt;"",ISNUMBER(SEARCH('Nr rejestracyjny'!$F$5,$F1710))),COUNT($H$1:H1709)+1,"")</f>
        <v>0</v>
      </c>
      <c r="I1710" s="9">
        <f>IF(AND($G1710&lt;&gt;"",ISNUMBER(SEARCH('Nr rejestracyjny'!$F$5,$G1710))),COUNT($I$1:I1709)+1,"")</f>
        <v>0</v>
      </c>
    </row>
    <row r="1711" spans="6:9">
      <c r="F1711" s="7">
        <f>IF('W rejestracji'!$C$1718="","",'W rejestracji'!$C$1718)</f>
        <v>0</v>
      </c>
      <c r="G1711" s="7">
        <f>IF(Zarejestrowane!$C$1718="","",Zarejestrowane!$C$1718)</f>
        <v>0</v>
      </c>
      <c r="H1711" s="9">
        <f>IF(AND($F1711&lt;&gt;"",ISNUMBER(SEARCH('Nr rejestracyjny'!$F$5,$F1711))),COUNT($H$1:H1710)+1,"")</f>
        <v>0</v>
      </c>
      <c r="I1711" s="9">
        <f>IF(AND($G1711&lt;&gt;"",ISNUMBER(SEARCH('Nr rejestracyjny'!$F$5,$G1711))),COUNT($I$1:I1710)+1,"")</f>
        <v>0</v>
      </c>
    </row>
    <row r="1712" spans="6:9">
      <c r="F1712" s="7">
        <f>IF('W rejestracji'!$C$1719="","",'W rejestracji'!$C$1719)</f>
        <v>0</v>
      </c>
      <c r="G1712" s="7">
        <f>IF(Zarejestrowane!$C$1719="","",Zarejestrowane!$C$1719)</f>
        <v>0</v>
      </c>
      <c r="H1712" s="9">
        <f>IF(AND($F1712&lt;&gt;"",ISNUMBER(SEARCH('Nr rejestracyjny'!$F$5,$F1712))),COUNT($H$1:H1711)+1,"")</f>
        <v>0</v>
      </c>
      <c r="I1712" s="9">
        <f>IF(AND($G1712&lt;&gt;"",ISNUMBER(SEARCH('Nr rejestracyjny'!$F$5,$G1712))),COUNT($I$1:I1711)+1,"")</f>
        <v>0</v>
      </c>
    </row>
    <row r="1713" spans="6:9">
      <c r="F1713" s="7">
        <f>IF('W rejestracji'!$C$1720="","",'W rejestracji'!$C$1720)</f>
        <v>0</v>
      </c>
      <c r="G1713" s="7">
        <f>IF(Zarejestrowane!$C$1720="","",Zarejestrowane!$C$1720)</f>
        <v>0</v>
      </c>
      <c r="H1713" s="9">
        <f>IF(AND($F1713&lt;&gt;"",ISNUMBER(SEARCH('Nr rejestracyjny'!$F$5,$F1713))),COUNT($H$1:H1712)+1,"")</f>
        <v>0</v>
      </c>
      <c r="I1713" s="9">
        <f>IF(AND($G1713&lt;&gt;"",ISNUMBER(SEARCH('Nr rejestracyjny'!$F$5,$G1713))),COUNT($I$1:I1712)+1,"")</f>
        <v>0</v>
      </c>
    </row>
    <row r="1714" spans="6:9">
      <c r="F1714" s="7">
        <f>IF('W rejestracji'!$C$1721="","",'W rejestracji'!$C$1721)</f>
        <v>0</v>
      </c>
      <c r="G1714" s="7">
        <f>IF(Zarejestrowane!$C$1721="","",Zarejestrowane!$C$1721)</f>
        <v>0</v>
      </c>
      <c r="H1714" s="9">
        <f>IF(AND($F1714&lt;&gt;"",ISNUMBER(SEARCH('Nr rejestracyjny'!$F$5,$F1714))),COUNT($H$1:H1713)+1,"")</f>
        <v>0</v>
      </c>
      <c r="I1714" s="9">
        <f>IF(AND($G1714&lt;&gt;"",ISNUMBER(SEARCH('Nr rejestracyjny'!$F$5,$G1714))),COUNT($I$1:I1713)+1,"")</f>
        <v>0</v>
      </c>
    </row>
    <row r="1715" spans="6:9">
      <c r="F1715" s="7">
        <f>IF('W rejestracji'!$C$1722="","",'W rejestracji'!$C$1722)</f>
        <v>0</v>
      </c>
      <c r="G1715" s="7">
        <f>IF(Zarejestrowane!$C$1722="","",Zarejestrowane!$C$1722)</f>
        <v>0</v>
      </c>
      <c r="H1715" s="9">
        <f>IF(AND($F1715&lt;&gt;"",ISNUMBER(SEARCH('Nr rejestracyjny'!$F$5,$F1715))),COUNT($H$1:H1714)+1,"")</f>
        <v>0</v>
      </c>
      <c r="I1715" s="9">
        <f>IF(AND($G1715&lt;&gt;"",ISNUMBER(SEARCH('Nr rejestracyjny'!$F$5,$G1715))),COUNT($I$1:I1714)+1,"")</f>
        <v>0</v>
      </c>
    </row>
    <row r="1716" spans="6:9">
      <c r="F1716" s="7">
        <f>IF('W rejestracji'!$C$1723="","",'W rejestracji'!$C$1723)</f>
        <v>0</v>
      </c>
      <c r="G1716" s="7">
        <f>IF(Zarejestrowane!$C$1723="","",Zarejestrowane!$C$1723)</f>
        <v>0</v>
      </c>
      <c r="H1716" s="9">
        <f>IF(AND($F1716&lt;&gt;"",ISNUMBER(SEARCH('Nr rejestracyjny'!$F$5,$F1716))),COUNT($H$1:H1715)+1,"")</f>
        <v>0</v>
      </c>
      <c r="I1716" s="9">
        <f>IF(AND($G1716&lt;&gt;"",ISNUMBER(SEARCH('Nr rejestracyjny'!$F$5,$G1716))),COUNT($I$1:I1715)+1,"")</f>
        <v>0</v>
      </c>
    </row>
    <row r="1717" spans="6:9">
      <c r="F1717" s="7">
        <f>IF('W rejestracji'!$C$1724="","",'W rejestracji'!$C$1724)</f>
        <v>0</v>
      </c>
      <c r="G1717" s="7">
        <f>IF(Zarejestrowane!$C$1724="","",Zarejestrowane!$C$1724)</f>
        <v>0</v>
      </c>
      <c r="H1717" s="9">
        <f>IF(AND($F1717&lt;&gt;"",ISNUMBER(SEARCH('Nr rejestracyjny'!$F$5,$F1717))),COUNT($H$1:H1716)+1,"")</f>
        <v>0</v>
      </c>
      <c r="I1717" s="9">
        <f>IF(AND($G1717&lt;&gt;"",ISNUMBER(SEARCH('Nr rejestracyjny'!$F$5,$G1717))),COUNT($I$1:I1716)+1,"")</f>
        <v>0</v>
      </c>
    </row>
    <row r="1718" spans="6:9">
      <c r="F1718" s="7">
        <f>IF('W rejestracji'!$C$1725="","",'W rejestracji'!$C$1725)</f>
        <v>0</v>
      </c>
      <c r="G1718" s="7">
        <f>IF(Zarejestrowane!$C$1725="","",Zarejestrowane!$C$1725)</f>
        <v>0</v>
      </c>
      <c r="H1718" s="9">
        <f>IF(AND($F1718&lt;&gt;"",ISNUMBER(SEARCH('Nr rejestracyjny'!$F$5,$F1718))),COUNT($H$1:H1717)+1,"")</f>
        <v>0</v>
      </c>
      <c r="I1718" s="9">
        <f>IF(AND($G1718&lt;&gt;"",ISNUMBER(SEARCH('Nr rejestracyjny'!$F$5,$G1718))),COUNT($I$1:I1717)+1,"")</f>
        <v>0</v>
      </c>
    </row>
    <row r="1719" spans="6:9">
      <c r="F1719" s="7">
        <f>IF('W rejestracji'!$C$1726="","",'W rejestracji'!$C$1726)</f>
        <v>0</v>
      </c>
      <c r="G1719" s="7">
        <f>IF(Zarejestrowane!$C$1726="","",Zarejestrowane!$C$1726)</f>
        <v>0</v>
      </c>
      <c r="H1719" s="9">
        <f>IF(AND($F1719&lt;&gt;"",ISNUMBER(SEARCH('Nr rejestracyjny'!$F$5,$F1719))),COUNT($H$1:H1718)+1,"")</f>
        <v>0</v>
      </c>
      <c r="I1719" s="9">
        <f>IF(AND($G1719&lt;&gt;"",ISNUMBER(SEARCH('Nr rejestracyjny'!$F$5,$G1719))),COUNT($I$1:I1718)+1,"")</f>
        <v>0</v>
      </c>
    </row>
    <row r="1720" spans="6:9">
      <c r="F1720" s="7">
        <f>IF('W rejestracji'!$C$1727="","",'W rejestracji'!$C$1727)</f>
        <v>0</v>
      </c>
      <c r="G1720" s="7">
        <f>IF(Zarejestrowane!$C$1727="","",Zarejestrowane!$C$1727)</f>
        <v>0</v>
      </c>
      <c r="H1720" s="9">
        <f>IF(AND($F1720&lt;&gt;"",ISNUMBER(SEARCH('Nr rejestracyjny'!$F$5,$F1720))),COUNT($H$1:H1719)+1,"")</f>
        <v>0</v>
      </c>
      <c r="I1720" s="9">
        <f>IF(AND($G1720&lt;&gt;"",ISNUMBER(SEARCH('Nr rejestracyjny'!$F$5,$G1720))),COUNT($I$1:I1719)+1,"")</f>
        <v>0</v>
      </c>
    </row>
    <row r="1721" spans="6:9">
      <c r="F1721" s="7">
        <f>IF('W rejestracji'!$C$1728="","",'W rejestracji'!$C$1728)</f>
        <v>0</v>
      </c>
      <c r="G1721" s="7">
        <f>IF(Zarejestrowane!$C$1728="","",Zarejestrowane!$C$1728)</f>
        <v>0</v>
      </c>
      <c r="H1721" s="9">
        <f>IF(AND($F1721&lt;&gt;"",ISNUMBER(SEARCH('Nr rejestracyjny'!$F$5,$F1721))),COUNT($H$1:H1720)+1,"")</f>
        <v>0</v>
      </c>
      <c r="I1721" s="9">
        <f>IF(AND($G1721&lt;&gt;"",ISNUMBER(SEARCH('Nr rejestracyjny'!$F$5,$G1721))),COUNT($I$1:I1720)+1,"")</f>
        <v>0</v>
      </c>
    </row>
    <row r="1722" spans="6:9">
      <c r="F1722" s="7">
        <f>IF('W rejestracji'!$C$1729="","",'W rejestracji'!$C$1729)</f>
        <v>0</v>
      </c>
      <c r="G1722" s="7">
        <f>IF(Zarejestrowane!$C$1729="","",Zarejestrowane!$C$1729)</f>
        <v>0</v>
      </c>
      <c r="H1722" s="9">
        <f>IF(AND($F1722&lt;&gt;"",ISNUMBER(SEARCH('Nr rejestracyjny'!$F$5,$F1722))),COUNT($H$1:H1721)+1,"")</f>
        <v>0</v>
      </c>
      <c r="I1722" s="9">
        <f>IF(AND($G1722&lt;&gt;"",ISNUMBER(SEARCH('Nr rejestracyjny'!$F$5,$G1722))),COUNT($I$1:I1721)+1,"")</f>
        <v>0</v>
      </c>
    </row>
    <row r="1723" spans="6:9">
      <c r="F1723" s="7">
        <f>IF('W rejestracji'!$C$1730="","",'W rejestracji'!$C$1730)</f>
        <v>0</v>
      </c>
      <c r="G1723" s="7">
        <f>IF(Zarejestrowane!$C$1730="","",Zarejestrowane!$C$1730)</f>
        <v>0</v>
      </c>
      <c r="H1723" s="9">
        <f>IF(AND($F1723&lt;&gt;"",ISNUMBER(SEARCH('Nr rejestracyjny'!$F$5,$F1723))),COUNT($H$1:H1722)+1,"")</f>
        <v>0</v>
      </c>
      <c r="I1723" s="9">
        <f>IF(AND($G1723&lt;&gt;"",ISNUMBER(SEARCH('Nr rejestracyjny'!$F$5,$G1723))),COUNT($I$1:I1722)+1,"")</f>
        <v>0</v>
      </c>
    </row>
    <row r="1724" spans="6:9">
      <c r="F1724" s="7">
        <f>IF('W rejestracji'!$C$1731="","",'W rejestracji'!$C$1731)</f>
        <v>0</v>
      </c>
      <c r="G1724" s="7">
        <f>IF(Zarejestrowane!$C$1731="","",Zarejestrowane!$C$1731)</f>
        <v>0</v>
      </c>
      <c r="H1724" s="9">
        <f>IF(AND($F1724&lt;&gt;"",ISNUMBER(SEARCH('Nr rejestracyjny'!$F$5,$F1724))),COUNT($H$1:H1723)+1,"")</f>
        <v>0</v>
      </c>
      <c r="I1724" s="9">
        <f>IF(AND($G1724&lt;&gt;"",ISNUMBER(SEARCH('Nr rejestracyjny'!$F$5,$G1724))),COUNT($I$1:I1723)+1,"")</f>
        <v>0</v>
      </c>
    </row>
    <row r="1725" spans="6:9">
      <c r="F1725" s="7">
        <f>IF('W rejestracji'!$C$1732="","",'W rejestracji'!$C$1732)</f>
        <v>0</v>
      </c>
      <c r="G1725" s="7">
        <f>IF(Zarejestrowane!$C$1732="","",Zarejestrowane!$C$1732)</f>
        <v>0</v>
      </c>
      <c r="H1725" s="9">
        <f>IF(AND($F1725&lt;&gt;"",ISNUMBER(SEARCH('Nr rejestracyjny'!$F$5,$F1725))),COUNT($H$1:H1724)+1,"")</f>
        <v>0</v>
      </c>
      <c r="I1725" s="9">
        <f>IF(AND($G1725&lt;&gt;"",ISNUMBER(SEARCH('Nr rejestracyjny'!$F$5,$G1725))),COUNT($I$1:I1724)+1,"")</f>
        <v>0</v>
      </c>
    </row>
    <row r="1726" spans="6:9">
      <c r="F1726" s="7">
        <f>IF('W rejestracji'!$C$1733="","",'W rejestracji'!$C$1733)</f>
        <v>0</v>
      </c>
      <c r="G1726" s="7">
        <f>IF(Zarejestrowane!$C$1733="","",Zarejestrowane!$C$1733)</f>
        <v>0</v>
      </c>
      <c r="H1726" s="9">
        <f>IF(AND($F1726&lt;&gt;"",ISNUMBER(SEARCH('Nr rejestracyjny'!$F$5,$F1726))),COUNT($H$1:H1725)+1,"")</f>
        <v>0</v>
      </c>
      <c r="I1726" s="9">
        <f>IF(AND($G1726&lt;&gt;"",ISNUMBER(SEARCH('Nr rejestracyjny'!$F$5,$G1726))),COUNT($I$1:I1725)+1,"")</f>
        <v>0</v>
      </c>
    </row>
    <row r="1727" spans="6:9">
      <c r="F1727" s="7">
        <f>IF('W rejestracji'!$C$1734="","",'W rejestracji'!$C$1734)</f>
        <v>0</v>
      </c>
      <c r="G1727" s="7">
        <f>IF(Zarejestrowane!$C$1734="","",Zarejestrowane!$C$1734)</f>
        <v>0</v>
      </c>
      <c r="H1727" s="9">
        <f>IF(AND($F1727&lt;&gt;"",ISNUMBER(SEARCH('Nr rejestracyjny'!$F$5,$F1727))),COUNT($H$1:H1726)+1,"")</f>
        <v>0</v>
      </c>
      <c r="I1727" s="9">
        <f>IF(AND($G1727&lt;&gt;"",ISNUMBER(SEARCH('Nr rejestracyjny'!$F$5,$G1727))),COUNT($I$1:I1726)+1,"")</f>
        <v>0</v>
      </c>
    </row>
    <row r="1728" spans="6:9">
      <c r="F1728" s="7">
        <f>IF('W rejestracji'!$C$1735="","",'W rejestracji'!$C$1735)</f>
        <v>0</v>
      </c>
      <c r="G1728" s="7">
        <f>IF(Zarejestrowane!$C$1735="","",Zarejestrowane!$C$1735)</f>
        <v>0</v>
      </c>
      <c r="H1728" s="9">
        <f>IF(AND($F1728&lt;&gt;"",ISNUMBER(SEARCH('Nr rejestracyjny'!$F$5,$F1728))),COUNT($H$1:H1727)+1,"")</f>
        <v>0</v>
      </c>
      <c r="I1728" s="9">
        <f>IF(AND($G1728&lt;&gt;"",ISNUMBER(SEARCH('Nr rejestracyjny'!$F$5,$G1728))),COUNT($I$1:I1727)+1,"")</f>
        <v>0</v>
      </c>
    </row>
    <row r="1729" spans="6:9">
      <c r="F1729" s="7">
        <f>IF('W rejestracji'!$C$1736="","",'W rejestracji'!$C$1736)</f>
        <v>0</v>
      </c>
      <c r="G1729" s="7">
        <f>IF(Zarejestrowane!$C$1736="","",Zarejestrowane!$C$1736)</f>
        <v>0</v>
      </c>
      <c r="H1729" s="9">
        <f>IF(AND($F1729&lt;&gt;"",ISNUMBER(SEARCH('Nr rejestracyjny'!$F$5,$F1729))),COUNT($H$1:H1728)+1,"")</f>
        <v>0</v>
      </c>
      <c r="I1729" s="9">
        <f>IF(AND($G1729&lt;&gt;"",ISNUMBER(SEARCH('Nr rejestracyjny'!$F$5,$G1729))),COUNT($I$1:I1728)+1,"")</f>
        <v>0</v>
      </c>
    </row>
    <row r="1730" spans="6:9">
      <c r="F1730" s="7">
        <f>IF('W rejestracji'!$C$1737="","",'W rejestracji'!$C$1737)</f>
        <v>0</v>
      </c>
      <c r="G1730" s="7">
        <f>IF(Zarejestrowane!$C$1737="","",Zarejestrowane!$C$1737)</f>
        <v>0</v>
      </c>
      <c r="H1730" s="9">
        <f>IF(AND($F1730&lt;&gt;"",ISNUMBER(SEARCH('Nr rejestracyjny'!$F$5,$F1730))),COUNT($H$1:H1729)+1,"")</f>
        <v>0</v>
      </c>
      <c r="I1730" s="9">
        <f>IF(AND($G1730&lt;&gt;"",ISNUMBER(SEARCH('Nr rejestracyjny'!$F$5,$G1730))),COUNT($I$1:I1729)+1,"")</f>
        <v>0</v>
      </c>
    </row>
    <row r="1731" spans="6:9">
      <c r="F1731" s="7">
        <f>IF('W rejestracji'!$C$1738="","",'W rejestracji'!$C$1738)</f>
        <v>0</v>
      </c>
      <c r="G1731" s="7">
        <f>IF(Zarejestrowane!$C$1738="","",Zarejestrowane!$C$1738)</f>
        <v>0</v>
      </c>
      <c r="H1731" s="9">
        <f>IF(AND($F1731&lt;&gt;"",ISNUMBER(SEARCH('Nr rejestracyjny'!$F$5,$F1731))),COUNT($H$1:H1730)+1,"")</f>
        <v>0</v>
      </c>
      <c r="I1731" s="9">
        <f>IF(AND($G1731&lt;&gt;"",ISNUMBER(SEARCH('Nr rejestracyjny'!$F$5,$G1731))),COUNT($I$1:I1730)+1,"")</f>
        <v>0</v>
      </c>
    </row>
    <row r="1732" spans="6:9">
      <c r="F1732" s="7">
        <f>IF('W rejestracji'!$C$1739="","",'W rejestracji'!$C$1739)</f>
        <v>0</v>
      </c>
      <c r="G1732" s="7">
        <f>IF(Zarejestrowane!$C$1739="","",Zarejestrowane!$C$1739)</f>
        <v>0</v>
      </c>
      <c r="H1732" s="9">
        <f>IF(AND($F1732&lt;&gt;"",ISNUMBER(SEARCH('Nr rejestracyjny'!$F$5,$F1732))),COUNT($H$1:H1731)+1,"")</f>
        <v>0</v>
      </c>
      <c r="I1732" s="9">
        <f>IF(AND($G1732&lt;&gt;"",ISNUMBER(SEARCH('Nr rejestracyjny'!$F$5,$G1732))),COUNT($I$1:I1731)+1,"")</f>
        <v>0</v>
      </c>
    </row>
    <row r="1733" spans="6:9">
      <c r="F1733" s="7">
        <f>IF('W rejestracji'!$C$1740="","",'W rejestracji'!$C$1740)</f>
        <v>0</v>
      </c>
      <c r="G1733" s="7">
        <f>IF(Zarejestrowane!$C$1740="","",Zarejestrowane!$C$1740)</f>
        <v>0</v>
      </c>
      <c r="H1733" s="9">
        <f>IF(AND($F1733&lt;&gt;"",ISNUMBER(SEARCH('Nr rejestracyjny'!$F$5,$F1733))),COUNT($H$1:H1732)+1,"")</f>
        <v>0</v>
      </c>
      <c r="I1733" s="9">
        <f>IF(AND($G1733&lt;&gt;"",ISNUMBER(SEARCH('Nr rejestracyjny'!$F$5,$G1733))),COUNT($I$1:I1732)+1,"")</f>
        <v>0</v>
      </c>
    </row>
    <row r="1734" spans="6:9">
      <c r="F1734" s="7">
        <f>IF('W rejestracji'!$C$1741="","",'W rejestracji'!$C$1741)</f>
        <v>0</v>
      </c>
      <c r="G1734" s="7">
        <f>IF(Zarejestrowane!$C$1741="","",Zarejestrowane!$C$1741)</f>
        <v>0</v>
      </c>
      <c r="H1734" s="9">
        <f>IF(AND($F1734&lt;&gt;"",ISNUMBER(SEARCH('Nr rejestracyjny'!$F$5,$F1734))),COUNT($H$1:H1733)+1,"")</f>
        <v>0</v>
      </c>
      <c r="I1734" s="9">
        <f>IF(AND($G1734&lt;&gt;"",ISNUMBER(SEARCH('Nr rejestracyjny'!$F$5,$G1734))),COUNT($I$1:I1733)+1,"")</f>
        <v>0</v>
      </c>
    </row>
    <row r="1735" spans="6:9">
      <c r="F1735" s="7">
        <f>IF('W rejestracji'!$C$1742="","",'W rejestracji'!$C$1742)</f>
        <v>0</v>
      </c>
      <c r="G1735" s="7">
        <f>IF(Zarejestrowane!$C$1742="","",Zarejestrowane!$C$1742)</f>
        <v>0</v>
      </c>
      <c r="H1735" s="9">
        <f>IF(AND($F1735&lt;&gt;"",ISNUMBER(SEARCH('Nr rejestracyjny'!$F$5,$F1735))),COUNT($H$1:H1734)+1,"")</f>
        <v>0</v>
      </c>
      <c r="I1735" s="9">
        <f>IF(AND($G1735&lt;&gt;"",ISNUMBER(SEARCH('Nr rejestracyjny'!$F$5,$G1735))),COUNT($I$1:I1734)+1,"")</f>
        <v>0</v>
      </c>
    </row>
    <row r="1736" spans="6:9">
      <c r="F1736" s="7">
        <f>IF('W rejestracji'!$C$1743="","",'W rejestracji'!$C$1743)</f>
        <v>0</v>
      </c>
      <c r="G1736" s="7">
        <f>IF(Zarejestrowane!$C$1743="","",Zarejestrowane!$C$1743)</f>
        <v>0</v>
      </c>
      <c r="H1736" s="9">
        <f>IF(AND($F1736&lt;&gt;"",ISNUMBER(SEARCH('Nr rejestracyjny'!$F$5,$F1736))),COUNT($H$1:H1735)+1,"")</f>
        <v>0</v>
      </c>
      <c r="I1736" s="9">
        <f>IF(AND($G1736&lt;&gt;"",ISNUMBER(SEARCH('Nr rejestracyjny'!$F$5,$G1736))),COUNT($I$1:I1735)+1,"")</f>
        <v>0</v>
      </c>
    </row>
    <row r="1737" spans="6:9">
      <c r="F1737" s="7">
        <f>IF('W rejestracji'!$C$1744="","",'W rejestracji'!$C$1744)</f>
        <v>0</v>
      </c>
      <c r="G1737" s="7">
        <f>IF(Zarejestrowane!$C$1744="","",Zarejestrowane!$C$1744)</f>
        <v>0</v>
      </c>
      <c r="H1737" s="9">
        <f>IF(AND($F1737&lt;&gt;"",ISNUMBER(SEARCH('Nr rejestracyjny'!$F$5,$F1737))),COUNT($H$1:H1736)+1,"")</f>
        <v>0</v>
      </c>
      <c r="I1737" s="9">
        <f>IF(AND($G1737&lt;&gt;"",ISNUMBER(SEARCH('Nr rejestracyjny'!$F$5,$G1737))),COUNT($I$1:I1736)+1,"")</f>
        <v>0</v>
      </c>
    </row>
    <row r="1738" spans="6:9">
      <c r="F1738" s="7">
        <f>IF('W rejestracji'!$C$1745="","",'W rejestracji'!$C$1745)</f>
        <v>0</v>
      </c>
      <c r="G1738" s="7">
        <f>IF(Zarejestrowane!$C$1745="","",Zarejestrowane!$C$1745)</f>
        <v>0</v>
      </c>
      <c r="H1738" s="9">
        <f>IF(AND($F1738&lt;&gt;"",ISNUMBER(SEARCH('Nr rejestracyjny'!$F$5,$F1738))),COUNT($H$1:H1737)+1,"")</f>
        <v>0</v>
      </c>
      <c r="I1738" s="9">
        <f>IF(AND($G1738&lt;&gt;"",ISNUMBER(SEARCH('Nr rejestracyjny'!$F$5,$G1738))),COUNT($I$1:I1737)+1,"")</f>
        <v>0</v>
      </c>
    </row>
    <row r="1739" spans="6:9">
      <c r="F1739" s="7">
        <f>IF('W rejestracji'!$C$1746="","",'W rejestracji'!$C$1746)</f>
        <v>0</v>
      </c>
      <c r="G1739" s="7">
        <f>IF(Zarejestrowane!$C$1746="","",Zarejestrowane!$C$1746)</f>
        <v>0</v>
      </c>
      <c r="H1739" s="9">
        <f>IF(AND($F1739&lt;&gt;"",ISNUMBER(SEARCH('Nr rejestracyjny'!$F$5,$F1739))),COUNT($H$1:H1738)+1,"")</f>
        <v>0</v>
      </c>
      <c r="I1739" s="9">
        <f>IF(AND($G1739&lt;&gt;"",ISNUMBER(SEARCH('Nr rejestracyjny'!$F$5,$G1739))),COUNT($I$1:I1738)+1,"")</f>
        <v>0</v>
      </c>
    </row>
    <row r="1740" spans="6:9">
      <c r="F1740" s="7">
        <f>IF('W rejestracji'!$C$1747="","",'W rejestracji'!$C$1747)</f>
        <v>0</v>
      </c>
      <c r="G1740" s="7">
        <f>IF(Zarejestrowane!$C$1747="","",Zarejestrowane!$C$1747)</f>
        <v>0</v>
      </c>
      <c r="H1740" s="9">
        <f>IF(AND($F1740&lt;&gt;"",ISNUMBER(SEARCH('Nr rejestracyjny'!$F$5,$F1740))),COUNT($H$1:H1739)+1,"")</f>
        <v>0</v>
      </c>
      <c r="I1740" s="9">
        <f>IF(AND($G1740&lt;&gt;"",ISNUMBER(SEARCH('Nr rejestracyjny'!$F$5,$G1740))),COUNT($I$1:I1739)+1,"")</f>
        <v>0</v>
      </c>
    </row>
    <row r="1741" spans="6:9">
      <c r="F1741" s="7">
        <f>IF('W rejestracji'!$C$1748="","",'W rejestracji'!$C$1748)</f>
        <v>0</v>
      </c>
      <c r="G1741" s="7">
        <f>IF(Zarejestrowane!$C$1748="","",Zarejestrowane!$C$1748)</f>
        <v>0</v>
      </c>
      <c r="H1741" s="9">
        <f>IF(AND($F1741&lt;&gt;"",ISNUMBER(SEARCH('Nr rejestracyjny'!$F$5,$F1741))),COUNT($H$1:H1740)+1,"")</f>
        <v>0</v>
      </c>
      <c r="I1741" s="9">
        <f>IF(AND($G1741&lt;&gt;"",ISNUMBER(SEARCH('Nr rejestracyjny'!$F$5,$G1741))),COUNT($I$1:I1740)+1,"")</f>
        <v>0</v>
      </c>
    </row>
    <row r="1742" spans="6:9">
      <c r="F1742" s="7">
        <f>IF('W rejestracji'!$C$1749="","",'W rejestracji'!$C$1749)</f>
        <v>0</v>
      </c>
      <c r="G1742" s="7">
        <f>IF(Zarejestrowane!$C$1749="","",Zarejestrowane!$C$1749)</f>
        <v>0</v>
      </c>
      <c r="H1742" s="9">
        <f>IF(AND($F1742&lt;&gt;"",ISNUMBER(SEARCH('Nr rejestracyjny'!$F$5,$F1742))),COUNT($H$1:H1741)+1,"")</f>
        <v>0</v>
      </c>
      <c r="I1742" s="9">
        <f>IF(AND($G1742&lt;&gt;"",ISNUMBER(SEARCH('Nr rejestracyjny'!$F$5,$G1742))),COUNT($I$1:I1741)+1,"")</f>
        <v>0</v>
      </c>
    </row>
    <row r="1743" spans="6:9">
      <c r="F1743" s="7">
        <f>IF('W rejestracji'!$C$1750="","",'W rejestracji'!$C$1750)</f>
        <v>0</v>
      </c>
      <c r="G1743" s="7">
        <f>IF(Zarejestrowane!$C$1750="","",Zarejestrowane!$C$1750)</f>
        <v>0</v>
      </c>
      <c r="H1743" s="9">
        <f>IF(AND($F1743&lt;&gt;"",ISNUMBER(SEARCH('Nr rejestracyjny'!$F$5,$F1743))),COUNT($H$1:H1742)+1,"")</f>
        <v>0</v>
      </c>
      <c r="I1743" s="9">
        <f>IF(AND($G1743&lt;&gt;"",ISNUMBER(SEARCH('Nr rejestracyjny'!$F$5,$G1743))),COUNT($I$1:I1742)+1,"")</f>
        <v>0</v>
      </c>
    </row>
    <row r="1744" spans="6:9">
      <c r="F1744" s="7">
        <f>IF('W rejestracji'!$C$1751="","",'W rejestracji'!$C$1751)</f>
        <v>0</v>
      </c>
      <c r="G1744" s="7">
        <f>IF(Zarejestrowane!$C$1751="","",Zarejestrowane!$C$1751)</f>
        <v>0</v>
      </c>
      <c r="H1744" s="9">
        <f>IF(AND($F1744&lt;&gt;"",ISNUMBER(SEARCH('Nr rejestracyjny'!$F$5,$F1744))),COUNT($H$1:H1743)+1,"")</f>
        <v>0</v>
      </c>
      <c r="I1744" s="9">
        <f>IF(AND($G1744&lt;&gt;"",ISNUMBER(SEARCH('Nr rejestracyjny'!$F$5,$G1744))),COUNT($I$1:I1743)+1,"")</f>
        <v>0</v>
      </c>
    </row>
    <row r="1745" spans="6:9">
      <c r="F1745" s="7">
        <f>IF('W rejestracji'!$C$1752="","",'W rejestracji'!$C$1752)</f>
        <v>0</v>
      </c>
      <c r="G1745" s="7">
        <f>IF(Zarejestrowane!$C$1752="","",Zarejestrowane!$C$1752)</f>
        <v>0</v>
      </c>
      <c r="H1745" s="9">
        <f>IF(AND($F1745&lt;&gt;"",ISNUMBER(SEARCH('Nr rejestracyjny'!$F$5,$F1745))),COUNT($H$1:H1744)+1,"")</f>
        <v>0</v>
      </c>
      <c r="I1745" s="9">
        <f>IF(AND($G1745&lt;&gt;"",ISNUMBER(SEARCH('Nr rejestracyjny'!$F$5,$G1745))),COUNT($I$1:I1744)+1,"")</f>
        <v>0</v>
      </c>
    </row>
    <row r="1746" spans="6:9">
      <c r="F1746" s="7">
        <f>IF('W rejestracji'!$C$1753="","",'W rejestracji'!$C$1753)</f>
        <v>0</v>
      </c>
      <c r="G1746" s="7">
        <f>IF(Zarejestrowane!$C$1753="","",Zarejestrowane!$C$1753)</f>
        <v>0</v>
      </c>
      <c r="H1746" s="9">
        <f>IF(AND($F1746&lt;&gt;"",ISNUMBER(SEARCH('Nr rejestracyjny'!$F$5,$F1746))),COUNT($H$1:H1745)+1,"")</f>
        <v>0</v>
      </c>
      <c r="I1746" s="9">
        <f>IF(AND($G1746&lt;&gt;"",ISNUMBER(SEARCH('Nr rejestracyjny'!$F$5,$G1746))),COUNT($I$1:I1745)+1,"")</f>
        <v>0</v>
      </c>
    </row>
    <row r="1747" spans="6:9">
      <c r="F1747" s="7">
        <f>IF('W rejestracji'!$C$1754="","",'W rejestracji'!$C$1754)</f>
        <v>0</v>
      </c>
      <c r="G1747" s="7">
        <f>IF(Zarejestrowane!$C$1754="","",Zarejestrowane!$C$1754)</f>
        <v>0</v>
      </c>
      <c r="H1747" s="9">
        <f>IF(AND($F1747&lt;&gt;"",ISNUMBER(SEARCH('Nr rejestracyjny'!$F$5,$F1747))),COUNT($H$1:H1746)+1,"")</f>
        <v>0</v>
      </c>
      <c r="I1747" s="9">
        <f>IF(AND($G1747&lt;&gt;"",ISNUMBER(SEARCH('Nr rejestracyjny'!$F$5,$G1747))),COUNT($I$1:I1746)+1,"")</f>
        <v>0</v>
      </c>
    </row>
    <row r="1748" spans="6:9">
      <c r="F1748" s="7">
        <f>IF('W rejestracji'!$C$1755="","",'W rejestracji'!$C$1755)</f>
        <v>0</v>
      </c>
      <c r="G1748" s="7">
        <f>IF(Zarejestrowane!$C$1755="","",Zarejestrowane!$C$1755)</f>
        <v>0</v>
      </c>
      <c r="H1748" s="9">
        <f>IF(AND($F1748&lt;&gt;"",ISNUMBER(SEARCH('Nr rejestracyjny'!$F$5,$F1748))),COUNT($H$1:H1747)+1,"")</f>
        <v>0</v>
      </c>
      <c r="I1748" s="9">
        <f>IF(AND($G1748&lt;&gt;"",ISNUMBER(SEARCH('Nr rejestracyjny'!$F$5,$G1748))),COUNT($I$1:I1747)+1,"")</f>
        <v>0</v>
      </c>
    </row>
    <row r="1749" spans="6:9">
      <c r="F1749" s="7">
        <f>IF('W rejestracji'!$C$1756="","",'W rejestracji'!$C$1756)</f>
        <v>0</v>
      </c>
      <c r="G1749" s="7">
        <f>IF(Zarejestrowane!$C$1756="","",Zarejestrowane!$C$1756)</f>
        <v>0</v>
      </c>
      <c r="H1749" s="9">
        <f>IF(AND($F1749&lt;&gt;"",ISNUMBER(SEARCH('Nr rejestracyjny'!$F$5,$F1749))),COUNT($H$1:H1748)+1,"")</f>
        <v>0</v>
      </c>
      <c r="I1749" s="9">
        <f>IF(AND($G1749&lt;&gt;"",ISNUMBER(SEARCH('Nr rejestracyjny'!$F$5,$G1749))),COUNT($I$1:I1748)+1,"")</f>
        <v>0</v>
      </c>
    </row>
    <row r="1750" spans="6:9">
      <c r="F1750" s="7">
        <f>IF('W rejestracji'!$C$1757="","",'W rejestracji'!$C$1757)</f>
        <v>0</v>
      </c>
      <c r="G1750" s="7">
        <f>IF(Zarejestrowane!$C$1757="","",Zarejestrowane!$C$1757)</f>
        <v>0</v>
      </c>
      <c r="H1750" s="9">
        <f>IF(AND($F1750&lt;&gt;"",ISNUMBER(SEARCH('Nr rejestracyjny'!$F$5,$F1750))),COUNT($H$1:H1749)+1,"")</f>
        <v>0</v>
      </c>
      <c r="I1750" s="9">
        <f>IF(AND($G1750&lt;&gt;"",ISNUMBER(SEARCH('Nr rejestracyjny'!$F$5,$G1750))),COUNT($I$1:I1749)+1,"")</f>
        <v>0</v>
      </c>
    </row>
    <row r="1751" spans="6:9">
      <c r="F1751" s="7">
        <f>IF('W rejestracji'!$C$1758="","",'W rejestracji'!$C$1758)</f>
        <v>0</v>
      </c>
      <c r="G1751" s="7">
        <f>IF(Zarejestrowane!$C$1758="","",Zarejestrowane!$C$1758)</f>
        <v>0</v>
      </c>
      <c r="H1751" s="9">
        <f>IF(AND($F1751&lt;&gt;"",ISNUMBER(SEARCH('Nr rejestracyjny'!$F$5,$F1751))),COUNT($H$1:H1750)+1,"")</f>
        <v>0</v>
      </c>
      <c r="I1751" s="9">
        <f>IF(AND($G1751&lt;&gt;"",ISNUMBER(SEARCH('Nr rejestracyjny'!$F$5,$G1751))),COUNT($I$1:I1750)+1,"")</f>
        <v>0</v>
      </c>
    </row>
    <row r="1752" spans="6:9">
      <c r="F1752" s="7">
        <f>IF('W rejestracji'!$C$1759="","",'W rejestracji'!$C$1759)</f>
        <v>0</v>
      </c>
      <c r="G1752" s="7">
        <f>IF(Zarejestrowane!$C$1759="","",Zarejestrowane!$C$1759)</f>
        <v>0</v>
      </c>
      <c r="H1752" s="9">
        <f>IF(AND($F1752&lt;&gt;"",ISNUMBER(SEARCH('Nr rejestracyjny'!$F$5,$F1752))),COUNT($H$1:H1751)+1,"")</f>
        <v>0</v>
      </c>
      <c r="I1752" s="9">
        <f>IF(AND($G1752&lt;&gt;"",ISNUMBER(SEARCH('Nr rejestracyjny'!$F$5,$G1752))),COUNT($I$1:I1751)+1,"")</f>
        <v>0</v>
      </c>
    </row>
    <row r="1753" spans="6:9">
      <c r="F1753" s="7">
        <f>IF('W rejestracji'!$C$1760="","",'W rejestracji'!$C$1760)</f>
        <v>0</v>
      </c>
      <c r="G1753" s="7">
        <f>IF(Zarejestrowane!$C$1760="","",Zarejestrowane!$C$1760)</f>
        <v>0</v>
      </c>
      <c r="H1753" s="9">
        <f>IF(AND($F1753&lt;&gt;"",ISNUMBER(SEARCH('Nr rejestracyjny'!$F$5,$F1753))),COUNT($H$1:H1752)+1,"")</f>
        <v>0</v>
      </c>
      <c r="I1753" s="9">
        <f>IF(AND($G1753&lt;&gt;"",ISNUMBER(SEARCH('Nr rejestracyjny'!$F$5,$G1753))),COUNT($I$1:I1752)+1,"")</f>
        <v>0</v>
      </c>
    </row>
    <row r="1754" spans="6:9">
      <c r="F1754" s="7">
        <f>IF('W rejestracji'!$C$1761="","",'W rejestracji'!$C$1761)</f>
        <v>0</v>
      </c>
      <c r="G1754" s="7">
        <f>IF(Zarejestrowane!$C$1761="","",Zarejestrowane!$C$1761)</f>
        <v>0</v>
      </c>
      <c r="H1754" s="9">
        <f>IF(AND($F1754&lt;&gt;"",ISNUMBER(SEARCH('Nr rejestracyjny'!$F$5,$F1754))),COUNT($H$1:H1753)+1,"")</f>
        <v>0</v>
      </c>
      <c r="I1754" s="9">
        <f>IF(AND($G1754&lt;&gt;"",ISNUMBER(SEARCH('Nr rejestracyjny'!$F$5,$G1754))),COUNT($I$1:I1753)+1,"")</f>
        <v>0</v>
      </c>
    </row>
    <row r="1755" spans="6:9">
      <c r="F1755" s="7">
        <f>IF('W rejestracji'!$C$1762="","",'W rejestracji'!$C$1762)</f>
        <v>0</v>
      </c>
      <c r="G1755" s="7">
        <f>IF(Zarejestrowane!$C$1762="","",Zarejestrowane!$C$1762)</f>
        <v>0</v>
      </c>
      <c r="H1755" s="9">
        <f>IF(AND($F1755&lt;&gt;"",ISNUMBER(SEARCH('Nr rejestracyjny'!$F$5,$F1755))),COUNT($H$1:H1754)+1,"")</f>
        <v>0</v>
      </c>
      <c r="I1755" s="9">
        <f>IF(AND($G1755&lt;&gt;"",ISNUMBER(SEARCH('Nr rejestracyjny'!$F$5,$G1755))),COUNT($I$1:I1754)+1,"")</f>
        <v>0</v>
      </c>
    </row>
    <row r="1756" spans="6:9">
      <c r="F1756" s="7">
        <f>IF('W rejestracji'!$C$1763="","",'W rejestracji'!$C$1763)</f>
        <v>0</v>
      </c>
      <c r="G1756" s="7">
        <f>IF(Zarejestrowane!$C$1763="","",Zarejestrowane!$C$1763)</f>
        <v>0</v>
      </c>
      <c r="H1756" s="9">
        <f>IF(AND($F1756&lt;&gt;"",ISNUMBER(SEARCH('Nr rejestracyjny'!$F$5,$F1756))),COUNT($H$1:H1755)+1,"")</f>
        <v>0</v>
      </c>
      <c r="I1756" s="9">
        <f>IF(AND($G1756&lt;&gt;"",ISNUMBER(SEARCH('Nr rejestracyjny'!$F$5,$G1756))),COUNT($I$1:I1755)+1,"")</f>
        <v>0</v>
      </c>
    </row>
    <row r="1757" spans="6:9">
      <c r="F1757" s="7">
        <f>IF('W rejestracji'!$C$1764="","",'W rejestracji'!$C$1764)</f>
        <v>0</v>
      </c>
      <c r="G1757" s="7">
        <f>IF(Zarejestrowane!$C$1764="","",Zarejestrowane!$C$1764)</f>
        <v>0</v>
      </c>
      <c r="H1757" s="9">
        <f>IF(AND($F1757&lt;&gt;"",ISNUMBER(SEARCH('Nr rejestracyjny'!$F$5,$F1757))),COUNT($H$1:H1756)+1,"")</f>
        <v>0</v>
      </c>
      <c r="I1757" s="9">
        <f>IF(AND($G1757&lt;&gt;"",ISNUMBER(SEARCH('Nr rejestracyjny'!$F$5,$G1757))),COUNT($I$1:I1756)+1,"")</f>
        <v>0</v>
      </c>
    </row>
    <row r="1758" spans="6:9">
      <c r="F1758" s="7">
        <f>IF('W rejestracji'!$C$1765="","",'W rejestracji'!$C$1765)</f>
        <v>0</v>
      </c>
      <c r="G1758" s="7">
        <f>IF(Zarejestrowane!$C$1765="","",Zarejestrowane!$C$1765)</f>
        <v>0</v>
      </c>
      <c r="H1758" s="9">
        <f>IF(AND($F1758&lt;&gt;"",ISNUMBER(SEARCH('Nr rejestracyjny'!$F$5,$F1758))),COUNT($H$1:H1757)+1,"")</f>
        <v>0</v>
      </c>
      <c r="I1758" s="9">
        <f>IF(AND($G1758&lt;&gt;"",ISNUMBER(SEARCH('Nr rejestracyjny'!$F$5,$G1758))),COUNT($I$1:I1757)+1,"")</f>
        <v>0</v>
      </c>
    </row>
    <row r="1759" spans="6:9">
      <c r="F1759" s="7">
        <f>IF('W rejestracji'!$C$1766="","",'W rejestracji'!$C$1766)</f>
        <v>0</v>
      </c>
      <c r="G1759" s="7">
        <f>IF(Zarejestrowane!$C$1766="","",Zarejestrowane!$C$1766)</f>
        <v>0</v>
      </c>
      <c r="H1759" s="9">
        <f>IF(AND($F1759&lt;&gt;"",ISNUMBER(SEARCH('Nr rejestracyjny'!$F$5,$F1759))),COUNT($H$1:H1758)+1,"")</f>
        <v>0</v>
      </c>
      <c r="I1759" s="9">
        <f>IF(AND($G1759&lt;&gt;"",ISNUMBER(SEARCH('Nr rejestracyjny'!$F$5,$G1759))),COUNT($I$1:I1758)+1,"")</f>
        <v>0</v>
      </c>
    </row>
    <row r="1760" spans="6:9">
      <c r="F1760" s="7">
        <f>IF('W rejestracji'!$C$1767="","",'W rejestracji'!$C$1767)</f>
        <v>0</v>
      </c>
      <c r="G1760" s="7">
        <f>IF(Zarejestrowane!$C$1767="","",Zarejestrowane!$C$1767)</f>
        <v>0</v>
      </c>
      <c r="H1760" s="9">
        <f>IF(AND($F1760&lt;&gt;"",ISNUMBER(SEARCH('Nr rejestracyjny'!$F$5,$F1760))),COUNT($H$1:H1759)+1,"")</f>
        <v>0</v>
      </c>
      <c r="I1760" s="9">
        <f>IF(AND($G1760&lt;&gt;"",ISNUMBER(SEARCH('Nr rejestracyjny'!$F$5,$G1760))),COUNT($I$1:I1759)+1,"")</f>
        <v>0</v>
      </c>
    </row>
    <row r="1761" spans="6:9">
      <c r="F1761" s="7">
        <f>IF('W rejestracji'!$C$1768="","",'W rejestracji'!$C$1768)</f>
        <v>0</v>
      </c>
      <c r="G1761" s="7">
        <f>IF(Zarejestrowane!$C$1768="","",Zarejestrowane!$C$1768)</f>
        <v>0</v>
      </c>
      <c r="H1761" s="9">
        <f>IF(AND($F1761&lt;&gt;"",ISNUMBER(SEARCH('Nr rejestracyjny'!$F$5,$F1761))),COUNT($H$1:H1760)+1,"")</f>
        <v>0</v>
      </c>
      <c r="I1761" s="9">
        <f>IF(AND($G1761&lt;&gt;"",ISNUMBER(SEARCH('Nr rejestracyjny'!$F$5,$G1761))),COUNT($I$1:I1760)+1,"")</f>
        <v>0</v>
      </c>
    </row>
    <row r="1762" spans="6:9">
      <c r="F1762" s="7">
        <f>IF('W rejestracji'!$C$1769="","",'W rejestracji'!$C$1769)</f>
        <v>0</v>
      </c>
      <c r="G1762" s="7">
        <f>IF(Zarejestrowane!$C$1769="","",Zarejestrowane!$C$1769)</f>
        <v>0</v>
      </c>
      <c r="H1762" s="9">
        <f>IF(AND($F1762&lt;&gt;"",ISNUMBER(SEARCH('Nr rejestracyjny'!$F$5,$F1762))),COUNT($H$1:H1761)+1,"")</f>
        <v>0</v>
      </c>
      <c r="I1762" s="9">
        <f>IF(AND($G1762&lt;&gt;"",ISNUMBER(SEARCH('Nr rejestracyjny'!$F$5,$G1762))),COUNT($I$1:I1761)+1,"")</f>
        <v>0</v>
      </c>
    </row>
    <row r="1763" spans="6:9">
      <c r="F1763" s="7">
        <f>IF('W rejestracji'!$C$1770="","",'W rejestracji'!$C$1770)</f>
        <v>0</v>
      </c>
      <c r="G1763" s="7">
        <f>IF(Zarejestrowane!$C$1770="","",Zarejestrowane!$C$1770)</f>
        <v>0</v>
      </c>
      <c r="H1763" s="9">
        <f>IF(AND($F1763&lt;&gt;"",ISNUMBER(SEARCH('Nr rejestracyjny'!$F$5,$F1763))),COUNT($H$1:H1762)+1,"")</f>
        <v>0</v>
      </c>
      <c r="I1763" s="9">
        <f>IF(AND($G1763&lt;&gt;"",ISNUMBER(SEARCH('Nr rejestracyjny'!$F$5,$G1763))),COUNT($I$1:I1762)+1,"")</f>
        <v>0</v>
      </c>
    </row>
    <row r="1764" spans="6:9">
      <c r="F1764" s="7">
        <f>IF('W rejestracji'!$C$1771="","",'W rejestracji'!$C$1771)</f>
        <v>0</v>
      </c>
      <c r="G1764" s="7">
        <f>IF(Zarejestrowane!$C$1771="","",Zarejestrowane!$C$1771)</f>
        <v>0</v>
      </c>
      <c r="H1764" s="9">
        <f>IF(AND($F1764&lt;&gt;"",ISNUMBER(SEARCH('Nr rejestracyjny'!$F$5,$F1764))),COUNT($H$1:H1763)+1,"")</f>
        <v>0</v>
      </c>
      <c r="I1764" s="9">
        <f>IF(AND($G1764&lt;&gt;"",ISNUMBER(SEARCH('Nr rejestracyjny'!$F$5,$G1764))),COUNT($I$1:I1763)+1,"")</f>
        <v>0</v>
      </c>
    </row>
    <row r="1765" spans="6:9">
      <c r="F1765" s="7">
        <f>IF('W rejestracji'!$C$1772="","",'W rejestracji'!$C$1772)</f>
        <v>0</v>
      </c>
      <c r="G1765" s="7">
        <f>IF(Zarejestrowane!$C$1772="","",Zarejestrowane!$C$1772)</f>
        <v>0</v>
      </c>
      <c r="H1765" s="9">
        <f>IF(AND($F1765&lt;&gt;"",ISNUMBER(SEARCH('Nr rejestracyjny'!$F$5,$F1765))),COUNT($H$1:H1764)+1,"")</f>
        <v>0</v>
      </c>
      <c r="I1765" s="9">
        <f>IF(AND($G1765&lt;&gt;"",ISNUMBER(SEARCH('Nr rejestracyjny'!$F$5,$G1765))),COUNT($I$1:I1764)+1,"")</f>
        <v>0</v>
      </c>
    </row>
    <row r="1766" spans="6:9">
      <c r="F1766" s="7">
        <f>IF('W rejestracji'!$C$1773="","",'W rejestracji'!$C$1773)</f>
        <v>0</v>
      </c>
      <c r="G1766" s="7">
        <f>IF(Zarejestrowane!$C$1773="","",Zarejestrowane!$C$1773)</f>
        <v>0</v>
      </c>
      <c r="H1766" s="9">
        <f>IF(AND($F1766&lt;&gt;"",ISNUMBER(SEARCH('Nr rejestracyjny'!$F$5,$F1766))),COUNT($H$1:H1765)+1,"")</f>
        <v>0</v>
      </c>
      <c r="I1766" s="9">
        <f>IF(AND($G1766&lt;&gt;"",ISNUMBER(SEARCH('Nr rejestracyjny'!$F$5,$G1766))),COUNT($I$1:I1765)+1,"")</f>
        <v>0</v>
      </c>
    </row>
    <row r="1767" spans="6:9">
      <c r="F1767" s="7">
        <f>IF('W rejestracji'!$C$1774="","",'W rejestracji'!$C$1774)</f>
        <v>0</v>
      </c>
      <c r="G1767" s="7">
        <f>IF(Zarejestrowane!$C$1774="","",Zarejestrowane!$C$1774)</f>
        <v>0</v>
      </c>
      <c r="H1767" s="9">
        <f>IF(AND($F1767&lt;&gt;"",ISNUMBER(SEARCH('Nr rejestracyjny'!$F$5,$F1767))),COUNT($H$1:H1766)+1,"")</f>
        <v>0</v>
      </c>
      <c r="I1767" s="9">
        <f>IF(AND($G1767&lt;&gt;"",ISNUMBER(SEARCH('Nr rejestracyjny'!$F$5,$G1767))),COUNT($I$1:I1766)+1,"")</f>
        <v>0</v>
      </c>
    </row>
    <row r="1768" spans="6:9">
      <c r="F1768" s="7">
        <f>IF('W rejestracji'!$C$1775="","",'W rejestracji'!$C$1775)</f>
        <v>0</v>
      </c>
      <c r="G1768" s="7">
        <f>IF(Zarejestrowane!$C$1775="","",Zarejestrowane!$C$1775)</f>
        <v>0</v>
      </c>
      <c r="H1768" s="9">
        <f>IF(AND($F1768&lt;&gt;"",ISNUMBER(SEARCH('Nr rejestracyjny'!$F$5,$F1768))),COUNT($H$1:H1767)+1,"")</f>
        <v>0</v>
      </c>
      <c r="I1768" s="9">
        <f>IF(AND($G1768&lt;&gt;"",ISNUMBER(SEARCH('Nr rejestracyjny'!$F$5,$G1768))),COUNT($I$1:I1767)+1,"")</f>
        <v>0</v>
      </c>
    </row>
    <row r="1769" spans="6:9">
      <c r="F1769" s="7">
        <f>IF('W rejestracji'!$C$1776="","",'W rejestracji'!$C$1776)</f>
        <v>0</v>
      </c>
      <c r="G1769" s="7">
        <f>IF(Zarejestrowane!$C$1776="","",Zarejestrowane!$C$1776)</f>
        <v>0</v>
      </c>
      <c r="H1769" s="9">
        <f>IF(AND($F1769&lt;&gt;"",ISNUMBER(SEARCH('Nr rejestracyjny'!$F$5,$F1769))),COUNT($H$1:H1768)+1,"")</f>
        <v>0</v>
      </c>
      <c r="I1769" s="9">
        <f>IF(AND($G1769&lt;&gt;"",ISNUMBER(SEARCH('Nr rejestracyjny'!$F$5,$G1769))),COUNT($I$1:I1768)+1,"")</f>
        <v>0</v>
      </c>
    </row>
    <row r="1770" spans="6:9">
      <c r="F1770" s="7">
        <f>IF('W rejestracji'!$C$1777="","",'W rejestracji'!$C$1777)</f>
        <v>0</v>
      </c>
      <c r="G1770" s="7">
        <f>IF(Zarejestrowane!$C$1777="","",Zarejestrowane!$C$1777)</f>
        <v>0</v>
      </c>
      <c r="H1770" s="9">
        <f>IF(AND($F1770&lt;&gt;"",ISNUMBER(SEARCH('Nr rejestracyjny'!$F$5,$F1770))),COUNT($H$1:H1769)+1,"")</f>
        <v>0</v>
      </c>
      <c r="I1770" s="9">
        <f>IF(AND($G1770&lt;&gt;"",ISNUMBER(SEARCH('Nr rejestracyjny'!$F$5,$G1770))),COUNT($I$1:I1769)+1,"")</f>
        <v>0</v>
      </c>
    </row>
    <row r="1771" spans="6:9">
      <c r="F1771" s="7">
        <f>IF('W rejestracji'!$C$1778="","",'W rejestracji'!$C$1778)</f>
        <v>0</v>
      </c>
      <c r="G1771" s="7">
        <f>IF(Zarejestrowane!$C$1778="","",Zarejestrowane!$C$1778)</f>
        <v>0</v>
      </c>
      <c r="H1771" s="9">
        <f>IF(AND($F1771&lt;&gt;"",ISNUMBER(SEARCH('Nr rejestracyjny'!$F$5,$F1771))),COUNT($H$1:H1770)+1,"")</f>
        <v>0</v>
      </c>
      <c r="I1771" s="9">
        <f>IF(AND($G1771&lt;&gt;"",ISNUMBER(SEARCH('Nr rejestracyjny'!$F$5,$G1771))),COUNT($I$1:I1770)+1,"")</f>
        <v>0</v>
      </c>
    </row>
    <row r="1772" spans="6:9">
      <c r="F1772" s="7">
        <f>IF('W rejestracji'!$C$1779="","",'W rejestracji'!$C$1779)</f>
        <v>0</v>
      </c>
      <c r="G1772" s="7">
        <f>IF(Zarejestrowane!$C$1779="","",Zarejestrowane!$C$1779)</f>
        <v>0</v>
      </c>
      <c r="H1772" s="9">
        <f>IF(AND($F1772&lt;&gt;"",ISNUMBER(SEARCH('Nr rejestracyjny'!$F$5,$F1772))),COUNT($H$1:H1771)+1,"")</f>
        <v>0</v>
      </c>
      <c r="I1772" s="9">
        <f>IF(AND($G1772&lt;&gt;"",ISNUMBER(SEARCH('Nr rejestracyjny'!$F$5,$G1772))),COUNT($I$1:I1771)+1,"")</f>
        <v>0</v>
      </c>
    </row>
    <row r="1773" spans="6:9">
      <c r="F1773" s="7">
        <f>IF('W rejestracji'!$C$1780="","",'W rejestracji'!$C$1780)</f>
        <v>0</v>
      </c>
      <c r="G1773" s="7">
        <f>IF(Zarejestrowane!$C$1780="","",Zarejestrowane!$C$1780)</f>
        <v>0</v>
      </c>
      <c r="H1773" s="9">
        <f>IF(AND($F1773&lt;&gt;"",ISNUMBER(SEARCH('Nr rejestracyjny'!$F$5,$F1773))),COUNT($H$1:H1772)+1,"")</f>
        <v>0</v>
      </c>
      <c r="I1773" s="9">
        <f>IF(AND($G1773&lt;&gt;"",ISNUMBER(SEARCH('Nr rejestracyjny'!$F$5,$G1773))),COUNT($I$1:I1772)+1,"")</f>
        <v>0</v>
      </c>
    </row>
    <row r="1774" spans="6:9">
      <c r="F1774" s="7">
        <f>IF('W rejestracji'!$C$1781="","",'W rejestracji'!$C$1781)</f>
        <v>0</v>
      </c>
      <c r="G1774" s="7">
        <f>IF(Zarejestrowane!$C$1781="","",Zarejestrowane!$C$1781)</f>
        <v>0</v>
      </c>
      <c r="H1774" s="9">
        <f>IF(AND($F1774&lt;&gt;"",ISNUMBER(SEARCH('Nr rejestracyjny'!$F$5,$F1774))),COUNT($H$1:H1773)+1,"")</f>
        <v>0</v>
      </c>
      <c r="I1774" s="9">
        <f>IF(AND($G1774&lt;&gt;"",ISNUMBER(SEARCH('Nr rejestracyjny'!$F$5,$G1774))),COUNT($I$1:I1773)+1,"")</f>
        <v>0</v>
      </c>
    </row>
    <row r="1775" spans="6:9">
      <c r="F1775" s="7">
        <f>IF('W rejestracji'!$C$1782="","",'W rejestracji'!$C$1782)</f>
        <v>0</v>
      </c>
      <c r="G1775" s="7">
        <f>IF(Zarejestrowane!$C$1782="","",Zarejestrowane!$C$1782)</f>
        <v>0</v>
      </c>
      <c r="H1775" s="9">
        <f>IF(AND($F1775&lt;&gt;"",ISNUMBER(SEARCH('Nr rejestracyjny'!$F$5,$F1775))),COUNT($H$1:H1774)+1,"")</f>
        <v>0</v>
      </c>
      <c r="I1775" s="9">
        <f>IF(AND($G1775&lt;&gt;"",ISNUMBER(SEARCH('Nr rejestracyjny'!$F$5,$G1775))),COUNT($I$1:I1774)+1,"")</f>
        <v>0</v>
      </c>
    </row>
    <row r="1776" spans="6:9">
      <c r="F1776" s="7">
        <f>IF('W rejestracji'!$C$1783="","",'W rejestracji'!$C$1783)</f>
        <v>0</v>
      </c>
      <c r="G1776" s="7">
        <f>IF(Zarejestrowane!$C$1783="","",Zarejestrowane!$C$1783)</f>
        <v>0</v>
      </c>
      <c r="H1776" s="9">
        <f>IF(AND($F1776&lt;&gt;"",ISNUMBER(SEARCH('Nr rejestracyjny'!$F$5,$F1776))),COUNT($H$1:H1775)+1,"")</f>
        <v>0</v>
      </c>
      <c r="I1776" s="9">
        <f>IF(AND($G1776&lt;&gt;"",ISNUMBER(SEARCH('Nr rejestracyjny'!$F$5,$G1776))),COUNT($I$1:I1775)+1,"")</f>
        <v>0</v>
      </c>
    </row>
    <row r="1777" spans="6:9">
      <c r="F1777" s="7">
        <f>IF('W rejestracji'!$C$1784="","",'W rejestracji'!$C$1784)</f>
        <v>0</v>
      </c>
      <c r="G1777" s="7">
        <f>IF(Zarejestrowane!$C$1784="","",Zarejestrowane!$C$1784)</f>
        <v>0</v>
      </c>
      <c r="H1777" s="9">
        <f>IF(AND($F1777&lt;&gt;"",ISNUMBER(SEARCH('Nr rejestracyjny'!$F$5,$F1777))),COUNT($H$1:H1776)+1,"")</f>
        <v>0</v>
      </c>
      <c r="I1777" s="9">
        <f>IF(AND($G1777&lt;&gt;"",ISNUMBER(SEARCH('Nr rejestracyjny'!$F$5,$G1777))),COUNT($I$1:I1776)+1,"")</f>
        <v>0</v>
      </c>
    </row>
    <row r="1778" spans="6:9">
      <c r="F1778" s="7">
        <f>IF('W rejestracji'!$C$1785="","",'W rejestracji'!$C$1785)</f>
        <v>0</v>
      </c>
      <c r="G1778" s="7">
        <f>IF(Zarejestrowane!$C$1785="","",Zarejestrowane!$C$1785)</f>
        <v>0</v>
      </c>
      <c r="H1778" s="9">
        <f>IF(AND($F1778&lt;&gt;"",ISNUMBER(SEARCH('Nr rejestracyjny'!$F$5,$F1778))),COUNT($H$1:H1777)+1,"")</f>
        <v>0</v>
      </c>
      <c r="I1778" s="9">
        <f>IF(AND($G1778&lt;&gt;"",ISNUMBER(SEARCH('Nr rejestracyjny'!$F$5,$G1778))),COUNT($I$1:I1777)+1,"")</f>
        <v>0</v>
      </c>
    </row>
    <row r="1779" spans="6:9">
      <c r="F1779" s="7">
        <f>IF('W rejestracji'!$C$1786="","",'W rejestracji'!$C$1786)</f>
        <v>0</v>
      </c>
      <c r="G1779" s="7">
        <f>IF(Zarejestrowane!$C$1786="","",Zarejestrowane!$C$1786)</f>
        <v>0</v>
      </c>
      <c r="H1779" s="9">
        <f>IF(AND($F1779&lt;&gt;"",ISNUMBER(SEARCH('Nr rejestracyjny'!$F$5,$F1779))),COUNT($H$1:H1778)+1,"")</f>
        <v>0</v>
      </c>
      <c r="I1779" s="9">
        <f>IF(AND($G1779&lt;&gt;"",ISNUMBER(SEARCH('Nr rejestracyjny'!$F$5,$G1779))),COUNT($I$1:I1778)+1,"")</f>
        <v>0</v>
      </c>
    </row>
    <row r="1780" spans="6:9">
      <c r="F1780" s="7">
        <f>IF('W rejestracji'!$C$1787="","",'W rejestracji'!$C$1787)</f>
        <v>0</v>
      </c>
      <c r="G1780" s="7">
        <f>IF(Zarejestrowane!$C$1787="","",Zarejestrowane!$C$1787)</f>
        <v>0</v>
      </c>
      <c r="H1780" s="9">
        <f>IF(AND($F1780&lt;&gt;"",ISNUMBER(SEARCH('Nr rejestracyjny'!$F$5,$F1780))),COUNT($H$1:H1779)+1,"")</f>
        <v>0</v>
      </c>
      <c r="I1780" s="9">
        <f>IF(AND($G1780&lt;&gt;"",ISNUMBER(SEARCH('Nr rejestracyjny'!$F$5,$G1780))),COUNT($I$1:I1779)+1,"")</f>
        <v>0</v>
      </c>
    </row>
    <row r="1781" spans="6:9">
      <c r="F1781" s="7">
        <f>IF('W rejestracji'!$C$1788="","",'W rejestracji'!$C$1788)</f>
        <v>0</v>
      </c>
      <c r="G1781" s="7">
        <f>IF(Zarejestrowane!$C$1788="","",Zarejestrowane!$C$1788)</f>
        <v>0</v>
      </c>
      <c r="H1781" s="9">
        <f>IF(AND($F1781&lt;&gt;"",ISNUMBER(SEARCH('Nr rejestracyjny'!$F$5,$F1781))),COUNT($H$1:H1780)+1,"")</f>
        <v>0</v>
      </c>
      <c r="I1781" s="9">
        <f>IF(AND($G1781&lt;&gt;"",ISNUMBER(SEARCH('Nr rejestracyjny'!$F$5,$G1781))),COUNT($I$1:I1780)+1,"")</f>
        <v>0</v>
      </c>
    </row>
    <row r="1782" spans="6:9">
      <c r="F1782" s="7">
        <f>IF('W rejestracji'!$C$1789="","",'W rejestracji'!$C$1789)</f>
        <v>0</v>
      </c>
      <c r="G1782" s="7">
        <f>IF(Zarejestrowane!$C$1789="","",Zarejestrowane!$C$1789)</f>
        <v>0</v>
      </c>
      <c r="H1782" s="9">
        <f>IF(AND($F1782&lt;&gt;"",ISNUMBER(SEARCH('Nr rejestracyjny'!$F$5,$F1782))),COUNT($H$1:H1781)+1,"")</f>
        <v>0</v>
      </c>
      <c r="I1782" s="9">
        <f>IF(AND($G1782&lt;&gt;"",ISNUMBER(SEARCH('Nr rejestracyjny'!$F$5,$G1782))),COUNT($I$1:I1781)+1,"")</f>
        <v>0</v>
      </c>
    </row>
    <row r="1783" spans="6:9">
      <c r="F1783" s="7">
        <f>IF('W rejestracji'!$C$1790="","",'W rejestracji'!$C$1790)</f>
        <v>0</v>
      </c>
      <c r="G1783" s="7">
        <f>IF(Zarejestrowane!$C$1790="","",Zarejestrowane!$C$1790)</f>
        <v>0</v>
      </c>
      <c r="H1783" s="9">
        <f>IF(AND($F1783&lt;&gt;"",ISNUMBER(SEARCH('Nr rejestracyjny'!$F$5,$F1783))),COUNT($H$1:H1782)+1,"")</f>
        <v>0</v>
      </c>
      <c r="I1783" s="9">
        <f>IF(AND($G1783&lt;&gt;"",ISNUMBER(SEARCH('Nr rejestracyjny'!$F$5,$G1783))),COUNT($I$1:I1782)+1,"")</f>
        <v>0</v>
      </c>
    </row>
    <row r="1784" spans="6:9">
      <c r="F1784" s="7">
        <f>IF('W rejestracji'!$C$1791="","",'W rejestracji'!$C$1791)</f>
        <v>0</v>
      </c>
      <c r="G1784" s="7">
        <f>IF(Zarejestrowane!$C$1791="","",Zarejestrowane!$C$1791)</f>
        <v>0</v>
      </c>
      <c r="H1784" s="9">
        <f>IF(AND($F1784&lt;&gt;"",ISNUMBER(SEARCH('Nr rejestracyjny'!$F$5,$F1784))),COUNT($H$1:H1783)+1,"")</f>
        <v>0</v>
      </c>
      <c r="I1784" s="9">
        <f>IF(AND($G1784&lt;&gt;"",ISNUMBER(SEARCH('Nr rejestracyjny'!$F$5,$G1784))),COUNT($I$1:I1783)+1,"")</f>
        <v>0</v>
      </c>
    </row>
    <row r="1785" spans="6:9">
      <c r="F1785" s="7">
        <f>IF('W rejestracji'!$C$1792="","",'W rejestracji'!$C$1792)</f>
        <v>0</v>
      </c>
      <c r="G1785" s="7">
        <f>IF(Zarejestrowane!$C$1792="","",Zarejestrowane!$C$1792)</f>
        <v>0</v>
      </c>
      <c r="H1785" s="9">
        <f>IF(AND($F1785&lt;&gt;"",ISNUMBER(SEARCH('Nr rejestracyjny'!$F$5,$F1785))),COUNT($H$1:H1784)+1,"")</f>
        <v>0</v>
      </c>
      <c r="I1785" s="9">
        <f>IF(AND($G1785&lt;&gt;"",ISNUMBER(SEARCH('Nr rejestracyjny'!$F$5,$G1785))),COUNT($I$1:I1784)+1,"")</f>
        <v>0</v>
      </c>
    </row>
    <row r="1786" spans="6:9">
      <c r="F1786" s="7">
        <f>IF('W rejestracji'!$C$1793="","",'W rejestracji'!$C$1793)</f>
        <v>0</v>
      </c>
      <c r="G1786" s="7">
        <f>IF(Zarejestrowane!$C$1793="","",Zarejestrowane!$C$1793)</f>
        <v>0</v>
      </c>
      <c r="H1786" s="9">
        <f>IF(AND($F1786&lt;&gt;"",ISNUMBER(SEARCH('Nr rejestracyjny'!$F$5,$F1786))),COUNT($H$1:H1785)+1,"")</f>
        <v>0</v>
      </c>
      <c r="I1786" s="9">
        <f>IF(AND($G1786&lt;&gt;"",ISNUMBER(SEARCH('Nr rejestracyjny'!$F$5,$G1786))),COUNT($I$1:I1785)+1,"")</f>
        <v>0</v>
      </c>
    </row>
    <row r="1787" spans="6:9">
      <c r="F1787" s="7">
        <f>IF('W rejestracji'!$C$1794="","",'W rejestracji'!$C$1794)</f>
        <v>0</v>
      </c>
      <c r="G1787" s="7">
        <f>IF(Zarejestrowane!$C$1794="","",Zarejestrowane!$C$1794)</f>
        <v>0</v>
      </c>
      <c r="H1787" s="9">
        <f>IF(AND($F1787&lt;&gt;"",ISNUMBER(SEARCH('Nr rejestracyjny'!$F$5,$F1787))),COUNT($H$1:H1786)+1,"")</f>
        <v>0</v>
      </c>
      <c r="I1787" s="9">
        <f>IF(AND($G1787&lt;&gt;"",ISNUMBER(SEARCH('Nr rejestracyjny'!$F$5,$G1787))),COUNT($I$1:I1786)+1,"")</f>
        <v>0</v>
      </c>
    </row>
    <row r="1788" spans="6:9">
      <c r="F1788" s="7">
        <f>IF('W rejestracji'!$C$1795="","",'W rejestracji'!$C$1795)</f>
        <v>0</v>
      </c>
      <c r="G1788" s="7">
        <f>IF(Zarejestrowane!$C$1795="","",Zarejestrowane!$C$1795)</f>
        <v>0</v>
      </c>
      <c r="H1788" s="9">
        <f>IF(AND($F1788&lt;&gt;"",ISNUMBER(SEARCH('Nr rejestracyjny'!$F$5,$F1788))),COUNT($H$1:H1787)+1,"")</f>
        <v>0</v>
      </c>
      <c r="I1788" s="9">
        <f>IF(AND($G1788&lt;&gt;"",ISNUMBER(SEARCH('Nr rejestracyjny'!$F$5,$G1788))),COUNT($I$1:I1787)+1,"")</f>
        <v>0</v>
      </c>
    </row>
    <row r="1789" spans="6:9">
      <c r="F1789" s="7">
        <f>IF('W rejestracji'!$C$1796="","",'W rejestracji'!$C$1796)</f>
        <v>0</v>
      </c>
      <c r="G1789" s="7">
        <f>IF(Zarejestrowane!$C$1796="","",Zarejestrowane!$C$1796)</f>
        <v>0</v>
      </c>
      <c r="H1789" s="9">
        <f>IF(AND($F1789&lt;&gt;"",ISNUMBER(SEARCH('Nr rejestracyjny'!$F$5,$F1789))),COUNT($H$1:H1788)+1,"")</f>
        <v>0</v>
      </c>
      <c r="I1789" s="9">
        <f>IF(AND($G1789&lt;&gt;"",ISNUMBER(SEARCH('Nr rejestracyjny'!$F$5,$G1789))),COUNT($I$1:I1788)+1,"")</f>
        <v>0</v>
      </c>
    </row>
    <row r="1790" spans="6:9">
      <c r="F1790" s="7">
        <f>IF('W rejestracji'!$C$1797="","",'W rejestracji'!$C$1797)</f>
        <v>0</v>
      </c>
      <c r="G1790" s="7">
        <f>IF(Zarejestrowane!$C$1797="","",Zarejestrowane!$C$1797)</f>
        <v>0</v>
      </c>
      <c r="H1790" s="9">
        <f>IF(AND($F1790&lt;&gt;"",ISNUMBER(SEARCH('Nr rejestracyjny'!$F$5,$F1790))),COUNT($H$1:H1789)+1,"")</f>
        <v>0</v>
      </c>
      <c r="I1790" s="9">
        <f>IF(AND($G1790&lt;&gt;"",ISNUMBER(SEARCH('Nr rejestracyjny'!$F$5,$G1790))),COUNT($I$1:I1789)+1,"")</f>
        <v>0</v>
      </c>
    </row>
    <row r="1791" spans="6:9">
      <c r="F1791" s="7">
        <f>IF('W rejestracji'!$C$1798="","",'W rejestracji'!$C$1798)</f>
        <v>0</v>
      </c>
      <c r="G1791" s="7">
        <f>IF(Zarejestrowane!$C$1798="","",Zarejestrowane!$C$1798)</f>
        <v>0</v>
      </c>
      <c r="H1791" s="9">
        <f>IF(AND($F1791&lt;&gt;"",ISNUMBER(SEARCH('Nr rejestracyjny'!$F$5,$F1791))),COUNT($H$1:H1790)+1,"")</f>
        <v>0</v>
      </c>
      <c r="I1791" s="9">
        <f>IF(AND($G1791&lt;&gt;"",ISNUMBER(SEARCH('Nr rejestracyjny'!$F$5,$G1791))),COUNT($I$1:I1790)+1,"")</f>
        <v>0</v>
      </c>
    </row>
    <row r="1792" spans="6:9">
      <c r="F1792" s="7">
        <f>IF('W rejestracji'!$C$1799="","",'W rejestracji'!$C$1799)</f>
        <v>0</v>
      </c>
      <c r="G1792" s="7">
        <f>IF(Zarejestrowane!$C$1799="","",Zarejestrowane!$C$1799)</f>
        <v>0</v>
      </c>
      <c r="H1792" s="9">
        <f>IF(AND($F1792&lt;&gt;"",ISNUMBER(SEARCH('Nr rejestracyjny'!$F$5,$F1792))),COUNT($H$1:H1791)+1,"")</f>
        <v>0</v>
      </c>
      <c r="I1792" s="9">
        <f>IF(AND($G1792&lt;&gt;"",ISNUMBER(SEARCH('Nr rejestracyjny'!$F$5,$G1792))),COUNT($I$1:I1791)+1,"")</f>
        <v>0</v>
      </c>
    </row>
    <row r="1793" spans="6:9">
      <c r="F1793" s="7">
        <f>IF('W rejestracji'!$C$1800="","",'W rejestracji'!$C$1800)</f>
        <v>0</v>
      </c>
      <c r="G1793" s="7">
        <f>IF(Zarejestrowane!$C$1800="","",Zarejestrowane!$C$1800)</f>
        <v>0</v>
      </c>
      <c r="H1793" s="9">
        <f>IF(AND($F1793&lt;&gt;"",ISNUMBER(SEARCH('Nr rejestracyjny'!$F$5,$F1793))),COUNT($H$1:H1792)+1,"")</f>
        <v>0</v>
      </c>
      <c r="I1793" s="9">
        <f>IF(AND($G1793&lt;&gt;"",ISNUMBER(SEARCH('Nr rejestracyjny'!$F$5,$G1793))),COUNT($I$1:I1792)+1,"")</f>
        <v>0</v>
      </c>
    </row>
    <row r="1794" spans="6:9">
      <c r="F1794" s="7">
        <f>IF('W rejestracji'!$C$1801="","",'W rejestracji'!$C$1801)</f>
        <v>0</v>
      </c>
      <c r="G1794" s="7">
        <f>IF(Zarejestrowane!$C$1801="","",Zarejestrowane!$C$1801)</f>
        <v>0</v>
      </c>
      <c r="H1794" s="9">
        <f>IF(AND($F1794&lt;&gt;"",ISNUMBER(SEARCH('Nr rejestracyjny'!$F$5,$F1794))),COUNT($H$1:H1793)+1,"")</f>
        <v>0</v>
      </c>
      <c r="I1794" s="9">
        <f>IF(AND($G1794&lt;&gt;"",ISNUMBER(SEARCH('Nr rejestracyjny'!$F$5,$G1794))),COUNT($I$1:I1793)+1,"")</f>
        <v>0</v>
      </c>
    </row>
    <row r="1795" spans="6:9">
      <c r="F1795" s="7">
        <f>IF('W rejestracji'!$C$1802="","",'W rejestracji'!$C$1802)</f>
        <v>0</v>
      </c>
      <c r="G1795" s="7">
        <f>IF(Zarejestrowane!$C$1802="","",Zarejestrowane!$C$1802)</f>
        <v>0</v>
      </c>
      <c r="H1795" s="9">
        <f>IF(AND($F1795&lt;&gt;"",ISNUMBER(SEARCH('Nr rejestracyjny'!$F$5,$F1795))),COUNT($H$1:H1794)+1,"")</f>
        <v>0</v>
      </c>
      <c r="I1795" s="9">
        <f>IF(AND($G1795&lt;&gt;"",ISNUMBER(SEARCH('Nr rejestracyjny'!$F$5,$G1795))),COUNT($I$1:I1794)+1,"")</f>
        <v>0</v>
      </c>
    </row>
    <row r="1796" spans="6:9">
      <c r="F1796" s="7">
        <f>IF('W rejestracji'!$C$1803="","",'W rejestracji'!$C$1803)</f>
        <v>0</v>
      </c>
      <c r="G1796" s="7">
        <f>IF(Zarejestrowane!$C$1803="","",Zarejestrowane!$C$1803)</f>
        <v>0</v>
      </c>
      <c r="H1796" s="9">
        <f>IF(AND($F1796&lt;&gt;"",ISNUMBER(SEARCH('Nr rejestracyjny'!$F$5,$F1796))),COUNT($H$1:H1795)+1,"")</f>
        <v>0</v>
      </c>
      <c r="I1796" s="9">
        <f>IF(AND($G1796&lt;&gt;"",ISNUMBER(SEARCH('Nr rejestracyjny'!$F$5,$G1796))),COUNT($I$1:I1795)+1,"")</f>
        <v>0</v>
      </c>
    </row>
    <row r="1797" spans="6:9">
      <c r="F1797" s="7">
        <f>IF('W rejestracji'!$C$1804="","",'W rejestracji'!$C$1804)</f>
        <v>0</v>
      </c>
      <c r="G1797" s="7">
        <f>IF(Zarejestrowane!$C$1804="","",Zarejestrowane!$C$1804)</f>
        <v>0</v>
      </c>
      <c r="H1797" s="9">
        <f>IF(AND($F1797&lt;&gt;"",ISNUMBER(SEARCH('Nr rejestracyjny'!$F$5,$F1797))),COUNT($H$1:H1796)+1,"")</f>
        <v>0</v>
      </c>
      <c r="I1797" s="9">
        <f>IF(AND($G1797&lt;&gt;"",ISNUMBER(SEARCH('Nr rejestracyjny'!$F$5,$G1797))),COUNT($I$1:I1796)+1,"")</f>
        <v>0</v>
      </c>
    </row>
    <row r="1798" spans="6:9">
      <c r="F1798" s="7">
        <f>IF('W rejestracji'!$C$1805="","",'W rejestracji'!$C$1805)</f>
        <v>0</v>
      </c>
      <c r="G1798" s="7">
        <f>IF(Zarejestrowane!$C$1805="","",Zarejestrowane!$C$1805)</f>
        <v>0</v>
      </c>
      <c r="H1798" s="9">
        <f>IF(AND($F1798&lt;&gt;"",ISNUMBER(SEARCH('Nr rejestracyjny'!$F$5,$F1798))),COUNT($H$1:H1797)+1,"")</f>
        <v>0</v>
      </c>
      <c r="I1798" s="9">
        <f>IF(AND($G1798&lt;&gt;"",ISNUMBER(SEARCH('Nr rejestracyjny'!$F$5,$G1798))),COUNT($I$1:I1797)+1,"")</f>
        <v>0</v>
      </c>
    </row>
    <row r="1799" spans="6:9">
      <c r="F1799" s="7">
        <f>IF('W rejestracji'!$C$1806="","",'W rejestracji'!$C$1806)</f>
        <v>0</v>
      </c>
      <c r="G1799" s="7">
        <f>IF(Zarejestrowane!$C$1806="","",Zarejestrowane!$C$1806)</f>
        <v>0</v>
      </c>
      <c r="H1799" s="9">
        <f>IF(AND($F1799&lt;&gt;"",ISNUMBER(SEARCH('Nr rejestracyjny'!$F$5,$F1799))),COUNT($H$1:H1798)+1,"")</f>
        <v>0</v>
      </c>
      <c r="I1799" s="9">
        <f>IF(AND($G1799&lt;&gt;"",ISNUMBER(SEARCH('Nr rejestracyjny'!$F$5,$G1799))),COUNT($I$1:I1798)+1,"")</f>
        <v>0</v>
      </c>
    </row>
    <row r="1800" spans="6:9">
      <c r="F1800" s="7">
        <f>IF('W rejestracji'!$C$1807="","",'W rejestracji'!$C$1807)</f>
        <v>0</v>
      </c>
      <c r="G1800" s="7">
        <f>IF(Zarejestrowane!$C$1807="","",Zarejestrowane!$C$1807)</f>
        <v>0</v>
      </c>
      <c r="H1800" s="9">
        <f>IF(AND($F1800&lt;&gt;"",ISNUMBER(SEARCH('Nr rejestracyjny'!$F$5,$F1800))),COUNT($H$1:H1799)+1,"")</f>
        <v>0</v>
      </c>
      <c r="I1800" s="9">
        <f>IF(AND($G1800&lt;&gt;"",ISNUMBER(SEARCH('Nr rejestracyjny'!$F$5,$G1800))),COUNT($I$1:I1799)+1,"")</f>
        <v>0</v>
      </c>
    </row>
    <row r="1801" spans="6:9">
      <c r="F1801" s="7">
        <f>IF('W rejestracji'!$C$1808="","",'W rejestracji'!$C$1808)</f>
        <v>0</v>
      </c>
      <c r="G1801" s="7">
        <f>IF(Zarejestrowane!$C$1808="","",Zarejestrowane!$C$1808)</f>
        <v>0</v>
      </c>
      <c r="H1801" s="9">
        <f>IF(AND($F1801&lt;&gt;"",ISNUMBER(SEARCH('Nr rejestracyjny'!$F$5,$F1801))),COUNT($H$1:H1800)+1,"")</f>
        <v>0</v>
      </c>
      <c r="I1801" s="9">
        <f>IF(AND($G1801&lt;&gt;"",ISNUMBER(SEARCH('Nr rejestracyjny'!$F$5,$G1801))),COUNT($I$1:I1800)+1,"")</f>
        <v>0</v>
      </c>
    </row>
    <row r="1802" spans="6:9">
      <c r="F1802" s="7">
        <f>IF('W rejestracji'!$C$1809="","",'W rejestracji'!$C$1809)</f>
        <v>0</v>
      </c>
      <c r="G1802" s="7">
        <f>IF(Zarejestrowane!$C$1809="","",Zarejestrowane!$C$1809)</f>
        <v>0</v>
      </c>
      <c r="H1802" s="9">
        <f>IF(AND($F1802&lt;&gt;"",ISNUMBER(SEARCH('Nr rejestracyjny'!$F$5,$F1802))),COUNT($H$1:H1801)+1,"")</f>
        <v>0</v>
      </c>
      <c r="I1802" s="9">
        <f>IF(AND($G1802&lt;&gt;"",ISNUMBER(SEARCH('Nr rejestracyjny'!$F$5,$G1802))),COUNT($I$1:I1801)+1,"")</f>
        <v>0</v>
      </c>
    </row>
    <row r="1803" spans="6:9">
      <c r="F1803" s="7">
        <f>IF('W rejestracji'!$C$1810="","",'W rejestracji'!$C$1810)</f>
        <v>0</v>
      </c>
      <c r="G1803" s="7">
        <f>IF(Zarejestrowane!$C$1810="","",Zarejestrowane!$C$1810)</f>
        <v>0</v>
      </c>
      <c r="H1803" s="9">
        <f>IF(AND($F1803&lt;&gt;"",ISNUMBER(SEARCH('Nr rejestracyjny'!$F$5,$F1803))),COUNT($H$1:H1802)+1,"")</f>
        <v>0</v>
      </c>
      <c r="I1803" s="9">
        <f>IF(AND($G1803&lt;&gt;"",ISNUMBER(SEARCH('Nr rejestracyjny'!$F$5,$G1803))),COUNT($I$1:I1802)+1,"")</f>
        <v>0</v>
      </c>
    </row>
    <row r="1804" spans="6:9">
      <c r="F1804" s="7">
        <f>IF('W rejestracji'!$C$1811="","",'W rejestracji'!$C$1811)</f>
        <v>0</v>
      </c>
      <c r="G1804" s="7">
        <f>IF(Zarejestrowane!$C$1811="","",Zarejestrowane!$C$1811)</f>
        <v>0</v>
      </c>
      <c r="H1804" s="9">
        <f>IF(AND($F1804&lt;&gt;"",ISNUMBER(SEARCH('Nr rejestracyjny'!$F$5,$F1804))),COUNT($H$1:H1803)+1,"")</f>
        <v>0</v>
      </c>
      <c r="I1804" s="9">
        <f>IF(AND($G1804&lt;&gt;"",ISNUMBER(SEARCH('Nr rejestracyjny'!$F$5,$G1804))),COUNT($I$1:I1803)+1,"")</f>
        <v>0</v>
      </c>
    </row>
    <row r="1805" spans="6:9">
      <c r="F1805" s="7">
        <f>IF('W rejestracji'!$C$1812="","",'W rejestracji'!$C$1812)</f>
        <v>0</v>
      </c>
      <c r="G1805" s="7">
        <f>IF(Zarejestrowane!$C$1812="","",Zarejestrowane!$C$1812)</f>
        <v>0</v>
      </c>
      <c r="H1805" s="9">
        <f>IF(AND($F1805&lt;&gt;"",ISNUMBER(SEARCH('Nr rejestracyjny'!$F$5,$F1805))),COUNT($H$1:H1804)+1,"")</f>
        <v>0</v>
      </c>
      <c r="I1805" s="9">
        <f>IF(AND($G1805&lt;&gt;"",ISNUMBER(SEARCH('Nr rejestracyjny'!$F$5,$G1805))),COUNT($I$1:I1804)+1,"")</f>
        <v>0</v>
      </c>
    </row>
    <row r="1806" spans="6:9">
      <c r="F1806" s="7">
        <f>IF('W rejestracji'!$C$1813="","",'W rejestracji'!$C$1813)</f>
        <v>0</v>
      </c>
      <c r="G1806" s="7">
        <f>IF(Zarejestrowane!$C$1813="","",Zarejestrowane!$C$1813)</f>
        <v>0</v>
      </c>
      <c r="H1806" s="9">
        <f>IF(AND($F1806&lt;&gt;"",ISNUMBER(SEARCH('Nr rejestracyjny'!$F$5,$F1806))),COUNT($H$1:H1805)+1,"")</f>
        <v>0</v>
      </c>
      <c r="I1806" s="9">
        <f>IF(AND($G1806&lt;&gt;"",ISNUMBER(SEARCH('Nr rejestracyjny'!$F$5,$G1806))),COUNT($I$1:I1805)+1,"")</f>
        <v>0</v>
      </c>
    </row>
    <row r="1807" spans="6:9">
      <c r="F1807" s="7">
        <f>IF('W rejestracji'!$C$1814="","",'W rejestracji'!$C$1814)</f>
        <v>0</v>
      </c>
      <c r="G1807" s="7">
        <f>IF(Zarejestrowane!$C$1814="","",Zarejestrowane!$C$1814)</f>
        <v>0</v>
      </c>
      <c r="H1807" s="9">
        <f>IF(AND($F1807&lt;&gt;"",ISNUMBER(SEARCH('Nr rejestracyjny'!$F$5,$F1807))),COUNT($H$1:H1806)+1,"")</f>
        <v>0</v>
      </c>
      <c r="I1807" s="9">
        <f>IF(AND($G1807&lt;&gt;"",ISNUMBER(SEARCH('Nr rejestracyjny'!$F$5,$G1807))),COUNT($I$1:I1806)+1,"")</f>
        <v>0</v>
      </c>
    </row>
    <row r="1808" spans="6:9">
      <c r="F1808" s="7">
        <f>IF('W rejestracji'!$C$1815="","",'W rejestracji'!$C$1815)</f>
        <v>0</v>
      </c>
      <c r="G1808" s="7">
        <f>IF(Zarejestrowane!$C$1815="","",Zarejestrowane!$C$1815)</f>
        <v>0</v>
      </c>
      <c r="H1808" s="9">
        <f>IF(AND($F1808&lt;&gt;"",ISNUMBER(SEARCH('Nr rejestracyjny'!$F$5,$F1808))),COUNT($H$1:H1807)+1,"")</f>
        <v>0</v>
      </c>
      <c r="I1808" s="9">
        <f>IF(AND($G1808&lt;&gt;"",ISNUMBER(SEARCH('Nr rejestracyjny'!$F$5,$G1808))),COUNT($I$1:I1807)+1,"")</f>
        <v>0</v>
      </c>
    </row>
    <row r="1809" spans="6:9">
      <c r="F1809" s="7">
        <f>IF('W rejestracji'!$C$1816="","",'W rejestracji'!$C$1816)</f>
        <v>0</v>
      </c>
      <c r="G1809" s="7">
        <f>IF(Zarejestrowane!$C$1816="","",Zarejestrowane!$C$1816)</f>
        <v>0</v>
      </c>
      <c r="H1809" s="9">
        <f>IF(AND($F1809&lt;&gt;"",ISNUMBER(SEARCH('Nr rejestracyjny'!$F$5,$F1809))),COUNT($H$1:H1808)+1,"")</f>
        <v>0</v>
      </c>
      <c r="I1809" s="9">
        <f>IF(AND($G1809&lt;&gt;"",ISNUMBER(SEARCH('Nr rejestracyjny'!$F$5,$G1809))),COUNT($I$1:I1808)+1,"")</f>
        <v>0</v>
      </c>
    </row>
    <row r="1810" spans="6:9">
      <c r="F1810" s="7">
        <f>IF('W rejestracji'!$C$1817="","",'W rejestracji'!$C$1817)</f>
        <v>0</v>
      </c>
      <c r="G1810" s="7">
        <f>IF(Zarejestrowane!$C$1817="","",Zarejestrowane!$C$1817)</f>
        <v>0</v>
      </c>
      <c r="H1810" s="9">
        <f>IF(AND($F1810&lt;&gt;"",ISNUMBER(SEARCH('Nr rejestracyjny'!$F$5,$F1810))),COUNT($H$1:H1809)+1,"")</f>
        <v>0</v>
      </c>
      <c r="I1810" s="9">
        <f>IF(AND($G1810&lt;&gt;"",ISNUMBER(SEARCH('Nr rejestracyjny'!$F$5,$G1810))),COUNT($I$1:I1809)+1,"")</f>
        <v>0</v>
      </c>
    </row>
    <row r="1811" spans="6:9">
      <c r="F1811" s="7">
        <f>IF('W rejestracji'!$C$1818="","",'W rejestracji'!$C$1818)</f>
        <v>0</v>
      </c>
      <c r="G1811" s="7">
        <f>IF(Zarejestrowane!$C$1818="","",Zarejestrowane!$C$1818)</f>
        <v>0</v>
      </c>
      <c r="H1811" s="9">
        <f>IF(AND($F1811&lt;&gt;"",ISNUMBER(SEARCH('Nr rejestracyjny'!$F$5,$F1811))),COUNT($H$1:H1810)+1,"")</f>
        <v>0</v>
      </c>
      <c r="I1811" s="9">
        <f>IF(AND($G1811&lt;&gt;"",ISNUMBER(SEARCH('Nr rejestracyjny'!$F$5,$G1811))),COUNT($I$1:I1810)+1,"")</f>
        <v>0</v>
      </c>
    </row>
    <row r="1812" spans="6:9">
      <c r="F1812" s="7">
        <f>IF('W rejestracji'!$C$1819="","",'W rejestracji'!$C$1819)</f>
        <v>0</v>
      </c>
      <c r="G1812" s="7">
        <f>IF(Zarejestrowane!$C$1819="","",Zarejestrowane!$C$1819)</f>
        <v>0</v>
      </c>
      <c r="H1812" s="9">
        <f>IF(AND($F1812&lt;&gt;"",ISNUMBER(SEARCH('Nr rejestracyjny'!$F$5,$F1812))),COUNT($H$1:H1811)+1,"")</f>
        <v>0</v>
      </c>
      <c r="I1812" s="9">
        <f>IF(AND($G1812&lt;&gt;"",ISNUMBER(SEARCH('Nr rejestracyjny'!$F$5,$G1812))),COUNT($I$1:I1811)+1,"")</f>
        <v>0</v>
      </c>
    </row>
    <row r="1813" spans="6:9">
      <c r="F1813" s="7">
        <f>IF('W rejestracji'!$C$1820="","",'W rejestracji'!$C$1820)</f>
        <v>0</v>
      </c>
      <c r="G1813" s="7">
        <f>IF(Zarejestrowane!$C$1820="","",Zarejestrowane!$C$1820)</f>
        <v>0</v>
      </c>
      <c r="H1813" s="9">
        <f>IF(AND($F1813&lt;&gt;"",ISNUMBER(SEARCH('Nr rejestracyjny'!$F$5,$F1813))),COUNT($H$1:H1812)+1,"")</f>
        <v>0</v>
      </c>
      <c r="I1813" s="9">
        <f>IF(AND($G1813&lt;&gt;"",ISNUMBER(SEARCH('Nr rejestracyjny'!$F$5,$G1813))),COUNT($I$1:I1812)+1,"")</f>
        <v>0</v>
      </c>
    </row>
    <row r="1814" spans="6:9">
      <c r="F1814" s="7">
        <f>IF('W rejestracji'!$C$1821="","",'W rejestracji'!$C$1821)</f>
        <v>0</v>
      </c>
      <c r="G1814" s="7">
        <f>IF(Zarejestrowane!$C$1821="","",Zarejestrowane!$C$1821)</f>
        <v>0</v>
      </c>
      <c r="H1814" s="9">
        <f>IF(AND($F1814&lt;&gt;"",ISNUMBER(SEARCH('Nr rejestracyjny'!$F$5,$F1814))),COUNT($H$1:H1813)+1,"")</f>
        <v>0</v>
      </c>
      <c r="I1814" s="9">
        <f>IF(AND($G1814&lt;&gt;"",ISNUMBER(SEARCH('Nr rejestracyjny'!$F$5,$G1814))),COUNT($I$1:I1813)+1,"")</f>
        <v>0</v>
      </c>
    </row>
    <row r="1815" spans="6:9">
      <c r="F1815" s="7">
        <f>IF('W rejestracji'!$C$1822="","",'W rejestracji'!$C$1822)</f>
        <v>0</v>
      </c>
      <c r="G1815" s="7">
        <f>IF(Zarejestrowane!$C$1822="","",Zarejestrowane!$C$1822)</f>
        <v>0</v>
      </c>
      <c r="H1815" s="9">
        <f>IF(AND($F1815&lt;&gt;"",ISNUMBER(SEARCH('Nr rejestracyjny'!$F$5,$F1815))),COUNT($H$1:H1814)+1,"")</f>
        <v>0</v>
      </c>
      <c r="I1815" s="9">
        <f>IF(AND($G1815&lt;&gt;"",ISNUMBER(SEARCH('Nr rejestracyjny'!$F$5,$G1815))),COUNT($I$1:I1814)+1,"")</f>
        <v>0</v>
      </c>
    </row>
    <row r="1816" spans="6:9">
      <c r="F1816" s="7">
        <f>IF('W rejestracji'!$C$1823="","",'W rejestracji'!$C$1823)</f>
        <v>0</v>
      </c>
      <c r="G1816" s="7">
        <f>IF(Zarejestrowane!$C$1823="","",Zarejestrowane!$C$1823)</f>
        <v>0</v>
      </c>
      <c r="H1816" s="9">
        <f>IF(AND($F1816&lt;&gt;"",ISNUMBER(SEARCH('Nr rejestracyjny'!$F$5,$F1816))),COUNT($H$1:H1815)+1,"")</f>
        <v>0</v>
      </c>
      <c r="I1816" s="9">
        <f>IF(AND($G1816&lt;&gt;"",ISNUMBER(SEARCH('Nr rejestracyjny'!$F$5,$G1816))),COUNT($I$1:I1815)+1,"")</f>
        <v>0</v>
      </c>
    </row>
    <row r="1817" spans="6:9">
      <c r="F1817" s="7">
        <f>IF('W rejestracji'!$C$1824="","",'W rejestracji'!$C$1824)</f>
        <v>0</v>
      </c>
      <c r="G1817" s="7">
        <f>IF(Zarejestrowane!$C$1824="","",Zarejestrowane!$C$1824)</f>
        <v>0</v>
      </c>
      <c r="H1817" s="9">
        <f>IF(AND($F1817&lt;&gt;"",ISNUMBER(SEARCH('Nr rejestracyjny'!$F$5,$F1817))),COUNT($H$1:H1816)+1,"")</f>
        <v>0</v>
      </c>
      <c r="I1817" s="9">
        <f>IF(AND($G1817&lt;&gt;"",ISNUMBER(SEARCH('Nr rejestracyjny'!$F$5,$G1817))),COUNT($I$1:I1816)+1,"")</f>
        <v>0</v>
      </c>
    </row>
    <row r="1818" spans="6:9">
      <c r="F1818" s="7">
        <f>IF('W rejestracji'!$C$1825="","",'W rejestracji'!$C$1825)</f>
        <v>0</v>
      </c>
      <c r="G1818" s="7">
        <f>IF(Zarejestrowane!$C$1825="","",Zarejestrowane!$C$1825)</f>
        <v>0</v>
      </c>
      <c r="H1818" s="9">
        <f>IF(AND($F1818&lt;&gt;"",ISNUMBER(SEARCH('Nr rejestracyjny'!$F$5,$F1818))),COUNT($H$1:H1817)+1,"")</f>
        <v>0</v>
      </c>
      <c r="I1818" s="9">
        <f>IF(AND($G1818&lt;&gt;"",ISNUMBER(SEARCH('Nr rejestracyjny'!$F$5,$G1818))),COUNT($I$1:I1817)+1,"")</f>
        <v>0</v>
      </c>
    </row>
    <row r="1819" spans="6:9">
      <c r="F1819" s="7">
        <f>IF('W rejestracji'!$C$1826="","",'W rejestracji'!$C$1826)</f>
        <v>0</v>
      </c>
      <c r="G1819" s="7">
        <f>IF(Zarejestrowane!$C$1826="","",Zarejestrowane!$C$1826)</f>
        <v>0</v>
      </c>
      <c r="H1819" s="9">
        <f>IF(AND($F1819&lt;&gt;"",ISNUMBER(SEARCH('Nr rejestracyjny'!$F$5,$F1819))),COUNT($H$1:H1818)+1,"")</f>
        <v>0</v>
      </c>
      <c r="I1819" s="9">
        <f>IF(AND($G1819&lt;&gt;"",ISNUMBER(SEARCH('Nr rejestracyjny'!$F$5,$G1819))),COUNT($I$1:I1818)+1,"")</f>
        <v>0</v>
      </c>
    </row>
    <row r="1820" spans="6:9">
      <c r="F1820" s="7">
        <f>IF('W rejestracji'!$C$1827="","",'W rejestracji'!$C$1827)</f>
        <v>0</v>
      </c>
      <c r="G1820" s="7">
        <f>IF(Zarejestrowane!$C$1827="","",Zarejestrowane!$C$1827)</f>
        <v>0</v>
      </c>
      <c r="H1820" s="9">
        <f>IF(AND($F1820&lt;&gt;"",ISNUMBER(SEARCH('Nr rejestracyjny'!$F$5,$F1820))),COUNT($H$1:H1819)+1,"")</f>
        <v>0</v>
      </c>
      <c r="I1820" s="9">
        <f>IF(AND($G1820&lt;&gt;"",ISNUMBER(SEARCH('Nr rejestracyjny'!$F$5,$G1820))),COUNT($I$1:I1819)+1,"")</f>
        <v>0</v>
      </c>
    </row>
    <row r="1821" spans="6:9">
      <c r="F1821" s="7">
        <f>IF('W rejestracji'!$C$1828="","",'W rejestracji'!$C$1828)</f>
        <v>0</v>
      </c>
      <c r="G1821" s="7">
        <f>IF(Zarejestrowane!$C$1828="","",Zarejestrowane!$C$1828)</f>
        <v>0</v>
      </c>
      <c r="H1821" s="9">
        <f>IF(AND($F1821&lt;&gt;"",ISNUMBER(SEARCH('Nr rejestracyjny'!$F$5,$F1821))),COUNT($H$1:H1820)+1,"")</f>
        <v>0</v>
      </c>
      <c r="I1821" s="9">
        <f>IF(AND($G1821&lt;&gt;"",ISNUMBER(SEARCH('Nr rejestracyjny'!$F$5,$G1821))),COUNT($I$1:I1820)+1,"")</f>
        <v>0</v>
      </c>
    </row>
    <row r="1822" spans="6:9">
      <c r="F1822" s="7">
        <f>IF('W rejestracji'!$C$1829="","",'W rejestracji'!$C$1829)</f>
        <v>0</v>
      </c>
      <c r="G1822" s="7">
        <f>IF(Zarejestrowane!$C$1829="","",Zarejestrowane!$C$1829)</f>
        <v>0</v>
      </c>
      <c r="H1822" s="9">
        <f>IF(AND($F1822&lt;&gt;"",ISNUMBER(SEARCH('Nr rejestracyjny'!$F$5,$F1822))),COUNT($H$1:H1821)+1,"")</f>
        <v>0</v>
      </c>
      <c r="I1822" s="9">
        <f>IF(AND($G1822&lt;&gt;"",ISNUMBER(SEARCH('Nr rejestracyjny'!$F$5,$G1822))),COUNT($I$1:I1821)+1,"")</f>
        <v>0</v>
      </c>
    </row>
    <row r="1823" spans="6:9">
      <c r="F1823" s="7">
        <f>IF('W rejestracji'!$C$1830="","",'W rejestracji'!$C$1830)</f>
        <v>0</v>
      </c>
      <c r="G1823" s="7">
        <f>IF(Zarejestrowane!$C$1830="","",Zarejestrowane!$C$1830)</f>
        <v>0</v>
      </c>
      <c r="H1823" s="9">
        <f>IF(AND($F1823&lt;&gt;"",ISNUMBER(SEARCH('Nr rejestracyjny'!$F$5,$F1823))),COUNT($H$1:H1822)+1,"")</f>
        <v>0</v>
      </c>
      <c r="I1823" s="9">
        <f>IF(AND($G1823&lt;&gt;"",ISNUMBER(SEARCH('Nr rejestracyjny'!$F$5,$G1823))),COUNT($I$1:I1822)+1,"")</f>
        <v>0</v>
      </c>
    </row>
    <row r="1824" spans="6:9">
      <c r="F1824" s="7">
        <f>IF('W rejestracji'!$C$1831="","",'W rejestracji'!$C$1831)</f>
        <v>0</v>
      </c>
      <c r="G1824" s="7">
        <f>IF(Zarejestrowane!$C$1831="","",Zarejestrowane!$C$1831)</f>
        <v>0</v>
      </c>
      <c r="H1824" s="9">
        <f>IF(AND($F1824&lt;&gt;"",ISNUMBER(SEARCH('Nr rejestracyjny'!$F$5,$F1824))),COUNT($H$1:H1823)+1,"")</f>
        <v>0</v>
      </c>
      <c r="I1824" s="9">
        <f>IF(AND($G1824&lt;&gt;"",ISNUMBER(SEARCH('Nr rejestracyjny'!$F$5,$G1824))),COUNT($I$1:I1823)+1,"")</f>
        <v>0</v>
      </c>
    </row>
    <row r="1825" spans="6:9">
      <c r="F1825" s="7">
        <f>IF('W rejestracji'!$C$1832="","",'W rejestracji'!$C$1832)</f>
        <v>0</v>
      </c>
      <c r="G1825" s="7">
        <f>IF(Zarejestrowane!$C$1832="","",Zarejestrowane!$C$1832)</f>
        <v>0</v>
      </c>
      <c r="H1825" s="9">
        <f>IF(AND($F1825&lt;&gt;"",ISNUMBER(SEARCH('Nr rejestracyjny'!$F$5,$F1825))),COUNT($H$1:H1824)+1,"")</f>
        <v>0</v>
      </c>
      <c r="I1825" s="9">
        <f>IF(AND($G1825&lt;&gt;"",ISNUMBER(SEARCH('Nr rejestracyjny'!$F$5,$G1825))),COUNT($I$1:I1824)+1,"")</f>
        <v>0</v>
      </c>
    </row>
    <row r="1826" spans="6:9">
      <c r="F1826" s="7">
        <f>IF('W rejestracji'!$C$1833="","",'W rejestracji'!$C$1833)</f>
        <v>0</v>
      </c>
      <c r="G1826" s="7">
        <f>IF(Zarejestrowane!$C$1833="","",Zarejestrowane!$C$1833)</f>
        <v>0</v>
      </c>
      <c r="H1826" s="9">
        <f>IF(AND($F1826&lt;&gt;"",ISNUMBER(SEARCH('Nr rejestracyjny'!$F$5,$F1826))),COUNT($H$1:H1825)+1,"")</f>
        <v>0</v>
      </c>
      <c r="I1826" s="9">
        <f>IF(AND($G1826&lt;&gt;"",ISNUMBER(SEARCH('Nr rejestracyjny'!$F$5,$G1826))),COUNT($I$1:I1825)+1,"")</f>
        <v>0</v>
      </c>
    </row>
    <row r="1827" spans="6:9">
      <c r="F1827" s="7">
        <f>IF('W rejestracji'!$C$1834="","",'W rejestracji'!$C$1834)</f>
        <v>0</v>
      </c>
      <c r="G1827" s="7">
        <f>IF(Zarejestrowane!$C$1834="","",Zarejestrowane!$C$1834)</f>
        <v>0</v>
      </c>
      <c r="H1827" s="9">
        <f>IF(AND($F1827&lt;&gt;"",ISNUMBER(SEARCH('Nr rejestracyjny'!$F$5,$F1827))),COUNT($H$1:H1826)+1,"")</f>
        <v>0</v>
      </c>
      <c r="I1827" s="9">
        <f>IF(AND($G1827&lt;&gt;"",ISNUMBER(SEARCH('Nr rejestracyjny'!$F$5,$G1827))),COUNT($I$1:I1826)+1,"")</f>
        <v>0</v>
      </c>
    </row>
    <row r="1828" spans="6:9">
      <c r="F1828" s="7">
        <f>IF('W rejestracji'!$C$1835="","",'W rejestracji'!$C$1835)</f>
        <v>0</v>
      </c>
      <c r="G1828" s="7">
        <f>IF(Zarejestrowane!$C$1835="","",Zarejestrowane!$C$1835)</f>
        <v>0</v>
      </c>
      <c r="H1828" s="9">
        <f>IF(AND($F1828&lt;&gt;"",ISNUMBER(SEARCH('Nr rejestracyjny'!$F$5,$F1828))),COUNT($H$1:H1827)+1,"")</f>
        <v>0</v>
      </c>
      <c r="I1828" s="9">
        <f>IF(AND($G1828&lt;&gt;"",ISNUMBER(SEARCH('Nr rejestracyjny'!$F$5,$G1828))),COUNT($I$1:I1827)+1,"")</f>
        <v>0</v>
      </c>
    </row>
    <row r="1829" spans="6:9">
      <c r="F1829" s="7">
        <f>IF('W rejestracji'!$C$1836="","",'W rejestracji'!$C$1836)</f>
        <v>0</v>
      </c>
      <c r="G1829" s="7">
        <f>IF(Zarejestrowane!$C$1836="","",Zarejestrowane!$C$1836)</f>
        <v>0</v>
      </c>
      <c r="H1829" s="9">
        <f>IF(AND($F1829&lt;&gt;"",ISNUMBER(SEARCH('Nr rejestracyjny'!$F$5,$F1829))),COUNT($H$1:H1828)+1,"")</f>
        <v>0</v>
      </c>
      <c r="I1829" s="9">
        <f>IF(AND($G1829&lt;&gt;"",ISNUMBER(SEARCH('Nr rejestracyjny'!$F$5,$G1829))),COUNT($I$1:I1828)+1,"")</f>
        <v>0</v>
      </c>
    </row>
    <row r="1830" spans="6:9">
      <c r="F1830" s="7">
        <f>IF('W rejestracji'!$C$1837="","",'W rejestracji'!$C$1837)</f>
        <v>0</v>
      </c>
      <c r="G1830" s="7">
        <f>IF(Zarejestrowane!$C$1837="","",Zarejestrowane!$C$1837)</f>
        <v>0</v>
      </c>
      <c r="H1830" s="9">
        <f>IF(AND($F1830&lt;&gt;"",ISNUMBER(SEARCH('Nr rejestracyjny'!$F$5,$F1830))),COUNT($H$1:H1829)+1,"")</f>
        <v>0</v>
      </c>
      <c r="I1830" s="9">
        <f>IF(AND($G1830&lt;&gt;"",ISNUMBER(SEARCH('Nr rejestracyjny'!$F$5,$G1830))),COUNT($I$1:I1829)+1,"")</f>
        <v>0</v>
      </c>
    </row>
    <row r="1831" spans="6:9">
      <c r="F1831" s="7">
        <f>IF('W rejestracji'!$C$1838="","",'W rejestracji'!$C$1838)</f>
        <v>0</v>
      </c>
      <c r="G1831" s="7">
        <f>IF(Zarejestrowane!$C$1838="","",Zarejestrowane!$C$1838)</f>
        <v>0</v>
      </c>
      <c r="H1831" s="9">
        <f>IF(AND($F1831&lt;&gt;"",ISNUMBER(SEARCH('Nr rejestracyjny'!$F$5,$F1831))),COUNT($H$1:H1830)+1,"")</f>
        <v>0</v>
      </c>
      <c r="I1831" s="9">
        <f>IF(AND($G1831&lt;&gt;"",ISNUMBER(SEARCH('Nr rejestracyjny'!$F$5,$G1831))),COUNT($I$1:I1830)+1,"")</f>
        <v>0</v>
      </c>
    </row>
    <row r="1832" spans="6:9">
      <c r="F1832" s="7">
        <f>IF('W rejestracji'!$C$1839="","",'W rejestracji'!$C$1839)</f>
        <v>0</v>
      </c>
      <c r="G1832" s="7">
        <f>IF(Zarejestrowane!$C$1839="","",Zarejestrowane!$C$1839)</f>
        <v>0</v>
      </c>
      <c r="H1832" s="9">
        <f>IF(AND($F1832&lt;&gt;"",ISNUMBER(SEARCH('Nr rejestracyjny'!$F$5,$F1832))),COUNT($H$1:H1831)+1,"")</f>
        <v>0</v>
      </c>
      <c r="I1832" s="9">
        <f>IF(AND($G1832&lt;&gt;"",ISNUMBER(SEARCH('Nr rejestracyjny'!$F$5,$G1832))),COUNT($I$1:I1831)+1,"")</f>
        <v>0</v>
      </c>
    </row>
    <row r="1833" spans="6:9">
      <c r="F1833" s="7">
        <f>IF('W rejestracji'!$C$1840="","",'W rejestracji'!$C$1840)</f>
        <v>0</v>
      </c>
      <c r="G1833" s="7">
        <f>IF(Zarejestrowane!$C$1840="","",Zarejestrowane!$C$1840)</f>
        <v>0</v>
      </c>
      <c r="H1833" s="9">
        <f>IF(AND($F1833&lt;&gt;"",ISNUMBER(SEARCH('Nr rejestracyjny'!$F$5,$F1833))),COUNT($H$1:H1832)+1,"")</f>
        <v>0</v>
      </c>
      <c r="I1833" s="9">
        <f>IF(AND($G1833&lt;&gt;"",ISNUMBER(SEARCH('Nr rejestracyjny'!$F$5,$G1833))),COUNT($I$1:I1832)+1,"")</f>
        <v>0</v>
      </c>
    </row>
    <row r="1834" spans="6:9">
      <c r="F1834" s="7">
        <f>IF('W rejestracji'!$C$1841="","",'W rejestracji'!$C$1841)</f>
        <v>0</v>
      </c>
      <c r="G1834" s="7">
        <f>IF(Zarejestrowane!$C$1841="","",Zarejestrowane!$C$1841)</f>
        <v>0</v>
      </c>
      <c r="H1834" s="9">
        <f>IF(AND($F1834&lt;&gt;"",ISNUMBER(SEARCH('Nr rejestracyjny'!$F$5,$F1834))),COUNT($H$1:H1833)+1,"")</f>
        <v>0</v>
      </c>
      <c r="I1834" s="9">
        <f>IF(AND($G1834&lt;&gt;"",ISNUMBER(SEARCH('Nr rejestracyjny'!$F$5,$G1834))),COUNT($I$1:I1833)+1,"")</f>
        <v>0</v>
      </c>
    </row>
    <row r="1835" spans="6:9">
      <c r="F1835" s="7">
        <f>IF('W rejestracji'!$C$1842="","",'W rejestracji'!$C$1842)</f>
        <v>0</v>
      </c>
      <c r="G1835" s="7">
        <f>IF(Zarejestrowane!$C$1842="","",Zarejestrowane!$C$1842)</f>
        <v>0</v>
      </c>
      <c r="H1835" s="9">
        <f>IF(AND($F1835&lt;&gt;"",ISNUMBER(SEARCH('Nr rejestracyjny'!$F$5,$F1835))),COUNT($H$1:H1834)+1,"")</f>
        <v>0</v>
      </c>
      <c r="I1835" s="9">
        <f>IF(AND($G1835&lt;&gt;"",ISNUMBER(SEARCH('Nr rejestracyjny'!$F$5,$G1835))),COUNT($I$1:I1834)+1,"")</f>
        <v>0</v>
      </c>
    </row>
    <row r="1836" spans="6:9">
      <c r="F1836" s="7">
        <f>IF('W rejestracji'!$C$1843="","",'W rejestracji'!$C$1843)</f>
        <v>0</v>
      </c>
      <c r="G1836" s="7">
        <f>IF(Zarejestrowane!$C$1843="","",Zarejestrowane!$C$1843)</f>
        <v>0</v>
      </c>
      <c r="H1836" s="9">
        <f>IF(AND($F1836&lt;&gt;"",ISNUMBER(SEARCH('Nr rejestracyjny'!$F$5,$F1836))),COUNT($H$1:H1835)+1,"")</f>
        <v>0</v>
      </c>
      <c r="I1836" s="9">
        <f>IF(AND($G1836&lt;&gt;"",ISNUMBER(SEARCH('Nr rejestracyjny'!$F$5,$G1836))),COUNT($I$1:I1835)+1,"")</f>
        <v>0</v>
      </c>
    </row>
    <row r="1837" spans="6:9">
      <c r="F1837" s="7">
        <f>IF('W rejestracji'!$C$1844="","",'W rejestracji'!$C$1844)</f>
        <v>0</v>
      </c>
      <c r="G1837" s="7">
        <f>IF(Zarejestrowane!$C$1844="","",Zarejestrowane!$C$1844)</f>
        <v>0</v>
      </c>
      <c r="H1837" s="9">
        <f>IF(AND($F1837&lt;&gt;"",ISNUMBER(SEARCH('Nr rejestracyjny'!$F$5,$F1837))),COUNT($H$1:H1836)+1,"")</f>
        <v>0</v>
      </c>
      <c r="I1837" s="9">
        <f>IF(AND($G1837&lt;&gt;"",ISNUMBER(SEARCH('Nr rejestracyjny'!$F$5,$G1837))),COUNT($I$1:I1836)+1,"")</f>
        <v>0</v>
      </c>
    </row>
    <row r="1838" spans="6:9">
      <c r="F1838" s="7">
        <f>IF('W rejestracji'!$C$1845="","",'W rejestracji'!$C$1845)</f>
        <v>0</v>
      </c>
      <c r="G1838" s="7">
        <f>IF(Zarejestrowane!$C$1845="","",Zarejestrowane!$C$1845)</f>
        <v>0</v>
      </c>
      <c r="H1838" s="9">
        <f>IF(AND($F1838&lt;&gt;"",ISNUMBER(SEARCH('Nr rejestracyjny'!$F$5,$F1838))),COUNT($H$1:H1837)+1,"")</f>
        <v>0</v>
      </c>
      <c r="I1838" s="9">
        <f>IF(AND($G1838&lt;&gt;"",ISNUMBER(SEARCH('Nr rejestracyjny'!$F$5,$G1838))),COUNT($I$1:I1837)+1,"")</f>
        <v>0</v>
      </c>
    </row>
    <row r="1839" spans="6:9">
      <c r="F1839" s="7">
        <f>IF('W rejestracji'!$C$1846="","",'W rejestracji'!$C$1846)</f>
        <v>0</v>
      </c>
      <c r="G1839" s="7">
        <f>IF(Zarejestrowane!$C$1846="","",Zarejestrowane!$C$1846)</f>
        <v>0</v>
      </c>
      <c r="H1839" s="9">
        <f>IF(AND($F1839&lt;&gt;"",ISNUMBER(SEARCH('Nr rejestracyjny'!$F$5,$F1839))),COUNT($H$1:H1838)+1,"")</f>
        <v>0</v>
      </c>
      <c r="I1839" s="9">
        <f>IF(AND($G1839&lt;&gt;"",ISNUMBER(SEARCH('Nr rejestracyjny'!$F$5,$G1839))),COUNT($I$1:I1838)+1,"")</f>
        <v>0</v>
      </c>
    </row>
    <row r="1840" spans="6:9">
      <c r="F1840" s="7">
        <f>IF('W rejestracji'!$C$1847="","",'W rejestracji'!$C$1847)</f>
        <v>0</v>
      </c>
      <c r="G1840" s="7">
        <f>IF(Zarejestrowane!$C$1847="","",Zarejestrowane!$C$1847)</f>
        <v>0</v>
      </c>
      <c r="H1840" s="9">
        <f>IF(AND($F1840&lt;&gt;"",ISNUMBER(SEARCH('Nr rejestracyjny'!$F$5,$F1840))),COUNT($H$1:H1839)+1,"")</f>
        <v>0</v>
      </c>
      <c r="I1840" s="9">
        <f>IF(AND($G1840&lt;&gt;"",ISNUMBER(SEARCH('Nr rejestracyjny'!$F$5,$G1840))),COUNT($I$1:I1839)+1,"")</f>
        <v>0</v>
      </c>
    </row>
    <row r="1841" spans="6:9">
      <c r="F1841" s="7">
        <f>IF('W rejestracji'!$C$1848="","",'W rejestracji'!$C$1848)</f>
        <v>0</v>
      </c>
      <c r="G1841" s="7">
        <f>IF(Zarejestrowane!$C$1848="","",Zarejestrowane!$C$1848)</f>
        <v>0</v>
      </c>
      <c r="H1841" s="9">
        <f>IF(AND($F1841&lt;&gt;"",ISNUMBER(SEARCH('Nr rejestracyjny'!$F$5,$F1841))),COUNT($H$1:H1840)+1,"")</f>
        <v>0</v>
      </c>
      <c r="I1841" s="9">
        <f>IF(AND($G1841&lt;&gt;"",ISNUMBER(SEARCH('Nr rejestracyjny'!$F$5,$G1841))),COUNT($I$1:I1840)+1,"")</f>
        <v>0</v>
      </c>
    </row>
    <row r="1842" spans="6:9">
      <c r="F1842" s="7">
        <f>IF('W rejestracji'!$C$1849="","",'W rejestracji'!$C$1849)</f>
        <v>0</v>
      </c>
      <c r="G1842" s="7">
        <f>IF(Zarejestrowane!$C$1849="","",Zarejestrowane!$C$1849)</f>
        <v>0</v>
      </c>
      <c r="H1842" s="9">
        <f>IF(AND($F1842&lt;&gt;"",ISNUMBER(SEARCH('Nr rejestracyjny'!$F$5,$F1842))),COUNT($H$1:H1841)+1,"")</f>
        <v>0</v>
      </c>
      <c r="I1842" s="9">
        <f>IF(AND($G1842&lt;&gt;"",ISNUMBER(SEARCH('Nr rejestracyjny'!$F$5,$G1842))),COUNT($I$1:I1841)+1,"")</f>
        <v>0</v>
      </c>
    </row>
    <row r="1843" spans="6:9">
      <c r="F1843" s="7">
        <f>IF('W rejestracji'!$C$1850="","",'W rejestracji'!$C$1850)</f>
        <v>0</v>
      </c>
      <c r="G1843" s="7">
        <f>IF(Zarejestrowane!$C$1850="","",Zarejestrowane!$C$1850)</f>
        <v>0</v>
      </c>
      <c r="H1843" s="9">
        <f>IF(AND($F1843&lt;&gt;"",ISNUMBER(SEARCH('Nr rejestracyjny'!$F$5,$F1843))),COUNT($H$1:H1842)+1,"")</f>
        <v>0</v>
      </c>
      <c r="I1843" s="9">
        <f>IF(AND($G1843&lt;&gt;"",ISNUMBER(SEARCH('Nr rejestracyjny'!$F$5,$G1843))),COUNT($I$1:I1842)+1,"")</f>
        <v>0</v>
      </c>
    </row>
    <row r="1844" spans="6:9">
      <c r="F1844" s="7">
        <f>IF('W rejestracji'!$C$1851="","",'W rejestracji'!$C$1851)</f>
        <v>0</v>
      </c>
      <c r="G1844" s="7">
        <f>IF(Zarejestrowane!$C$1851="","",Zarejestrowane!$C$1851)</f>
        <v>0</v>
      </c>
      <c r="H1844" s="9">
        <f>IF(AND($F1844&lt;&gt;"",ISNUMBER(SEARCH('Nr rejestracyjny'!$F$5,$F1844))),COUNT($H$1:H1843)+1,"")</f>
        <v>0</v>
      </c>
      <c r="I1844" s="9">
        <f>IF(AND($G1844&lt;&gt;"",ISNUMBER(SEARCH('Nr rejestracyjny'!$F$5,$G1844))),COUNT($I$1:I1843)+1,"")</f>
        <v>0</v>
      </c>
    </row>
    <row r="1845" spans="6:9">
      <c r="F1845" s="7">
        <f>IF('W rejestracji'!$C$1852="","",'W rejestracji'!$C$1852)</f>
        <v>0</v>
      </c>
      <c r="G1845" s="7">
        <f>IF(Zarejestrowane!$C$1852="","",Zarejestrowane!$C$1852)</f>
        <v>0</v>
      </c>
      <c r="H1845" s="9">
        <f>IF(AND($F1845&lt;&gt;"",ISNUMBER(SEARCH('Nr rejestracyjny'!$F$5,$F1845))),COUNT($H$1:H1844)+1,"")</f>
        <v>0</v>
      </c>
      <c r="I1845" s="9">
        <f>IF(AND($G1845&lt;&gt;"",ISNUMBER(SEARCH('Nr rejestracyjny'!$F$5,$G1845))),COUNT($I$1:I1844)+1,"")</f>
        <v>0</v>
      </c>
    </row>
    <row r="1846" spans="6:9">
      <c r="F1846" s="7">
        <f>IF('W rejestracji'!$C$1853="","",'W rejestracji'!$C$1853)</f>
        <v>0</v>
      </c>
      <c r="G1846" s="7">
        <f>IF(Zarejestrowane!$C$1853="","",Zarejestrowane!$C$1853)</f>
        <v>0</v>
      </c>
      <c r="H1846" s="9">
        <f>IF(AND($F1846&lt;&gt;"",ISNUMBER(SEARCH('Nr rejestracyjny'!$F$5,$F1846))),COUNT($H$1:H1845)+1,"")</f>
        <v>0</v>
      </c>
      <c r="I1846" s="9">
        <f>IF(AND($G1846&lt;&gt;"",ISNUMBER(SEARCH('Nr rejestracyjny'!$F$5,$G1846))),COUNT($I$1:I1845)+1,"")</f>
        <v>0</v>
      </c>
    </row>
    <row r="1847" spans="6:9">
      <c r="F1847" s="7">
        <f>IF('W rejestracji'!$C$1854="","",'W rejestracji'!$C$1854)</f>
        <v>0</v>
      </c>
      <c r="G1847" s="7">
        <f>IF(Zarejestrowane!$C$1854="","",Zarejestrowane!$C$1854)</f>
        <v>0</v>
      </c>
      <c r="H1847" s="9">
        <f>IF(AND($F1847&lt;&gt;"",ISNUMBER(SEARCH('Nr rejestracyjny'!$F$5,$F1847))),COUNT($H$1:H1846)+1,"")</f>
        <v>0</v>
      </c>
      <c r="I1847" s="9">
        <f>IF(AND($G1847&lt;&gt;"",ISNUMBER(SEARCH('Nr rejestracyjny'!$F$5,$G1847))),COUNT($I$1:I1846)+1,"")</f>
        <v>0</v>
      </c>
    </row>
    <row r="1848" spans="6:9">
      <c r="F1848" s="7">
        <f>IF('W rejestracji'!$C$1855="","",'W rejestracji'!$C$1855)</f>
        <v>0</v>
      </c>
      <c r="G1848" s="7">
        <f>IF(Zarejestrowane!$C$1855="","",Zarejestrowane!$C$1855)</f>
        <v>0</v>
      </c>
      <c r="H1848" s="9">
        <f>IF(AND($F1848&lt;&gt;"",ISNUMBER(SEARCH('Nr rejestracyjny'!$F$5,$F1848))),COUNT($H$1:H1847)+1,"")</f>
        <v>0</v>
      </c>
      <c r="I1848" s="9">
        <f>IF(AND($G1848&lt;&gt;"",ISNUMBER(SEARCH('Nr rejestracyjny'!$F$5,$G1848))),COUNT($I$1:I1847)+1,"")</f>
        <v>0</v>
      </c>
    </row>
    <row r="1849" spans="6:9">
      <c r="F1849" s="7">
        <f>IF('W rejestracji'!$C$1856="","",'W rejestracji'!$C$1856)</f>
        <v>0</v>
      </c>
      <c r="G1849" s="7">
        <f>IF(Zarejestrowane!$C$1856="","",Zarejestrowane!$C$1856)</f>
        <v>0</v>
      </c>
      <c r="H1849" s="9">
        <f>IF(AND($F1849&lt;&gt;"",ISNUMBER(SEARCH('Nr rejestracyjny'!$F$5,$F1849))),COUNT($H$1:H1848)+1,"")</f>
        <v>0</v>
      </c>
      <c r="I1849" s="9">
        <f>IF(AND($G1849&lt;&gt;"",ISNUMBER(SEARCH('Nr rejestracyjny'!$F$5,$G1849))),COUNT($I$1:I1848)+1,"")</f>
        <v>0</v>
      </c>
    </row>
    <row r="1850" spans="6:9">
      <c r="F1850" s="7">
        <f>IF('W rejestracji'!$C$1857="","",'W rejestracji'!$C$1857)</f>
        <v>0</v>
      </c>
      <c r="G1850" s="7">
        <f>IF(Zarejestrowane!$C$1857="","",Zarejestrowane!$C$1857)</f>
        <v>0</v>
      </c>
      <c r="H1850" s="9">
        <f>IF(AND($F1850&lt;&gt;"",ISNUMBER(SEARCH('Nr rejestracyjny'!$F$5,$F1850))),COUNT($H$1:H1849)+1,"")</f>
        <v>0</v>
      </c>
      <c r="I1850" s="9">
        <f>IF(AND($G1850&lt;&gt;"",ISNUMBER(SEARCH('Nr rejestracyjny'!$F$5,$G1850))),COUNT($I$1:I1849)+1,"")</f>
        <v>0</v>
      </c>
    </row>
    <row r="1851" spans="6:9">
      <c r="F1851" s="7">
        <f>IF('W rejestracji'!$C$1858="","",'W rejestracji'!$C$1858)</f>
        <v>0</v>
      </c>
      <c r="G1851" s="7">
        <f>IF(Zarejestrowane!$C$1858="","",Zarejestrowane!$C$1858)</f>
        <v>0</v>
      </c>
      <c r="H1851" s="9">
        <f>IF(AND($F1851&lt;&gt;"",ISNUMBER(SEARCH('Nr rejestracyjny'!$F$5,$F1851))),COUNT($H$1:H1850)+1,"")</f>
        <v>0</v>
      </c>
      <c r="I1851" s="9">
        <f>IF(AND($G1851&lt;&gt;"",ISNUMBER(SEARCH('Nr rejestracyjny'!$F$5,$G1851))),COUNT($I$1:I1850)+1,"")</f>
        <v>0</v>
      </c>
    </row>
    <row r="1852" spans="6:9">
      <c r="F1852" s="7">
        <f>IF('W rejestracji'!$C$1859="","",'W rejestracji'!$C$1859)</f>
        <v>0</v>
      </c>
      <c r="G1852" s="7">
        <f>IF(Zarejestrowane!$C$1859="","",Zarejestrowane!$C$1859)</f>
        <v>0</v>
      </c>
      <c r="H1852" s="9">
        <f>IF(AND($F1852&lt;&gt;"",ISNUMBER(SEARCH('Nr rejestracyjny'!$F$5,$F1852))),COUNT($H$1:H1851)+1,"")</f>
        <v>0</v>
      </c>
      <c r="I1852" s="9">
        <f>IF(AND($G1852&lt;&gt;"",ISNUMBER(SEARCH('Nr rejestracyjny'!$F$5,$G1852))),COUNT($I$1:I1851)+1,"")</f>
        <v>0</v>
      </c>
    </row>
    <row r="1853" spans="6:9">
      <c r="F1853" s="7">
        <f>IF('W rejestracji'!$C$1860="","",'W rejestracji'!$C$1860)</f>
        <v>0</v>
      </c>
      <c r="G1853" s="7">
        <f>IF(Zarejestrowane!$C$1860="","",Zarejestrowane!$C$1860)</f>
        <v>0</v>
      </c>
      <c r="H1853" s="9">
        <f>IF(AND($F1853&lt;&gt;"",ISNUMBER(SEARCH('Nr rejestracyjny'!$F$5,$F1853))),COUNT($H$1:H1852)+1,"")</f>
        <v>0</v>
      </c>
      <c r="I1853" s="9">
        <f>IF(AND($G1853&lt;&gt;"",ISNUMBER(SEARCH('Nr rejestracyjny'!$F$5,$G1853))),COUNT($I$1:I1852)+1,"")</f>
        <v>0</v>
      </c>
    </row>
    <row r="1854" spans="6:9">
      <c r="F1854" s="7">
        <f>IF('W rejestracji'!$C$1861="","",'W rejestracji'!$C$1861)</f>
        <v>0</v>
      </c>
      <c r="G1854" s="7">
        <f>IF(Zarejestrowane!$C$1861="","",Zarejestrowane!$C$1861)</f>
        <v>0</v>
      </c>
      <c r="H1854" s="9">
        <f>IF(AND($F1854&lt;&gt;"",ISNUMBER(SEARCH('Nr rejestracyjny'!$F$5,$F1854))),COUNT($H$1:H1853)+1,"")</f>
        <v>0</v>
      </c>
      <c r="I1854" s="9">
        <f>IF(AND($G1854&lt;&gt;"",ISNUMBER(SEARCH('Nr rejestracyjny'!$F$5,$G1854))),COUNT($I$1:I1853)+1,"")</f>
        <v>0</v>
      </c>
    </row>
    <row r="1855" spans="6:9">
      <c r="F1855" s="7">
        <f>IF('W rejestracji'!$C$1862="","",'W rejestracji'!$C$1862)</f>
        <v>0</v>
      </c>
      <c r="G1855" s="7">
        <f>IF(Zarejestrowane!$C$1862="","",Zarejestrowane!$C$1862)</f>
        <v>0</v>
      </c>
      <c r="H1855" s="9">
        <f>IF(AND($F1855&lt;&gt;"",ISNUMBER(SEARCH('Nr rejestracyjny'!$F$5,$F1855))),COUNT($H$1:H1854)+1,"")</f>
        <v>0</v>
      </c>
      <c r="I1855" s="9">
        <f>IF(AND($G1855&lt;&gt;"",ISNUMBER(SEARCH('Nr rejestracyjny'!$F$5,$G1855))),COUNT($I$1:I1854)+1,"")</f>
        <v>0</v>
      </c>
    </row>
    <row r="1856" spans="6:9">
      <c r="F1856" s="7">
        <f>IF('W rejestracji'!$C$1863="","",'W rejestracji'!$C$1863)</f>
        <v>0</v>
      </c>
      <c r="G1856" s="7">
        <f>IF(Zarejestrowane!$C$1863="","",Zarejestrowane!$C$1863)</f>
        <v>0</v>
      </c>
      <c r="H1856" s="9">
        <f>IF(AND($F1856&lt;&gt;"",ISNUMBER(SEARCH('Nr rejestracyjny'!$F$5,$F1856))),COUNT($H$1:H1855)+1,"")</f>
        <v>0</v>
      </c>
      <c r="I1856" s="9">
        <f>IF(AND($G1856&lt;&gt;"",ISNUMBER(SEARCH('Nr rejestracyjny'!$F$5,$G1856))),COUNT($I$1:I1855)+1,"")</f>
        <v>0</v>
      </c>
    </row>
    <row r="1857" spans="6:9">
      <c r="F1857" s="7">
        <f>IF('W rejestracji'!$C$1864="","",'W rejestracji'!$C$1864)</f>
        <v>0</v>
      </c>
      <c r="G1857" s="7">
        <f>IF(Zarejestrowane!$C$1864="","",Zarejestrowane!$C$1864)</f>
        <v>0</v>
      </c>
      <c r="H1857" s="9">
        <f>IF(AND($F1857&lt;&gt;"",ISNUMBER(SEARCH('Nr rejestracyjny'!$F$5,$F1857))),COUNT($H$1:H1856)+1,"")</f>
        <v>0</v>
      </c>
      <c r="I1857" s="9">
        <f>IF(AND($G1857&lt;&gt;"",ISNUMBER(SEARCH('Nr rejestracyjny'!$F$5,$G1857))),COUNT($I$1:I1856)+1,"")</f>
        <v>0</v>
      </c>
    </row>
    <row r="1858" spans="6:9">
      <c r="F1858" s="7">
        <f>IF('W rejestracji'!$C$1865="","",'W rejestracji'!$C$1865)</f>
        <v>0</v>
      </c>
      <c r="G1858" s="7">
        <f>IF(Zarejestrowane!$C$1865="","",Zarejestrowane!$C$1865)</f>
        <v>0</v>
      </c>
      <c r="H1858" s="9">
        <f>IF(AND($F1858&lt;&gt;"",ISNUMBER(SEARCH('Nr rejestracyjny'!$F$5,$F1858))),COUNT($H$1:H1857)+1,"")</f>
        <v>0</v>
      </c>
      <c r="I1858" s="9">
        <f>IF(AND($G1858&lt;&gt;"",ISNUMBER(SEARCH('Nr rejestracyjny'!$F$5,$G1858))),COUNT($I$1:I1857)+1,"")</f>
        <v>0</v>
      </c>
    </row>
    <row r="1859" spans="6:9">
      <c r="F1859" s="7">
        <f>IF('W rejestracji'!$C$1866="","",'W rejestracji'!$C$1866)</f>
        <v>0</v>
      </c>
      <c r="G1859" s="7">
        <f>IF(Zarejestrowane!$C$1866="","",Zarejestrowane!$C$1866)</f>
        <v>0</v>
      </c>
      <c r="H1859" s="9">
        <f>IF(AND($F1859&lt;&gt;"",ISNUMBER(SEARCH('Nr rejestracyjny'!$F$5,$F1859))),COUNT($H$1:H1858)+1,"")</f>
        <v>0</v>
      </c>
      <c r="I1859" s="9">
        <f>IF(AND($G1859&lt;&gt;"",ISNUMBER(SEARCH('Nr rejestracyjny'!$F$5,$G1859))),COUNT($I$1:I1858)+1,"")</f>
        <v>0</v>
      </c>
    </row>
    <row r="1860" spans="6:9">
      <c r="F1860" s="7">
        <f>IF('W rejestracji'!$C$1867="","",'W rejestracji'!$C$1867)</f>
        <v>0</v>
      </c>
      <c r="G1860" s="7">
        <f>IF(Zarejestrowane!$C$1867="","",Zarejestrowane!$C$1867)</f>
        <v>0</v>
      </c>
      <c r="H1860" s="9">
        <f>IF(AND($F1860&lt;&gt;"",ISNUMBER(SEARCH('Nr rejestracyjny'!$F$5,$F1860))),COUNT($H$1:H1859)+1,"")</f>
        <v>0</v>
      </c>
      <c r="I1860" s="9">
        <f>IF(AND($G1860&lt;&gt;"",ISNUMBER(SEARCH('Nr rejestracyjny'!$F$5,$G1860))),COUNT($I$1:I1859)+1,"")</f>
        <v>0</v>
      </c>
    </row>
    <row r="1861" spans="6:9">
      <c r="F1861" s="7">
        <f>IF('W rejestracji'!$C$1868="","",'W rejestracji'!$C$1868)</f>
        <v>0</v>
      </c>
      <c r="G1861" s="7">
        <f>IF(Zarejestrowane!$C$1868="","",Zarejestrowane!$C$1868)</f>
        <v>0</v>
      </c>
      <c r="H1861" s="9">
        <f>IF(AND($F1861&lt;&gt;"",ISNUMBER(SEARCH('Nr rejestracyjny'!$F$5,$F1861))),COUNT($H$1:H1860)+1,"")</f>
        <v>0</v>
      </c>
      <c r="I1861" s="9">
        <f>IF(AND($G1861&lt;&gt;"",ISNUMBER(SEARCH('Nr rejestracyjny'!$F$5,$G1861))),COUNT($I$1:I1860)+1,"")</f>
        <v>0</v>
      </c>
    </row>
    <row r="1862" spans="6:9">
      <c r="F1862" s="7">
        <f>IF('W rejestracji'!$C$1869="","",'W rejestracji'!$C$1869)</f>
        <v>0</v>
      </c>
      <c r="G1862" s="7">
        <f>IF(Zarejestrowane!$C$1869="","",Zarejestrowane!$C$1869)</f>
        <v>0</v>
      </c>
      <c r="H1862" s="9">
        <f>IF(AND($F1862&lt;&gt;"",ISNUMBER(SEARCH('Nr rejestracyjny'!$F$5,$F1862))),COUNT($H$1:H1861)+1,"")</f>
        <v>0</v>
      </c>
      <c r="I1862" s="9">
        <f>IF(AND($G1862&lt;&gt;"",ISNUMBER(SEARCH('Nr rejestracyjny'!$F$5,$G1862))),COUNT($I$1:I1861)+1,"")</f>
        <v>0</v>
      </c>
    </row>
    <row r="1863" spans="6:9">
      <c r="F1863" s="7">
        <f>IF('W rejestracji'!$C$1870="","",'W rejestracji'!$C$1870)</f>
        <v>0</v>
      </c>
      <c r="G1863" s="7">
        <f>IF(Zarejestrowane!$C$1870="","",Zarejestrowane!$C$1870)</f>
        <v>0</v>
      </c>
      <c r="H1863" s="9">
        <f>IF(AND($F1863&lt;&gt;"",ISNUMBER(SEARCH('Nr rejestracyjny'!$F$5,$F1863))),COUNT($H$1:H1862)+1,"")</f>
        <v>0</v>
      </c>
      <c r="I1863" s="9">
        <f>IF(AND($G1863&lt;&gt;"",ISNUMBER(SEARCH('Nr rejestracyjny'!$F$5,$G1863))),COUNT($I$1:I1862)+1,"")</f>
        <v>0</v>
      </c>
    </row>
    <row r="1864" spans="6:9">
      <c r="F1864" s="7">
        <f>IF('W rejestracji'!$C$1871="","",'W rejestracji'!$C$1871)</f>
        <v>0</v>
      </c>
      <c r="G1864" s="7">
        <f>IF(Zarejestrowane!$C$1871="","",Zarejestrowane!$C$1871)</f>
        <v>0</v>
      </c>
      <c r="H1864" s="9">
        <f>IF(AND($F1864&lt;&gt;"",ISNUMBER(SEARCH('Nr rejestracyjny'!$F$5,$F1864))),COUNT($H$1:H1863)+1,"")</f>
        <v>0</v>
      </c>
      <c r="I1864" s="9">
        <f>IF(AND($G1864&lt;&gt;"",ISNUMBER(SEARCH('Nr rejestracyjny'!$F$5,$G1864))),COUNT($I$1:I1863)+1,"")</f>
        <v>0</v>
      </c>
    </row>
    <row r="1865" spans="6:9">
      <c r="F1865" s="7">
        <f>IF('W rejestracji'!$C$1872="","",'W rejestracji'!$C$1872)</f>
        <v>0</v>
      </c>
      <c r="G1865" s="7">
        <f>IF(Zarejestrowane!$C$1872="","",Zarejestrowane!$C$1872)</f>
        <v>0</v>
      </c>
      <c r="H1865" s="9">
        <f>IF(AND($F1865&lt;&gt;"",ISNUMBER(SEARCH('Nr rejestracyjny'!$F$5,$F1865))),COUNT($H$1:H1864)+1,"")</f>
        <v>0</v>
      </c>
      <c r="I1865" s="9">
        <f>IF(AND($G1865&lt;&gt;"",ISNUMBER(SEARCH('Nr rejestracyjny'!$F$5,$G1865))),COUNT($I$1:I1864)+1,"")</f>
        <v>0</v>
      </c>
    </row>
    <row r="1866" spans="6:9">
      <c r="F1866" s="7">
        <f>IF('W rejestracji'!$C$1873="","",'W rejestracji'!$C$1873)</f>
        <v>0</v>
      </c>
      <c r="G1866" s="7">
        <f>IF(Zarejestrowane!$C$1873="","",Zarejestrowane!$C$1873)</f>
        <v>0</v>
      </c>
      <c r="H1866" s="9">
        <f>IF(AND($F1866&lt;&gt;"",ISNUMBER(SEARCH('Nr rejestracyjny'!$F$5,$F1866))),COUNT($H$1:H1865)+1,"")</f>
        <v>0</v>
      </c>
      <c r="I1866" s="9">
        <f>IF(AND($G1866&lt;&gt;"",ISNUMBER(SEARCH('Nr rejestracyjny'!$F$5,$G1866))),COUNT($I$1:I1865)+1,"")</f>
        <v>0</v>
      </c>
    </row>
    <row r="1867" spans="6:9">
      <c r="F1867" s="7">
        <f>IF('W rejestracji'!$C$1874="","",'W rejestracji'!$C$1874)</f>
        <v>0</v>
      </c>
      <c r="G1867" s="7">
        <f>IF(Zarejestrowane!$C$1874="","",Zarejestrowane!$C$1874)</f>
        <v>0</v>
      </c>
      <c r="H1867" s="9">
        <f>IF(AND($F1867&lt;&gt;"",ISNUMBER(SEARCH('Nr rejestracyjny'!$F$5,$F1867))),COUNT($H$1:H1866)+1,"")</f>
        <v>0</v>
      </c>
      <c r="I1867" s="9">
        <f>IF(AND($G1867&lt;&gt;"",ISNUMBER(SEARCH('Nr rejestracyjny'!$F$5,$G1867))),COUNT($I$1:I1866)+1,"")</f>
        <v>0</v>
      </c>
    </row>
    <row r="1868" spans="6:9">
      <c r="F1868" s="7">
        <f>IF('W rejestracji'!$C$1875="","",'W rejestracji'!$C$1875)</f>
        <v>0</v>
      </c>
      <c r="G1868" s="7">
        <f>IF(Zarejestrowane!$C$1875="","",Zarejestrowane!$C$1875)</f>
        <v>0</v>
      </c>
      <c r="H1868" s="9">
        <f>IF(AND($F1868&lt;&gt;"",ISNUMBER(SEARCH('Nr rejestracyjny'!$F$5,$F1868))),COUNT($H$1:H1867)+1,"")</f>
        <v>0</v>
      </c>
      <c r="I1868" s="9">
        <f>IF(AND($G1868&lt;&gt;"",ISNUMBER(SEARCH('Nr rejestracyjny'!$F$5,$G1868))),COUNT($I$1:I1867)+1,"")</f>
        <v>0</v>
      </c>
    </row>
    <row r="1869" spans="6:9">
      <c r="F1869" s="7">
        <f>IF('W rejestracji'!$C$1876="","",'W rejestracji'!$C$1876)</f>
        <v>0</v>
      </c>
      <c r="G1869" s="7">
        <f>IF(Zarejestrowane!$C$1876="","",Zarejestrowane!$C$1876)</f>
        <v>0</v>
      </c>
      <c r="H1869" s="9">
        <f>IF(AND($F1869&lt;&gt;"",ISNUMBER(SEARCH('Nr rejestracyjny'!$F$5,$F1869))),COUNT($H$1:H1868)+1,"")</f>
        <v>0</v>
      </c>
      <c r="I1869" s="9">
        <f>IF(AND($G1869&lt;&gt;"",ISNUMBER(SEARCH('Nr rejestracyjny'!$F$5,$G1869))),COUNT($I$1:I1868)+1,"")</f>
        <v>0</v>
      </c>
    </row>
    <row r="1870" spans="6:9">
      <c r="F1870" s="7">
        <f>IF('W rejestracji'!$C$1877="","",'W rejestracji'!$C$1877)</f>
        <v>0</v>
      </c>
      <c r="G1870" s="7">
        <f>IF(Zarejestrowane!$C$1877="","",Zarejestrowane!$C$1877)</f>
        <v>0</v>
      </c>
      <c r="H1870" s="9">
        <f>IF(AND($F1870&lt;&gt;"",ISNUMBER(SEARCH('Nr rejestracyjny'!$F$5,$F1870))),COUNT($H$1:H1869)+1,"")</f>
        <v>0</v>
      </c>
      <c r="I1870" s="9">
        <f>IF(AND($G1870&lt;&gt;"",ISNUMBER(SEARCH('Nr rejestracyjny'!$F$5,$G1870))),COUNT($I$1:I1869)+1,"")</f>
        <v>0</v>
      </c>
    </row>
    <row r="1871" spans="6:9">
      <c r="F1871" s="7">
        <f>IF('W rejestracji'!$C$1878="","",'W rejestracji'!$C$1878)</f>
        <v>0</v>
      </c>
      <c r="G1871" s="7">
        <f>IF(Zarejestrowane!$C$1878="","",Zarejestrowane!$C$1878)</f>
        <v>0</v>
      </c>
      <c r="H1871" s="9">
        <f>IF(AND($F1871&lt;&gt;"",ISNUMBER(SEARCH('Nr rejestracyjny'!$F$5,$F1871))),COUNT($H$1:H1870)+1,"")</f>
        <v>0</v>
      </c>
      <c r="I1871" s="9">
        <f>IF(AND($G1871&lt;&gt;"",ISNUMBER(SEARCH('Nr rejestracyjny'!$F$5,$G1871))),COUNT($I$1:I1870)+1,"")</f>
        <v>0</v>
      </c>
    </row>
    <row r="1872" spans="6:9">
      <c r="F1872" s="7">
        <f>IF('W rejestracji'!$C$1879="","",'W rejestracji'!$C$1879)</f>
        <v>0</v>
      </c>
      <c r="G1872" s="7">
        <f>IF(Zarejestrowane!$C$1879="","",Zarejestrowane!$C$1879)</f>
        <v>0</v>
      </c>
      <c r="H1872" s="9">
        <f>IF(AND($F1872&lt;&gt;"",ISNUMBER(SEARCH('Nr rejestracyjny'!$F$5,$F1872))),COUNT($H$1:H1871)+1,"")</f>
        <v>0</v>
      </c>
      <c r="I1872" s="9">
        <f>IF(AND($G1872&lt;&gt;"",ISNUMBER(SEARCH('Nr rejestracyjny'!$F$5,$G1872))),COUNT($I$1:I1871)+1,"")</f>
        <v>0</v>
      </c>
    </row>
    <row r="1873" spans="6:9">
      <c r="F1873" s="7">
        <f>IF('W rejestracji'!$C$1880="","",'W rejestracji'!$C$1880)</f>
        <v>0</v>
      </c>
      <c r="G1873" s="7">
        <f>IF(Zarejestrowane!$C$1880="","",Zarejestrowane!$C$1880)</f>
        <v>0</v>
      </c>
      <c r="H1873" s="9">
        <f>IF(AND($F1873&lt;&gt;"",ISNUMBER(SEARCH('Nr rejestracyjny'!$F$5,$F1873))),COUNT($H$1:H1872)+1,"")</f>
        <v>0</v>
      </c>
      <c r="I1873" s="9">
        <f>IF(AND($G1873&lt;&gt;"",ISNUMBER(SEARCH('Nr rejestracyjny'!$F$5,$G1873))),COUNT($I$1:I1872)+1,"")</f>
        <v>0</v>
      </c>
    </row>
    <row r="1874" spans="6:9">
      <c r="F1874" s="7">
        <f>IF('W rejestracji'!$C$1881="","",'W rejestracji'!$C$1881)</f>
        <v>0</v>
      </c>
      <c r="G1874" s="7">
        <f>IF(Zarejestrowane!$C$1881="","",Zarejestrowane!$C$1881)</f>
        <v>0</v>
      </c>
      <c r="H1874" s="9">
        <f>IF(AND($F1874&lt;&gt;"",ISNUMBER(SEARCH('Nr rejestracyjny'!$F$5,$F1874))),COUNT($H$1:H1873)+1,"")</f>
        <v>0</v>
      </c>
      <c r="I1874" s="9">
        <f>IF(AND($G1874&lt;&gt;"",ISNUMBER(SEARCH('Nr rejestracyjny'!$F$5,$G1874))),COUNT($I$1:I1873)+1,"")</f>
        <v>0</v>
      </c>
    </row>
    <row r="1875" spans="6:9">
      <c r="F1875" s="7">
        <f>IF('W rejestracji'!$C$1882="","",'W rejestracji'!$C$1882)</f>
        <v>0</v>
      </c>
      <c r="G1875" s="7">
        <f>IF(Zarejestrowane!$C$1882="","",Zarejestrowane!$C$1882)</f>
        <v>0</v>
      </c>
      <c r="H1875" s="9">
        <f>IF(AND($F1875&lt;&gt;"",ISNUMBER(SEARCH('Nr rejestracyjny'!$F$5,$F1875))),COUNT($H$1:H1874)+1,"")</f>
        <v>0</v>
      </c>
      <c r="I1875" s="9">
        <f>IF(AND($G1875&lt;&gt;"",ISNUMBER(SEARCH('Nr rejestracyjny'!$F$5,$G1875))),COUNT($I$1:I1874)+1,"")</f>
        <v>0</v>
      </c>
    </row>
    <row r="1876" spans="6:9">
      <c r="F1876" s="7">
        <f>IF('W rejestracji'!$C$1883="","",'W rejestracji'!$C$1883)</f>
        <v>0</v>
      </c>
      <c r="G1876" s="7">
        <f>IF(Zarejestrowane!$C$1883="","",Zarejestrowane!$C$1883)</f>
        <v>0</v>
      </c>
      <c r="H1876" s="9">
        <f>IF(AND($F1876&lt;&gt;"",ISNUMBER(SEARCH('Nr rejestracyjny'!$F$5,$F1876))),COUNT($H$1:H1875)+1,"")</f>
        <v>0</v>
      </c>
      <c r="I1876" s="9">
        <f>IF(AND($G1876&lt;&gt;"",ISNUMBER(SEARCH('Nr rejestracyjny'!$F$5,$G1876))),COUNT($I$1:I1875)+1,"")</f>
        <v>0</v>
      </c>
    </row>
    <row r="1877" spans="6:9">
      <c r="F1877" s="7">
        <f>IF('W rejestracji'!$C$1884="","",'W rejestracji'!$C$1884)</f>
        <v>0</v>
      </c>
      <c r="G1877" s="7">
        <f>IF(Zarejestrowane!$C$1884="","",Zarejestrowane!$C$1884)</f>
        <v>0</v>
      </c>
      <c r="H1877" s="9">
        <f>IF(AND($F1877&lt;&gt;"",ISNUMBER(SEARCH('Nr rejestracyjny'!$F$5,$F1877))),COUNT($H$1:H1876)+1,"")</f>
        <v>0</v>
      </c>
      <c r="I1877" s="9">
        <f>IF(AND($G1877&lt;&gt;"",ISNUMBER(SEARCH('Nr rejestracyjny'!$F$5,$G1877))),COUNT($I$1:I1876)+1,"")</f>
        <v>0</v>
      </c>
    </row>
    <row r="1878" spans="6:9">
      <c r="F1878" s="7">
        <f>IF('W rejestracji'!$C$1885="","",'W rejestracji'!$C$1885)</f>
        <v>0</v>
      </c>
      <c r="G1878" s="7">
        <f>IF(Zarejestrowane!$C$1885="","",Zarejestrowane!$C$1885)</f>
        <v>0</v>
      </c>
      <c r="H1878" s="9">
        <f>IF(AND($F1878&lt;&gt;"",ISNUMBER(SEARCH('Nr rejestracyjny'!$F$5,$F1878))),COUNT($H$1:H1877)+1,"")</f>
        <v>0</v>
      </c>
      <c r="I1878" s="9">
        <f>IF(AND($G1878&lt;&gt;"",ISNUMBER(SEARCH('Nr rejestracyjny'!$F$5,$G1878))),COUNT($I$1:I1877)+1,"")</f>
        <v>0</v>
      </c>
    </row>
    <row r="1879" spans="6:9">
      <c r="F1879" s="7">
        <f>IF('W rejestracji'!$C$1886="","",'W rejestracji'!$C$1886)</f>
        <v>0</v>
      </c>
      <c r="G1879" s="7">
        <f>IF(Zarejestrowane!$C$1886="","",Zarejestrowane!$C$1886)</f>
        <v>0</v>
      </c>
      <c r="H1879" s="9">
        <f>IF(AND($F1879&lt;&gt;"",ISNUMBER(SEARCH('Nr rejestracyjny'!$F$5,$F1879))),COUNT($H$1:H1878)+1,"")</f>
        <v>0</v>
      </c>
      <c r="I1879" s="9">
        <f>IF(AND($G1879&lt;&gt;"",ISNUMBER(SEARCH('Nr rejestracyjny'!$F$5,$G1879))),COUNT($I$1:I1878)+1,"")</f>
        <v>0</v>
      </c>
    </row>
    <row r="1880" spans="6:9">
      <c r="F1880" s="7">
        <f>IF('W rejestracji'!$C$1887="","",'W rejestracji'!$C$1887)</f>
        <v>0</v>
      </c>
      <c r="G1880" s="7">
        <f>IF(Zarejestrowane!$C$1887="","",Zarejestrowane!$C$1887)</f>
        <v>0</v>
      </c>
      <c r="H1880" s="9">
        <f>IF(AND($F1880&lt;&gt;"",ISNUMBER(SEARCH('Nr rejestracyjny'!$F$5,$F1880))),COUNT($H$1:H1879)+1,"")</f>
        <v>0</v>
      </c>
      <c r="I1880" s="9">
        <f>IF(AND($G1880&lt;&gt;"",ISNUMBER(SEARCH('Nr rejestracyjny'!$F$5,$G1880))),COUNT($I$1:I1879)+1,"")</f>
        <v>0</v>
      </c>
    </row>
    <row r="1881" spans="6:9">
      <c r="F1881" s="7">
        <f>IF('W rejestracji'!$C$1888="","",'W rejestracji'!$C$1888)</f>
        <v>0</v>
      </c>
      <c r="G1881" s="7">
        <f>IF(Zarejestrowane!$C$1888="","",Zarejestrowane!$C$1888)</f>
        <v>0</v>
      </c>
      <c r="H1881" s="9">
        <f>IF(AND($F1881&lt;&gt;"",ISNUMBER(SEARCH('Nr rejestracyjny'!$F$5,$F1881))),COUNT($H$1:H1880)+1,"")</f>
        <v>0</v>
      </c>
      <c r="I1881" s="9">
        <f>IF(AND($G1881&lt;&gt;"",ISNUMBER(SEARCH('Nr rejestracyjny'!$F$5,$G1881))),COUNT($I$1:I1880)+1,"")</f>
        <v>0</v>
      </c>
    </row>
    <row r="1882" spans="6:9">
      <c r="F1882" s="7">
        <f>IF('W rejestracji'!$C$1889="","",'W rejestracji'!$C$1889)</f>
        <v>0</v>
      </c>
      <c r="G1882" s="7">
        <f>IF(Zarejestrowane!$C$1889="","",Zarejestrowane!$C$1889)</f>
        <v>0</v>
      </c>
      <c r="H1882" s="9">
        <f>IF(AND($F1882&lt;&gt;"",ISNUMBER(SEARCH('Nr rejestracyjny'!$F$5,$F1882))),COUNT($H$1:H1881)+1,"")</f>
        <v>0</v>
      </c>
      <c r="I1882" s="9">
        <f>IF(AND($G1882&lt;&gt;"",ISNUMBER(SEARCH('Nr rejestracyjny'!$F$5,$G1882))),COUNT($I$1:I1881)+1,"")</f>
        <v>0</v>
      </c>
    </row>
    <row r="1883" spans="6:9">
      <c r="F1883" s="7">
        <f>IF('W rejestracji'!$C$1890="","",'W rejestracji'!$C$1890)</f>
        <v>0</v>
      </c>
      <c r="G1883" s="7">
        <f>IF(Zarejestrowane!$C$1890="","",Zarejestrowane!$C$1890)</f>
        <v>0</v>
      </c>
      <c r="H1883" s="9">
        <f>IF(AND($F1883&lt;&gt;"",ISNUMBER(SEARCH('Nr rejestracyjny'!$F$5,$F1883))),COUNT($H$1:H1882)+1,"")</f>
        <v>0</v>
      </c>
      <c r="I1883" s="9">
        <f>IF(AND($G1883&lt;&gt;"",ISNUMBER(SEARCH('Nr rejestracyjny'!$F$5,$G1883))),COUNT($I$1:I1882)+1,"")</f>
        <v>0</v>
      </c>
    </row>
    <row r="1884" spans="6:9">
      <c r="F1884" s="7">
        <f>IF('W rejestracji'!$C$1891="","",'W rejestracji'!$C$1891)</f>
        <v>0</v>
      </c>
      <c r="G1884" s="7">
        <f>IF(Zarejestrowane!$C$1891="","",Zarejestrowane!$C$1891)</f>
        <v>0</v>
      </c>
      <c r="H1884" s="9">
        <f>IF(AND($F1884&lt;&gt;"",ISNUMBER(SEARCH('Nr rejestracyjny'!$F$5,$F1884))),COUNT($H$1:H1883)+1,"")</f>
        <v>0</v>
      </c>
      <c r="I1884" s="9">
        <f>IF(AND($G1884&lt;&gt;"",ISNUMBER(SEARCH('Nr rejestracyjny'!$F$5,$G1884))),COUNT($I$1:I1883)+1,"")</f>
        <v>0</v>
      </c>
    </row>
    <row r="1885" spans="6:9">
      <c r="F1885" s="7">
        <f>IF('W rejestracji'!$C$1892="","",'W rejestracji'!$C$1892)</f>
        <v>0</v>
      </c>
      <c r="G1885" s="7">
        <f>IF(Zarejestrowane!$C$1892="","",Zarejestrowane!$C$1892)</f>
        <v>0</v>
      </c>
      <c r="H1885" s="9">
        <f>IF(AND($F1885&lt;&gt;"",ISNUMBER(SEARCH('Nr rejestracyjny'!$F$5,$F1885))),COUNT($H$1:H1884)+1,"")</f>
        <v>0</v>
      </c>
      <c r="I1885" s="9">
        <f>IF(AND($G1885&lt;&gt;"",ISNUMBER(SEARCH('Nr rejestracyjny'!$F$5,$G1885))),COUNT($I$1:I1884)+1,"")</f>
        <v>0</v>
      </c>
    </row>
    <row r="1886" spans="6:9">
      <c r="F1886" s="7">
        <f>IF('W rejestracji'!$C$1893="","",'W rejestracji'!$C$1893)</f>
        <v>0</v>
      </c>
      <c r="G1886" s="7">
        <f>IF(Zarejestrowane!$C$1893="","",Zarejestrowane!$C$1893)</f>
        <v>0</v>
      </c>
      <c r="H1886" s="9">
        <f>IF(AND($F1886&lt;&gt;"",ISNUMBER(SEARCH('Nr rejestracyjny'!$F$5,$F1886))),COUNT($H$1:H1885)+1,"")</f>
        <v>0</v>
      </c>
      <c r="I1886" s="9">
        <f>IF(AND($G1886&lt;&gt;"",ISNUMBER(SEARCH('Nr rejestracyjny'!$F$5,$G1886))),COUNT($I$1:I1885)+1,"")</f>
        <v>0</v>
      </c>
    </row>
    <row r="1887" spans="6:9">
      <c r="F1887" s="7">
        <f>IF('W rejestracji'!$C$1894="","",'W rejestracji'!$C$1894)</f>
        <v>0</v>
      </c>
      <c r="G1887" s="7">
        <f>IF(Zarejestrowane!$C$1894="","",Zarejestrowane!$C$1894)</f>
        <v>0</v>
      </c>
      <c r="H1887" s="9">
        <f>IF(AND($F1887&lt;&gt;"",ISNUMBER(SEARCH('Nr rejestracyjny'!$F$5,$F1887))),COUNT($H$1:H1886)+1,"")</f>
        <v>0</v>
      </c>
      <c r="I1887" s="9">
        <f>IF(AND($G1887&lt;&gt;"",ISNUMBER(SEARCH('Nr rejestracyjny'!$F$5,$G1887))),COUNT($I$1:I1886)+1,"")</f>
        <v>0</v>
      </c>
    </row>
    <row r="1888" spans="6:9">
      <c r="F1888" s="7">
        <f>IF('W rejestracji'!$C$1895="","",'W rejestracji'!$C$1895)</f>
        <v>0</v>
      </c>
      <c r="G1888" s="7">
        <f>IF(Zarejestrowane!$C$1895="","",Zarejestrowane!$C$1895)</f>
        <v>0</v>
      </c>
      <c r="H1888" s="9">
        <f>IF(AND($F1888&lt;&gt;"",ISNUMBER(SEARCH('Nr rejestracyjny'!$F$5,$F1888))),COUNT($H$1:H1887)+1,"")</f>
        <v>0</v>
      </c>
      <c r="I1888" s="9">
        <f>IF(AND($G1888&lt;&gt;"",ISNUMBER(SEARCH('Nr rejestracyjny'!$F$5,$G1888))),COUNT($I$1:I1887)+1,"")</f>
        <v>0</v>
      </c>
    </row>
    <row r="1889" spans="6:9">
      <c r="F1889" s="7">
        <f>IF('W rejestracji'!$C$1896="","",'W rejestracji'!$C$1896)</f>
        <v>0</v>
      </c>
      <c r="G1889" s="7">
        <f>IF(Zarejestrowane!$C$1896="","",Zarejestrowane!$C$1896)</f>
        <v>0</v>
      </c>
      <c r="H1889" s="9">
        <f>IF(AND($F1889&lt;&gt;"",ISNUMBER(SEARCH('Nr rejestracyjny'!$F$5,$F1889))),COUNT($H$1:H1888)+1,"")</f>
        <v>0</v>
      </c>
      <c r="I1889" s="9">
        <f>IF(AND($G1889&lt;&gt;"",ISNUMBER(SEARCH('Nr rejestracyjny'!$F$5,$G1889))),COUNT($I$1:I1888)+1,"")</f>
        <v>0</v>
      </c>
    </row>
    <row r="1890" spans="6:9">
      <c r="F1890" s="7">
        <f>IF('W rejestracji'!$C$1897="","",'W rejestracji'!$C$1897)</f>
        <v>0</v>
      </c>
      <c r="G1890" s="7">
        <f>IF(Zarejestrowane!$C$1897="","",Zarejestrowane!$C$1897)</f>
        <v>0</v>
      </c>
      <c r="H1890" s="9">
        <f>IF(AND($F1890&lt;&gt;"",ISNUMBER(SEARCH('Nr rejestracyjny'!$F$5,$F1890))),COUNT($H$1:H1889)+1,"")</f>
        <v>0</v>
      </c>
      <c r="I1890" s="9">
        <f>IF(AND($G1890&lt;&gt;"",ISNUMBER(SEARCH('Nr rejestracyjny'!$F$5,$G1890))),COUNT($I$1:I1889)+1,"")</f>
        <v>0</v>
      </c>
    </row>
    <row r="1891" spans="6:9">
      <c r="F1891" s="7">
        <f>IF('W rejestracji'!$C$1898="","",'W rejestracji'!$C$1898)</f>
        <v>0</v>
      </c>
      <c r="G1891" s="7">
        <f>IF(Zarejestrowane!$C$1898="","",Zarejestrowane!$C$1898)</f>
        <v>0</v>
      </c>
      <c r="H1891" s="9">
        <f>IF(AND($F1891&lt;&gt;"",ISNUMBER(SEARCH('Nr rejestracyjny'!$F$5,$F1891))),COUNT($H$1:H1890)+1,"")</f>
        <v>0</v>
      </c>
      <c r="I1891" s="9">
        <f>IF(AND($G1891&lt;&gt;"",ISNUMBER(SEARCH('Nr rejestracyjny'!$F$5,$G1891))),COUNT($I$1:I1890)+1,"")</f>
        <v>0</v>
      </c>
    </row>
    <row r="1892" spans="6:9">
      <c r="F1892" s="7">
        <f>IF('W rejestracji'!$C$1899="","",'W rejestracji'!$C$1899)</f>
        <v>0</v>
      </c>
      <c r="G1892" s="7">
        <f>IF(Zarejestrowane!$C$1899="","",Zarejestrowane!$C$1899)</f>
        <v>0</v>
      </c>
      <c r="H1892" s="9">
        <f>IF(AND($F1892&lt;&gt;"",ISNUMBER(SEARCH('Nr rejestracyjny'!$F$5,$F1892))),COUNT($H$1:H1891)+1,"")</f>
        <v>0</v>
      </c>
      <c r="I1892" s="9">
        <f>IF(AND($G1892&lt;&gt;"",ISNUMBER(SEARCH('Nr rejestracyjny'!$F$5,$G1892))),COUNT($I$1:I1891)+1,"")</f>
        <v>0</v>
      </c>
    </row>
    <row r="1893" spans="6:9">
      <c r="F1893" s="7">
        <f>IF('W rejestracji'!$C$1900="","",'W rejestracji'!$C$1900)</f>
        <v>0</v>
      </c>
      <c r="G1893" s="7">
        <f>IF(Zarejestrowane!$C$1900="","",Zarejestrowane!$C$1900)</f>
        <v>0</v>
      </c>
      <c r="H1893" s="9">
        <f>IF(AND($F1893&lt;&gt;"",ISNUMBER(SEARCH('Nr rejestracyjny'!$F$5,$F1893))),COUNT($H$1:H1892)+1,"")</f>
        <v>0</v>
      </c>
      <c r="I1893" s="9">
        <f>IF(AND($G1893&lt;&gt;"",ISNUMBER(SEARCH('Nr rejestracyjny'!$F$5,$G1893))),COUNT($I$1:I1892)+1,"")</f>
        <v>0</v>
      </c>
    </row>
    <row r="1894" spans="6:9">
      <c r="F1894" s="7">
        <f>IF('W rejestracji'!$C$1901="","",'W rejestracji'!$C$1901)</f>
        <v>0</v>
      </c>
      <c r="G1894" s="7">
        <f>IF(Zarejestrowane!$C$1901="","",Zarejestrowane!$C$1901)</f>
        <v>0</v>
      </c>
      <c r="H1894" s="9">
        <f>IF(AND($F1894&lt;&gt;"",ISNUMBER(SEARCH('Nr rejestracyjny'!$F$5,$F1894))),COUNT($H$1:H1893)+1,"")</f>
        <v>0</v>
      </c>
      <c r="I1894" s="9">
        <f>IF(AND($G1894&lt;&gt;"",ISNUMBER(SEARCH('Nr rejestracyjny'!$F$5,$G1894))),COUNT($I$1:I1893)+1,"")</f>
        <v>0</v>
      </c>
    </row>
    <row r="1895" spans="6:9">
      <c r="F1895" s="7">
        <f>IF('W rejestracji'!$C$1902="","",'W rejestracji'!$C$1902)</f>
        <v>0</v>
      </c>
      <c r="G1895" s="7">
        <f>IF(Zarejestrowane!$C$1902="","",Zarejestrowane!$C$1902)</f>
        <v>0</v>
      </c>
      <c r="H1895" s="9">
        <f>IF(AND($F1895&lt;&gt;"",ISNUMBER(SEARCH('Nr rejestracyjny'!$F$5,$F1895))),COUNT($H$1:H1894)+1,"")</f>
        <v>0</v>
      </c>
      <c r="I1895" s="9">
        <f>IF(AND($G1895&lt;&gt;"",ISNUMBER(SEARCH('Nr rejestracyjny'!$F$5,$G1895))),COUNT($I$1:I1894)+1,"")</f>
        <v>0</v>
      </c>
    </row>
    <row r="1896" spans="6:9">
      <c r="F1896" s="7">
        <f>IF('W rejestracji'!$C$1903="","",'W rejestracji'!$C$1903)</f>
        <v>0</v>
      </c>
      <c r="G1896" s="7">
        <f>IF(Zarejestrowane!$C$1903="","",Zarejestrowane!$C$1903)</f>
        <v>0</v>
      </c>
      <c r="H1896" s="9">
        <f>IF(AND($F1896&lt;&gt;"",ISNUMBER(SEARCH('Nr rejestracyjny'!$F$5,$F1896))),COUNT($H$1:H1895)+1,"")</f>
        <v>0</v>
      </c>
      <c r="I1896" s="9">
        <f>IF(AND($G1896&lt;&gt;"",ISNUMBER(SEARCH('Nr rejestracyjny'!$F$5,$G1896))),COUNT($I$1:I1895)+1,"")</f>
        <v>0</v>
      </c>
    </row>
    <row r="1897" spans="6:9">
      <c r="F1897" s="7">
        <f>IF('W rejestracji'!$C$1904="","",'W rejestracji'!$C$1904)</f>
        <v>0</v>
      </c>
      <c r="G1897" s="7">
        <f>IF(Zarejestrowane!$C$1904="","",Zarejestrowane!$C$1904)</f>
        <v>0</v>
      </c>
      <c r="H1897" s="9">
        <f>IF(AND($F1897&lt;&gt;"",ISNUMBER(SEARCH('Nr rejestracyjny'!$F$5,$F1897))),COUNT($H$1:H1896)+1,"")</f>
        <v>0</v>
      </c>
      <c r="I1897" s="9">
        <f>IF(AND($G1897&lt;&gt;"",ISNUMBER(SEARCH('Nr rejestracyjny'!$F$5,$G1897))),COUNT($I$1:I1896)+1,"")</f>
        <v>0</v>
      </c>
    </row>
    <row r="1898" spans="6:9">
      <c r="F1898" s="7">
        <f>IF('W rejestracji'!$C$1905="","",'W rejestracji'!$C$1905)</f>
        <v>0</v>
      </c>
      <c r="G1898" s="7">
        <f>IF(Zarejestrowane!$C$1905="","",Zarejestrowane!$C$1905)</f>
        <v>0</v>
      </c>
      <c r="H1898" s="9">
        <f>IF(AND($F1898&lt;&gt;"",ISNUMBER(SEARCH('Nr rejestracyjny'!$F$5,$F1898))),COUNT($H$1:H1897)+1,"")</f>
        <v>0</v>
      </c>
      <c r="I1898" s="9">
        <f>IF(AND($G1898&lt;&gt;"",ISNUMBER(SEARCH('Nr rejestracyjny'!$F$5,$G1898))),COUNT($I$1:I1897)+1,"")</f>
        <v>0</v>
      </c>
    </row>
    <row r="1899" spans="6:9">
      <c r="F1899" s="7">
        <f>IF('W rejestracji'!$C$1906="","",'W rejestracji'!$C$1906)</f>
        <v>0</v>
      </c>
      <c r="G1899" s="7">
        <f>IF(Zarejestrowane!$C$1906="","",Zarejestrowane!$C$1906)</f>
        <v>0</v>
      </c>
      <c r="H1899" s="9">
        <f>IF(AND($F1899&lt;&gt;"",ISNUMBER(SEARCH('Nr rejestracyjny'!$F$5,$F1899))),COUNT($H$1:H1898)+1,"")</f>
        <v>0</v>
      </c>
      <c r="I1899" s="9">
        <f>IF(AND($G1899&lt;&gt;"",ISNUMBER(SEARCH('Nr rejestracyjny'!$F$5,$G1899))),COUNT($I$1:I1898)+1,"")</f>
        <v>0</v>
      </c>
    </row>
    <row r="1900" spans="6:9">
      <c r="F1900" s="7">
        <f>IF('W rejestracji'!$C$1907="","",'W rejestracji'!$C$1907)</f>
        <v>0</v>
      </c>
      <c r="G1900" s="7">
        <f>IF(Zarejestrowane!$C$1907="","",Zarejestrowane!$C$1907)</f>
        <v>0</v>
      </c>
      <c r="H1900" s="9">
        <f>IF(AND($F1900&lt;&gt;"",ISNUMBER(SEARCH('Nr rejestracyjny'!$F$5,$F1900))),COUNT($H$1:H1899)+1,"")</f>
        <v>0</v>
      </c>
      <c r="I1900" s="9">
        <f>IF(AND($G1900&lt;&gt;"",ISNUMBER(SEARCH('Nr rejestracyjny'!$F$5,$G1900))),COUNT($I$1:I1899)+1,"")</f>
        <v>0</v>
      </c>
    </row>
    <row r="1901" spans="6:9">
      <c r="F1901" s="7">
        <f>IF('W rejestracji'!$C$1908="","",'W rejestracji'!$C$1908)</f>
        <v>0</v>
      </c>
      <c r="G1901" s="7">
        <f>IF(Zarejestrowane!$C$1908="","",Zarejestrowane!$C$1908)</f>
        <v>0</v>
      </c>
      <c r="H1901" s="9">
        <f>IF(AND($F1901&lt;&gt;"",ISNUMBER(SEARCH('Nr rejestracyjny'!$F$5,$F1901))),COUNT($H$1:H1900)+1,"")</f>
        <v>0</v>
      </c>
      <c r="I1901" s="9">
        <f>IF(AND($G1901&lt;&gt;"",ISNUMBER(SEARCH('Nr rejestracyjny'!$F$5,$G1901))),COUNT($I$1:I1900)+1,"")</f>
        <v>0</v>
      </c>
    </row>
    <row r="1902" spans="6:9">
      <c r="F1902" s="7">
        <f>IF('W rejestracji'!$C$1909="","",'W rejestracji'!$C$1909)</f>
        <v>0</v>
      </c>
      <c r="G1902" s="7">
        <f>IF(Zarejestrowane!$C$1909="","",Zarejestrowane!$C$1909)</f>
        <v>0</v>
      </c>
      <c r="H1902" s="9">
        <f>IF(AND($F1902&lt;&gt;"",ISNUMBER(SEARCH('Nr rejestracyjny'!$F$5,$F1902))),COUNT($H$1:H1901)+1,"")</f>
        <v>0</v>
      </c>
      <c r="I1902" s="9">
        <f>IF(AND($G1902&lt;&gt;"",ISNUMBER(SEARCH('Nr rejestracyjny'!$F$5,$G1902))),COUNT($I$1:I1901)+1,"")</f>
        <v>0</v>
      </c>
    </row>
    <row r="1903" spans="6:9">
      <c r="F1903" s="7">
        <f>IF('W rejestracji'!$C$1910="","",'W rejestracji'!$C$1910)</f>
        <v>0</v>
      </c>
      <c r="G1903" s="7">
        <f>IF(Zarejestrowane!$C$1910="","",Zarejestrowane!$C$1910)</f>
        <v>0</v>
      </c>
      <c r="H1903" s="9">
        <f>IF(AND($F1903&lt;&gt;"",ISNUMBER(SEARCH('Nr rejestracyjny'!$F$5,$F1903))),COUNT($H$1:H1902)+1,"")</f>
        <v>0</v>
      </c>
      <c r="I1903" s="9">
        <f>IF(AND($G1903&lt;&gt;"",ISNUMBER(SEARCH('Nr rejestracyjny'!$F$5,$G1903))),COUNT($I$1:I1902)+1,"")</f>
        <v>0</v>
      </c>
    </row>
    <row r="1904" spans="6:9">
      <c r="F1904" s="7">
        <f>IF('W rejestracji'!$C$1911="","",'W rejestracji'!$C$1911)</f>
        <v>0</v>
      </c>
      <c r="G1904" s="7">
        <f>IF(Zarejestrowane!$C$1911="","",Zarejestrowane!$C$1911)</f>
        <v>0</v>
      </c>
      <c r="H1904" s="9">
        <f>IF(AND($F1904&lt;&gt;"",ISNUMBER(SEARCH('Nr rejestracyjny'!$F$5,$F1904))),COUNT($H$1:H1903)+1,"")</f>
        <v>0</v>
      </c>
      <c r="I1904" s="9">
        <f>IF(AND($G1904&lt;&gt;"",ISNUMBER(SEARCH('Nr rejestracyjny'!$F$5,$G1904))),COUNT($I$1:I1903)+1,"")</f>
        <v>0</v>
      </c>
    </row>
    <row r="1905" spans="6:9">
      <c r="F1905" s="7">
        <f>IF('W rejestracji'!$C$1912="","",'W rejestracji'!$C$1912)</f>
        <v>0</v>
      </c>
      <c r="G1905" s="7">
        <f>IF(Zarejestrowane!$C$1912="","",Zarejestrowane!$C$1912)</f>
        <v>0</v>
      </c>
      <c r="H1905" s="9">
        <f>IF(AND($F1905&lt;&gt;"",ISNUMBER(SEARCH('Nr rejestracyjny'!$F$5,$F1905))),COUNT($H$1:H1904)+1,"")</f>
        <v>0</v>
      </c>
      <c r="I1905" s="9">
        <f>IF(AND($G1905&lt;&gt;"",ISNUMBER(SEARCH('Nr rejestracyjny'!$F$5,$G1905))),COUNT($I$1:I1904)+1,"")</f>
        <v>0</v>
      </c>
    </row>
    <row r="1906" spans="6:9">
      <c r="F1906" s="7">
        <f>IF('W rejestracji'!$C$1913="","",'W rejestracji'!$C$1913)</f>
        <v>0</v>
      </c>
      <c r="G1906" s="7">
        <f>IF(Zarejestrowane!$C$1913="","",Zarejestrowane!$C$1913)</f>
        <v>0</v>
      </c>
      <c r="H1906" s="9">
        <f>IF(AND($F1906&lt;&gt;"",ISNUMBER(SEARCH('Nr rejestracyjny'!$F$5,$F1906))),COUNT($H$1:H1905)+1,"")</f>
        <v>0</v>
      </c>
      <c r="I1906" s="9">
        <f>IF(AND($G1906&lt;&gt;"",ISNUMBER(SEARCH('Nr rejestracyjny'!$F$5,$G1906))),COUNT($I$1:I1905)+1,"")</f>
        <v>0</v>
      </c>
    </row>
    <row r="1907" spans="6:9">
      <c r="F1907" s="7">
        <f>IF('W rejestracji'!$C$1914="","",'W rejestracji'!$C$1914)</f>
        <v>0</v>
      </c>
      <c r="G1907" s="7">
        <f>IF(Zarejestrowane!$C$1914="","",Zarejestrowane!$C$1914)</f>
        <v>0</v>
      </c>
      <c r="H1907" s="9">
        <f>IF(AND($F1907&lt;&gt;"",ISNUMBER(SEARCH('Nr rejestracyjny'!$F$5,$F1907))),COUNT($H$1:H1906)+1,"")</f>
        <v>0</v>
      </c>
      <c r="I1907" s="9">
        <f>IF(AND($G1907&lt;&gt;"",ISNUMBER(SEARCH('Nr rejestracyjny'!$F$5,$G1907))),COUNT($I$1:I1906)+1,"")</f>
        <v>0</v>
      </c>
    </row>
    <row r="1908" spans="6:9">
      <c r="F1908" s="7">
        <f>IF('W rejestracji'!$C$1915="","",'W rejestracji'!$C$1915)</f>
        <v>0</v>
      </c>
      <c r="G1908" s="7">
        <f>IF(Zarejestrowane!$C$1915="","",Zarejestrowane!$C$1915)</f>
        <v>0</v>
      </c>
      <c r="H1908" s="9">
        <f>IF(AND($F1908&lt;&gt;"",ISNUMBER(SEARCH('Nr rejestracyjny'!$F$5,$F1908))),COUNT($H$1:H1907)+1,"")</f>
        <v>0</v>
      </c>
      <c r="I1908" s="9">
        <f>IF(AND($G1908&lt;&gt;"",ISNUMBER(SEARCH('Nr rejestracyjny'!$F$5,$G1908))),COUNT($I$1:I1907)+1,"")</f>
        <v>0</v>
      </c>
    </row>
    <row r="1909" spans="6:9">
      <c r="F1909" s="7">
        <f>IF('W rejestracji'!$C$1916="","",'W rejestracji'!$C$1916)</f>
        <v>0</v>
      </c>
      <c r="G1909" s="7">
        <f>IF(Zarejestrowane!$C$1916="","",Zarejestrowane!$C$1916)</f>
        <v>0</v>
      </c>
      <c r="H1909" s="9">
        <f>IF(AND($F1909&lt;&gt;"",ISNUMBER(SEARCH('Nr rejestracyjny'!$F$5,$F1909))),COUNT($H$1:H1908)+1,"")</f>
        <v>0</v>
      </c>
      <c r="I1909" s="9">
        <f>IF(AND($G1909&lt;&gt;"",ISNUMBER(SEARCH('Nr rejestracyjny'!$F$5,$G1909))),COUNT($I$1:I1908)+1,"")</f>
        <v>0</v>
      </c>
    </row>
    <row r="1910" spans="6:9">
      <c r="F1910" s="7">
        <f>IF('W rejestracji'!$C$1917="","",'W rejestracji'!$C$1917)</f>
        <v>0</v>
      </c>
      <c r="G1910" s="7">
        <f>IF(Zarejestrowane!$C$1917="","",Zarejestrowane!$C$1917)</f>
        <v>0</v>
      </c>
      <c r="H1910" s="9">
        <f>IF(AND($F1910&lt;&gt;"",ISNUMBER(SEARCH('Nr rejestracyjny'!$F$5,$F1910))),COUNT($H$1:H1909)+1,"")</f>
        <v>0</v>
      </c>
      <c r="I1910" s="9">
        <f>IF(AND($G1910&lt;&gt;"",ISNUMBER(SEARCH('Nr rejestracyjny'!$F$5,$G1910))),COUNT($I$1:I1909)+1,"")</f>
        <v>0</v>
      </c>
    </row>
    <row r="1911" spans="6:9">
      <c r="F1911" s="7">
        <f>IF('W rejestracji'!$C$1918="","",'W rejestracji'!$C$1918)</f>
        <v>0</v>
      </c>
      <c r="G1911" s="7">
        <f>IF(Zarejestrowane!$C$1918="","",Zarejestrowane!$C$1918)</f>
        <v>0</v>
      </c>
      <c r="H1911" s="9">
        <f>IF(AND($F1911&lt;&gt;"",ISNUMBER(SEARCH('Nr rejestracyjny'!$F$5,$F1911))),COUNT($H$1:H1910)+1,"")</f>
        <v>0</v>
      </c>
      <c r="I1911" s="9">
        <f>IF(AND($G1911&lt;&gt;"",ISNUMBER(SEARCH('Nr rejestracyjny'!$F$5,$G1911))),COUNT($I$1:I1910)+1,"")</f>
        <v>0</v>
      </c>
    </row>
    <row r="1912" spans="6:9">
      <c r="F1912" s="7">
        <f>IF('W rejestracji'!$C$1919="","",'W rejestracji'!$C$1919)</f>
        <v>0</v>
      </c>
      <c r="G1912" s="7">
        <f>IF(Zarejestrowane!$C$1919="","",Zarejestrowane!$C$1919)</f>
        <v>0</v>
      </c>
      <c r="H1912" s="9">
        <f>IF(AND($F1912&lt;&gt;"",ISNUMBER(SEARCH('Nr rejestracyjny'!$F$5,$F1912))),COUNT($H$1:H1911)+1,"")</f>
        <v>0</v>
      </c>
      <c r="I1912" s="9">
        <f>IF(AND($G1912&lt;&gt;"",ISNUMBER(SEARCH('Nr rejestracyjny'!$F$5,$G1912))),COUNT($I$1:I1911)+1,"")</f>
        <v>0</v>
      </c>
    </row>
    <row r="1913" spans="6:9">
      <c r="F1913" s="7">
        <f>IF('W rejestracji'!$C$1920="","",'W rejestracji'!$C$1920)</f>
        <v>0</v>
      </c>
      <c r="G1913" s="7">
        <f>IF(Zarejestrowane!$C$1920="","",Zarejestrowane!$C$1920)</f>
        <v>0</v>
      </c>
      <c r="H1913" s="9">
        <f>IF(AND($F1913&lt;&gt;"",ISNUMBER(SEARCH('Nr rejestracyjny'!$F$5,$F1913))),COUNT($H$1:H1912)+1,"")</f>
        <v>0</v>
      </c>
      <c r="I1913" s="9">
        <f>IF(AND($G1913&lt;&gt;"",ISNUMBER(SEARCH('Nr rejestracyjny'!$F$5,$G1913))),COUNT($I$1:I1912)+1,"")</f>
        <v>0</v>
      </c>
    </row>
    <row r="1914" spans="6:9">
      <c r="F1914" s="7">
        <f>IF('W rejestracji'!$C$1921="","",'W rejestracji'!$C$1921)</f>
        <v>0</v>
      </c>
      <c r="G1914" s="7">
        <f>IF(Zarejestrowane!$C$1921="","",Zarejestrowane!$C$1921)</f>
        <v>0</v>
      </c>
      <c r="H1914" s="9">
        <f>IF(AND($F1914&lt;&gt;"",ISNUMBER(SEARCH('Nr rejestracyjny'!$F$5,$F1914))),COUNT($H$1:H1913)+1,"")</f>
        <v>0</v>
      </c>
      <c r="I1914" s="9">
        <f>IF(AND($G1914&lt;&gt;"",ISNUMBER(SEARCH('Nr rejestracyjny'!$F$5,$G1914))),COUNT($I$1:I1913)+1,"")</f>
        <v>0</v>
      </c>
    </row>
    <row r="1915" spans="6:9">
      <c r="F1915" s="7">
        <f>IF('W rejestracji'!$C$1922="","",'W rejestracji'!$C$1922)</f>
        <v>0</v>
      </c>
      <c r="G1915" s="7">
        <f>IF(Zarejestrowane!$C$1922="","",Zarejestrowane!$C$1922)</f>
        <v>0</v>
      </c>
      <c r="H1915" s="9">
        <f>IF(AND($F1915&lt;&gt;"",ISNUMBER(SEARCH('Nr rejestracyjny'!$F$5,$F1915))),COUNT($H$1:H1914)+1,"")</f>
        <v>0</v>
      </c>
      <c r="I1915" s="9">
        <f>IF(AND($G1915&lt;&gt;"",ISNUMBER(SEARCH('Nr rejestracyjny'!$F$5,$G1915))),COUNT($I$1:I1914)+1,"")</f>
        <v>0</v>
      </c>
    </row>
    <row r="1916" spans="6:9">
      <c r="F1916" s="7">
        <f>IF('W rejestracji'!$C$1923="","",'W rejestracji'!$C$1923)</f>
        <v>0</v>
      </c>
      <c r="G1916" s="7">
        <f>IF(Zarejestrowane!$C$1923="","",Zarejestrowane!$C$1923)</f>
        <v>0</v>
      </c>
      <c r="H1916" s="9">
        <f>IF(AND($F1916&lt;&gt;"",ISNUMBER(SEARCH('Nr rejestracyjny'!$F$5,$F1916))),COUNT($H$1:H1915)+1,"")</f>
        <v>0</v>
      </c>
      <c r="I1916" s="9">
        <f>IF(AND($G1916&lt;&gt;"",ISNUMBER(SEARCH('Nr rejestracyjny'!$F$5,$G1916))),COUNT($I$1:I1915)+1,"")</f>
        <v>0</v>
      </c>
    </row>
    <row r="1917" spans="6:9">
      <c r="F1917" s="7">
        <f>IF('W rejestracji'!$C$1924="","",'W rejestracji'!$C$1924)</f>
        <v>0</v>
      </c>
      <c r="G1917" s="7">
        <f>IF(Zarejestrowane!$C$1924="","",Zarejestrowane!$C$1924)</f>
        <v>0</v>
      </c>
      <c r="H1917" s="9">
        <f>IF(AND($F1917&lt;&gt;"",ISNUMBER(SEARCH('Nr rejestracyjny'!$F$5,$F1917))),COUNT($H$1:H1916)+1,"")</f>
        <v>0</v>
      </c>
      <c r="I1917" s="9">
        <f>IF(AND($G1917&lt;&gt;"",ISNUMBER(SEARCH('Nr rejestracyjny'!$F$5,$G1917))),COUNT($I$1:I1916)+1,"")</f>
        <v>0</v>
      </c>
    </row>
    <row r="1918" spans="6:9">
      <c r="F1918" s="7">
        <f>IF('W rejestracji'!$C$1925="","",'W rejestracji'!$C$1925)</f>
        <v>0</v>
      </c>
      <c r="G1918" s="7">
        <f>IF(Zarejestrowane!$C$1925="","",Zarejestrowane!$C$1925)</f>
        <v>0</v>
      </c>
      <c r="H1918" s="9">
        <f>IF(AND($F1918&lt;&gt;"",ISNUMBER(SEARCH('Nr rejestracyjny'!$F$5,$F1918))),COUNT($H$1:H1917)+1,"")</f>
        <v>0</v>
      </c>
      <c r="I1918" s="9">
        <f>IF(AND($G1918&lt;&gt;"",ISNUMBER(SEARCH('Nr rejestracyjny'!$F$5,$G1918))),COUNT($I$1:I1917)+1,"")</f>
        <v>0</v>
      </c>
    </row>
    <row r="1919" spans="6:9">
      <c r="F1919" s="7">
        <f>IF('W rejestracji'!$C$1926="","",'W rejestracji'!$C$1926)</f>
        <v>0</v>
      </c>
      <c r="G1919" s="7">
        <f>IF(Zarejestrowane!$C$1926="","",Zarejestrowane!$C$1926)</f>
        <v>0</v>
      </c>
      <c r="H1919" s="9">
        <f>IF(AND($F1919&lt;&gt;"",ISNUMBER(SEARCH('Nr rejestracyjny'!$F$5,$F1919))),COUNT($H$1:H1918)+1,"")</f>
        <v>0</v>
      </c>
      <c r="I1919" s="9">
        <f>IF(AND($G1919&lt;&gt;"",ISNUMBER(SEARCH('Nr rejestracyjny'!$F$5,$G1919))),COUNT($I$1:I1918)+1,"")</f>
        <v>0</v>
      </c>
    </row>
    <row r="1920" spans="6:9">
      <c r="F1920" s="7">
        <f>IF('W rejestracji'!$C$1927="","",'W rejestracji'!$C$1927)</f>
        <v>0</v>
      </c>
      <c r="G1920" s="7">
        <f>IF(Zarejestrowane!$C$1927="","",Zarejestrowane!$C$1927)</f>
        <v>0</v>
      </c>
      <c r="H1920" s="9">
        <f>IF(AND($F1920&lt;&gt;"",ISNUMBER(SEARCH('Nr rejestracyjny'!$F$5,$F1920))),COUNT($H$1:H1919)+1,"")</f>
        <v>0</v>
      </c>
      <c r="I1920" s="9">
        <f>IF(AND($G1920&lt;&gt;"",ISNUMBER(SEARCH('Nr rejestracyjny'!$F$5,$G1920))),COUNT($I$1:I1919)+1,"")</f>
        <v>0</v>
      </c>
    </row>
    <row r="1921" spans="6:9">
      <c r="F1921" s="7">
        <f>IF('W rejestracji'!$C$1928="","",'W rejestracji'!$C$1928)</f>
        <v>0</v>
      </c>
      <c r="G1921" s="7">
        <f>IF(Zarejestrowane!$C$1928="","",Zarejestrowane!$C$1928)</f>
        <v>0</v>
      </c>
      <c r="H1921" s="9">
        <f>IF(AND($F1921&lt;&gt;"",ISNUMBER(SEARCH('Nr rejestracyjny'!$F$5,$F1921))),COUNT($H$1:H1920)+1,"")</f>
        <v>0</v>
      </c>
      <c r="I1921" s="9">
        <f>IF(AND($G1921&lt;&gt;"",ISNUMBER(SEARCH('Nr rejestracyjny'!$F$5,$G1921))),COUNT($I$1:I1920)+1,"")</f>
        <v>0</v>
      </c>
    </row>
    <row r="1922" spans="6:9">
      <c r="F1922" s="7">
        <f>IF('W rejestracji'!$C$1929="","",'W rejestracji'!$C$1929)</f>
        <v>0</v>
      </c>
      <c r="G1922" s="7">
        <f>IF(Zarejestrowane!$C$1929="","",Zarejestrowane!$C$1929)</f>
        <v>0</v>
      </c>
      <c r="H1922" s="9">
        <f>IF(AND($F1922&lt;&gt;"",ISNUMBER(SEARCH('Nr rejestracyjny'!$F$5,$F1922))),COUNT($H$1:H1921)+1,"")</f>
        <v>0</v>
      </c>
      <c r="I1922" s="9">
        <f>IF(AND($G1922&lt;&gt;"",ISNUMBER(SEARCH('Nr rejestracyjny'!$F$5,$G1922))),COUNT($I$1:I1921)+1,"")</f>
        <v>0</v>
      </c>
    </row>
    <row r="1923" spans="6:9">
      <c r="F1923" s="7">
        <f>IF('W rejestracji'!$C$1930="","",'W rejestracji'!$C$1930)</f>
        <v>0</v>
      </c>
      <c r="G1923" s="7">
        <f>IF(Zarejestrowane!$C$1930="","",Zarejestrowane!$C$1930)</f>
        <v>0</v>
      </c>
      <c r="H1923" s="9">
        <f>IF(AND($F1923&lt;&gt;"",ISNUMBER(SEARCH('Nr rejestracyjny'!$F$5,$F1923))),COUNT($H$1:H1922)+1,"")</f>
        <v>0</v>
      </c>
      <c r="I1923" s="9">
        <f>IF(AND($G1923&lt;&gt;"",ISNUMBER(SEARCH('Nr rejestracyjny'!$F$5,$G1923))),COUNT($I$1:I1922)+1,"")</f>
        <v>0</v>
      </c>
    </row>
    <row r="1924" spans="6:9">
      <c r="F1924" s="7">
        <f>IF('W rejestracji'!$C$1931="","",'W rejestracji'!$C$1931)</f>
        <v>0</v>
      </c>
      <c r="G1924" s="7">
        <f>IF(Zarejestrowane!$C$1931="","",Zarejestrowane!$C$1931)</f>
        <v>0</v>
      </c>
      <c r="H1924" s="9">
        <f>IF(AND($F1924&lt;&gt;"",ISNUMBER(SEARCH('Nr rejestracyjny'!$F$5,$F1924))),COUNT($H$1:H1923)+1,"")</f>
        <v>0</v>
      </c>
      <c r="I1924" s="9">
        <f>IF(AND($G1924&lt;&gt;"",ISNUMBER(SEARCH('Nr rejestracyjny'!$F$5,$G1924))),COUNT($I$1:I1923)+1,"")</f>
        <v>0</v>
      </c>
    </row>
    <row r="1925" spans="6:9">
      <c r="F1925" s="7">
        <f>IF('W rejestracji'!$C$1932="","",'W rejestracji'!$C$1932)</f>
        <v>0</v>
      </c>
      <c r="G1925" s="7">
        <f>IF(Zarejestrowane!$C$1932="","",Zarejestrowane!$C$1932)</f>
        <v>0</v>
      </c>
      <c r="H1925" s="9">
        <f>IF(AND($F1925&lt;&gt;"",ISNUMBER(SEARCH('Nr rejestracyjny'!$F$5,$F1925))),COUNT($H$1:H1924)+1,"")</f>
        <v>0</v>
      </c>
      <c r="I1925" s="9">
        <f>IF(AND($G1925&lt;&gt;"",ISNUMBER(SEARCH('Nr rejestracyjny'!$F$5,$G1925))),COUNT($I$1:I1924)+1,"")</f>
        <v>0</v>
      </c>
    </row>
    <row r="1926" spans="6:9">
      <c r="F1926" s="7">
        <f>IF('W rejestracji'!$C$1933="","",'W rejestracji'!$C$1933)</f>
        <v>0</v>
      </c>
      <c r="G1926" s="7">
        <f>IF(Zarejestrowane!$C$1933="","",Zarejestrowane!$C$1933)</f>
        <v>0</v>
      </c>
      <c r="H1926" s="9">
        <f>IF(AND($F1926&lt;&gt;"",ISNUMBER(SEARCH('Nr rejestracyjny'!$F$5,$F1926))),COUNT($H$1:H1925)+1,"")</f>
        <v>0</v>
      </c>
      <c r="I1926" s="9">
        <f>IF(AND($G1926&lt;&gt;"",ISNUMBER(SEARCH('Nr rejestracyjny'!$F$5,$G1926))),COUNT($I$1:I1925)+1,"")</f>
        <v>0</v>
      </c>
    </row>
    <row r="1927" spans="6:9">
      <c r="F1927" s="7">
        <f>IF('W rejestracji'!$C$1934="","",'W rejestracji'!$C$1934)</f>
        <v>0</v>
      </c>
      <c r="G1927" s="7">
        <f>IF(Zarejestrowane!$C$1934="","",Zarejestrowane!$C$1934)</f>
        <v>0</v>
      </c>
      <c r="H1927" s="9">
        <f>IF(AND($F1927&lt;&gt;"",ISNUMBER(SEARCH('Nr rejestracyjny'!$F$5,$F1927))),COUNT($H$1:H1926)+1,"")</f>
        <v>0</v>
      </c>
      <c r="I1927" s="9">
        <f>IF(AND($G1927&lt;&gt;"",ISNUMBER(SEARCH('Nr rejestracyjny'!$F$5,$G1927))),COUNT($I$1:I1926)+1,"")</f>
        <v>0</v>
      </c>
    </row>
    <row r="1928" spans="6:9">
      <c r="F1928" s="7">
        <f>IF('W rejestracji'!$C$1935="","",'W rejestracji'!$C$1935)</f>
        <v>0</v>
      </c>
      <c r="G1928" s="7">
        <f>IF(Zarejestrowane!$C$1935="","",Zarejestrowane!$C$1935)</f>
        <v>0</v>
      </c>
      <c r="H1928" s="9">
        <f>IF(AND($F1928&lt;&gt;"",ISNUMBER(SEARCH('Nr rejestracyjny'!$F$5,$F1928))),COUNT($H$1:H1927)+1,"")</f>
        <v>0</v>
      </c>
      <c r="I1928" s="9">
        <f>IF(AND($G1928&lt;&gt;"",ISNUMBER(SEARCH('Nr rejestracyjny'!$F$5,$G1928))),COUNT($I$1:I1927)+1,"")</f>
        <v>0</v>
      </c>
    </row>
    <row r="1929" spans="6:9">
      <c r="F1929" s="7">
        <f>IF('W rejestracji'!$C$1936="","",'W rejestracji'!$C$1936)</f>
        <v>0</v>
      </c>
      <c r="G1929" s="7">
        <f>IF(Zarejestrowane!$C$1936="","",Zarejestrowane!$C$1936)</f>
        <v>0</v>
      </c>
      <c r="H1929" s="9">
        <f>IF(AND($F1929&lt;&gt;"",ISNUMBER(SEARCH('Nr rejestracyjny'!$F$5,$F1929))),COUNT($H$1:H1928)+1,"")</f>
        <v>0</v>
      </c>
      <c r="I1929" s="9">
        <f>IF(AND($G1929&lt;&gt;"",ISNUMBER(SEARCH('Nr rejestracyjny'!$F$5,$G1929))),COUNT($I$1:I1928)+1,"")</f>
        <v>0</v>
      </c>
    </row>
    <row r="1930" spans="6:9">
      <c r="F1930" s="7">
        <f>IF('W rejestracji'!$C$1937="","",'W rejestracji'!$C$1937)</f>
        <v>0</v>
      </c>
      <c r="G1930" s="7">
        <f>IF(Zarejestrowane!$C$1937="","",Zarejestrowane!$C$1937)</f>
        <v>0</v>
      </c>
      <c r="H1930" s="9">
        <f>IF(AND($F1930&lt;&gt;"",ISNUMBER(SEARCH('Nr rejestracyjny'!$F$5,$F1930))),COUNT($H$1:H1929)+1,"")</f>
        <v>0</v>
      </c>
      <c r="I1930" s="9">
        <f>IF(AND($G1930&lt;&gt;"",ISNUMBER(SEARCH('Nr rejestracyjny'!$F$5,$G1930))),COUNT($I$1:I1929)+1,"")</f>
        <v>0</v>
      </c>
    </row>
    <row r="1931" spans="6:9">
      <c r="F1931" s="7">
        <f>IF('W rejestracji'!$C$1938="","",'W rejestracji'!$C$1938)</f>
        <v>0</v>
      </c>
      <c r="G1931" s="7">
        <f>IF(Zarejestrowane!$C$1938="","",Zarejestrowane!$C$1938)</f>
        <v>0</v>
      </c>
      <c r="H1931" s="9">
        <f>IF(AND($F1931&lt;&gt;"",ISNUMBER(SEARCH('Nr rejestracyjny'!$F$5,$F1931))),COUNT($H$1:H1930)+1,"")</f>
        <v>0</v>
      </c>
      <c r="I1931" s="9">
        <f>IF(AND($G1931&lt;&gt;"",ISNUMBER(SEARCH('Nr rejestracyjny'!$F$5,$G1931))),COUNT($I$1:I1930)+1,"")</f>
        <v>0</v>
      </c>
    </row>
    <row r="1932" spans="6:9">
      <c r="F1932" s="7">
        <f>IF('W rejestracji'!$C$1939="","",'W rejestracji'!$C$1939)</f>
        <v>0</v>
      </c>
      <c r="G1932" s="7">
        <f>IF(Zarejestrowane!$C$1939="","",Zarejestrowane!$C$1939)</f>
        <v>0</v>
      </c>
      <c r="H1932" s="9">
        <f>IF(AND($F1932&lt;&gt;"",ISNUMBER(SEARCH('Nr rejestracyjny'!$F$5,$F1932))),COUNT($H$1:H1931)+1,"")</f>
        <v>0</v>
      </c>
      <c r="I1932" s="9">
        <f>IF(AND($G1932&lt;&gt;"",ISNUMBER(SEARCH('Nr rejestracyjny'!$F$5,$G1932))),COUNT($I$1:I1931)+1,"")</f>
        <v>0</v>
      </c>
    </row>
    <row r="1933" spans="6:9">
      <c r="F1933" s="7">
        <f>IF('W rejestracji'!$C$1940="","",'W rejestracji'!$C$1940)</f>
        <v>0</v>
      </c>
      <c r="G1933" s="7">
        <f>IF(Zarejestrowane!$C$1940="","",Zarejestrowane!$C$1940)</f>
        <v>0</v>
      </c>
      <c r="H1933" s="9">
        <f>IF(AND($F1933&lt;&gt;"",ISNUMBER(SEARCH('Nr rejestracyjny'!$F$5,$F1933))),COUNT($H$1:H1932)+1,"")</f>
        <v>0</v>
      </c>
      <c r="I1933" s="9">
        <f>IF(AND($G1933&lt;&gt;"",ISNUMBER(SEARCH('Nr rejestracyjny'!$F$5,$G1933))),COUNT($I$1:I1932)+1,"")</f>
        <v>0</v>
      </c>
    </row>
    <row r="1934" spans="6:9">
      <c r="F1934" s="7">
        <f>IF('W rejestracji'!$C$1941="","",'W rejestracji'!$C$1941)</f>
        <v>0</v>
      </c>
      <c r="G1934" s="7">
        <f>IF(Zarejestrowane!$C$1941="","",Zarejestrowane!$C$1941)</f>
        <v>0</v>
      </c>
      <c r="H1934" s="9">
        <f>IF(AND($F1934&lt;&gt;"",ISNUMBER(SEARCH('Nr rejestracyjny'!$F$5,$F1934))),COUNT($H$1:H1933)+1,"")</f>
        <v>0</v>
      </c>
      <c r="I1934" s="9">
        <f>IF(AND($G1934&lt;&gt;"",ISNUMBER(SEARCH('Nr rejestracyjny'!$F$5,$G1934))),COUNT($I$1:I1933)+1,"")</f>
        <v>0</v>
      </c>
    </row>
    <row r="1935" spans="6:9">
      <c r="F1935" s="7">
        <f>IF('W rejestracji'!$C$1942="","",'W rejestracji'!$C$1942)</f>
        <v>0</v>
      </c>
      <c r="G1935" s="7">
        <f>IF(Zarejestrowane!$C$1942="","",Zarejestrowane!$C$1942)</f>
        <v>0</v>
      </c>
      <c r="H1935" s="9">
        <f>IF(AND($F1935&lt;&gt;"",ISNUMBER(SEARCH('Nr rejestracyjny'!$F$5,$F1935))),COUNT($H$1:H1934)+1,"")</f>
        <v>0</v>
      </c>
      <c r="I1935" s="9">
        <f>IF(AND($G1935&lt;&gt;"",ISNUMBER(SEARCH('Nr rejestracyjny'!$F$5,$G1935))),COUNT($I$1:I1934)+1,"")</f>
        <v>0</v>
      </c>
    </row>
    <row r="1936" spans="6:9">
      <c r="F1936" s="7">
        <f>IF('W rejestracji'!$C$1943="","",'W rejestracji'!$C$1943)</f>
        <v>0</v>
      </c>
      <c r="G1936" s="7">
        <f>IF(Zarejestrowane!$C$1943="","",Zarejestrowane!$C$1943)</f>
        <v>0</v>
      </c>
      <c r="H1936" s="9">
        <f>IF(AND($F1936&lt;&gt;"",ISNUMBER(SEARCH('Nr rejestracyjny'!$F$5,$F1936))),COUNT($H$1:H1935)+1,"")</f>
        <v>0</v>
      </c>
      <c r="I1936" s="9">
        <f>IF(AND($G1936&lt;&gt;"",ISNUMBER(SEARCH('Nr rejestracyjny'!$F$5,$G1936))),COUNT($I$1:I1935)+1,"")</f>
        <v>0</v>
      </c>
    </row>
    <row r="1937" spans="6:9">
      <c r="F1937" s="7">
        <f>IF('W rejestracji'!$C$1944="","",'W rejestracji'!$C$1944)</f>
        <v>0</v>
      </c>
      <c r="G1937" s="7">
        <f>IF(Zarejestrowane!$C$1944="","",Zarejestrowane!$C$1944)</f>
        <v>0</v>
      </c>
      <c r="H1937" s="9">
        <f>IF(AND($F1937&lt;&gt;"",ISNUMBER(SEARCH('Nr rejestracyjny'!$F$5,$F1937))),COUNT($H$1:H1936)+1,"")</f>
        <v>0</v>
      </c>
      <c r="I1937" s="9">
        <f>IF(AND($G1937&lt;&gt;"",ISNUMBER(SEARCH('Nr rejestracyjny'!$F$5,$G1937))),COUNT($I$1:I1936)+1,"")</f>
        <v>0</v>
      </c>
    </row>
    <row r="1938" spans="6:9">
      <c r="F1938" s="7">
        <f>IF('W rejestracji'!$C$1945="","",'W rejestracji'!$C$1945)</f>
        <v>0</v>
      </c>
      <c r="G1938" s="7">
        <f>IF(Zarejestrowane!$C$1945="","",Zarejestrowane!$C$1945)</f>
        <v>0</v>
      </c>
      <c r="H1938" s="9">
        <f>IF(AND($F1938&lt;&gt;"",ISNUMBER(SEARCH('Nr rejestracyjny'!$F$5,$F1938))),COUNT($H$1:H1937)+1,"")</f>
        <v>0</v>
      </c>
      <c r="I1938" s="9">
        <f>IF(AND($G1938&lt;&gt;"",ISNUMBER(SEARCH('Nr rejestracyjny'!$F$5,$G1938))),COUNT($I$1:I1937)+1,"")</f>
        <v>0</v>
      </c>
    </row>
    <row r="1939" spans="6:9">
      <c r="F1939" s="7">
        <f>IF('W rejestracji'!$C$1946="","",'W rejestracji'!$C$1946)</f>
        <v>0</v>
      </c>
      <c r="G1939" s="7">
        <f>IF(Zarejestrowane!$C$1946="","",Zarejestrowane!$C$1946)</f>
        <v>0</v>
      </c>
      <c r="H1939" s="9">
        <f>IF(AND($F1939&lt;&gt;"",ISNUMBER(SEARCH('Nr rejestracyjny'!$F$5,$F1939))),COUNT($H$1:H1938)+1,"")</f>
        <v>0</v>
      </c>
      <c r="I1939" s="9">
        <f>IF(AND($G1939&lt;&gt;"",ISNUMBER(SEARCH('Nr rejestracyjny'!$F$5,$G1939))),COUNT($I$1:I1938)+1,"")</f>
        <v>0</v>
      </c>
    </row>
    <row r="1940" spans="6:9">
      <c r="F1940" s="7">
        <f>IF('W rejestracji'!$C$1947="","",'W rejestracji'!$C$1947)</f>
        <v>0</v>
      </c>
      <c r="G1940" s="7">
        <f>IF(Zarejestrowane!$C$1947="","",Zarejestrowane!$C$1947)</f>
        <v>0</v>
      </c>
      <c r="H1940" s="9">
        <f>IF(AND($F1940&lt;&gt;"",ISNUMBER(SEARCH('Nr rejestracyjny'!$F$5,$F1940))),COUNT($H$1:H1939)+1,"")</f>
        <v>0</v>
      </c>
      <c r="I1940" s="9">
        <f>IF(AND($G1940&lt;&gt;"",ISNUMBER(SEARCH('Nr rejestracyjny'!$F$5,$G1940))),COUNT($I$1:I1939)+1,"")</f>
        <v>0</v>
      </c>
    </row>
    <row r="1941" spans="6:9">
      <c r="F1941" s="7">
        <f>IF('W rejestracji'!$C$1948="","",'W rejestracji'!$C$1948)</f>
        <v>0</v>
      </c>
      <c r="G1941" s="7">
        <f>IF(Zarejestrowane!$C$1948="","",Zarejestrowane!$C$1948)</f>
        <v>0</v>
      </c>
      <c r="H1941" s="9">
        <f>IF(AND($F1941&lt;&gt;"",ISNUMBER(SEARCH('Nr rejestracyjny'!$F$5,$F1941))),COUNT($H$1:H1940)+1,"")</f>
        <v>0</v>
      </c>
      <c r="I1941" s="9">
        <f>IF(AND($G1941&lt;&gt;"",ISNUMBER(SEARCH('Nr rejestracyjny'!$F$5,$G1941))),COUNT($I$1:I1940)+1,"")</f>
        <v>0</v>
      </c>
    </row>
    <row r="1942" spans="6:9">
      <c r="F1942" s="7">
        <f>IF('W rejestracji'!$C$1949="","",'W rejestracji'!$C$1949)</f>
        <v>0</v>
      </c>
      <c r="G1942" s="7">
        <f>IF(Zarejestrowane!$C$1949="","",Zarejestrowane!$C$1949)</f>
        <v>0</v>
      </c>
      <c r="H1942" s="9">
        <f>IF(AND($F1942&lt;&gt;"",ISNUMBER(SEARCH('Nr rejestracyjny'!$F$5,$F1942))),COUNT($H$1:H1941)+1,"")</f>
        <v>0</v>
      </c>
      <c r="I1942" s="9">
        <f>IF(AND($G1942&lt;&gt;"",ISNUMBER(SEARCH('Nr rejestracyjny'!$F$5,$G1942))),COUNT($I$1:I1941)+1,"")</f>
        <v>0</v>
      </c>
    </row>
    <row r="1943" spans="6:9">
      <c r="F1943" s="7">
        <f>IF('W rejestracji'!$C$1950="","",'W rejestracji'!$C$1950)</f>
        <v>0</v>
      </c>
      <c r="G1943" s="7">
        <f>IF(Zarejestrowane!$C$1950="","",Zarejestrowane!$C$1950)</f>
        <v>0</v>
      </c>
      <c r="H1943" s="9">
        <f>IF(AND($F1943&lt;&gt;"",ISNUMBER(SEARCH('Nr rejestracyjny'!$F$5,$F1943))),COUNT($H$1:H1942)+1,"")</f>
        <v>0</v>
      </c>
      <c r="I1943" s="9">
        <f>IF(AND($G1943&lt;&gt;"",ISNUMBER(SEARCH('Nr rejestracyjny'!$F$5,$G1943))),COUNT($I$1:I1942)+1,"")</f>
        <v>0</v>
      </c>
    </row>
    <row r="1944" spans="6:9">
      <c r="F1944" s="7">
        <f>IF('W rejestracji'!$C$1951="","",'W rejestracji'!$C$1951)</f>
        <v>0</v>
      </c>
      <c r="G1944" s="7">
        <f>IF(Zarejestrowane!$C$1951="","",Zarejestrowane!$C$1951)</f>
        <v>0</v>
      </c>
      <c r="H1944" s="9">
        <f>IF(AND($F1944&lt;&gt;"",ISNUMBER(SEARCH('Nr rejestracyjny'!$F$5,$F1944))),COUNT($H$1:H1943)+1,"")</f>
        <v>0</v>
      </c>
      <c r="I1944" s="9">
        <f>IF(AND($G1944&lt;&gt;"",ISNUMBER(SEARCH('Nr rejestracyjny'!$F$5,$G1944))),COUNT($I$1:I1943)+1,"")</f>
        <v>0</v>
      </c>
    </row>
    <row r="1945" spans="6:9">
      <c r="F1945" s="7">
        <f>IF('W rejestracji'!$C$1952="","",'W rejestracji'!$C$1952)</f>
        <v>0</v>
      </c>
      <c r="G1945" s="7">
        <f>IF(Zarejestrowane!$C$1952="","",Zarejestrowane!$C$1952)</f>
        <v>0</v>
      </c>
      <c r="H1945" s="9">
        <f>IF(AND($F1945&lt;&gt;"",ISNUMBER(SEARCH('Nr rejestracyjny'!$F$5,$F1945))),COUNT($H$1:H1944)+1,"")</f>
        <v>0</v>
      </c>
      <c r="I1945" s="9">
        <f>IF(AND($G1945&lt;&gt;"",ISNUMBER(SEARCH('Nr rejestracyjny'!$F$5,$G1945))),COUNT($I$1:I1944)+1,"")</f>
        <v>0</v>
      </c>
    </row>
    <row r="1946" spans="6:9">
      <c r="F1946" s="7">
        <f>IF('W rejestracji'!$C$1953="","",'W rejestracji'!$C$1953)</f>
        <v>0</v>
      </c>
      <c r="G1946" s="7">
        <f>IF(Zarejestrowane!$C$1953="","",Zarejestrowane!$C$1953)</f>
        <v>0</v>
      </c>
      <c r="H1946" s="9">
        <f>IF(AND($F1946&lt;&gt;"",ISNUMBER(SEARCH('Nr rejestracyjny'!$F$5,$F1946))),COUNT($H$1:H1945)+1,"")</f>
        <v>0</v>
      </c>
      <c r="I1946" s="9">
        <f>IF(AND($G1946&lt;&gt;"",ISNUMBER(SEARCH('Nr rejestracyjny'!$F$5,$G1946))),COUNT($I$1:I1945)+1,"")</f>
        <v>0</v>
      </c>
    </row>
    <row r="1947" spans="6:9">
      <c r="F1947" s="7">
        <f>IF('W rejestracji'!$C$1954="","",'W rejestracji'!$C$1954)</f>
        <v>0</v>
      </c>
      <c r="G1947" s="7">
        <f>IF(Zarejestrowane!$C$1954="","",Zarejestrowane!$C$1954)</f>
        <v>0</v>
      </c>
      <c r="H1947" s="9">
        <f>IF(AND($F1947&lt;&gt;"",ISNUMBER(SEARCH('Nr rejestracyjny'!$F$5,$F1947))),COUNT($H$1:H1946)+1,"")</f>
        <v>0</v>
      </c>
      <c r="I1947" s="9">
        <f>IF(AND($G1947&lt;&gt;"",ISNUMBER(SEARCH('Nr rejestracyjny'!$F$5,$G1947))),COUNT($I$1:I1946)+1,"")</f>
        <v>0</v>
      </c>
    </row>
    <row r="1948" spans="6:9">
      <c r="F1948" s="7">
        <f>IF('W rejestracji'!$C$1955="","",'W rejestracji'!$C$1955)</f>
        <v>0</v>
      </c>
      <c r="G1948" s="7">
        <f>IF(Zarejestrowane!$C$1955="","",Zarejestrowane!$C$1955)</f>
        <v>0</v>
      </c>
      <c r="H1948" s="9">
        <f>IF(AND($F1948&lt;&gt;"",ISNUMBER(SEARCH('Nr rejestracyjny'!$F$5,$F1948))),COUNT($H$1:H1947)+1,"")</f>
        <v>0</v>
      </c>
      <c r="I1948" s="9">
        <f>IF(AND($G1948&lt;&gt;"",ISNUMBER(SEARCH('Nr rejestracyjny'!$F$5,$G1948))),COUNT($I$1:I1947)+1,"")</f>
        <v>0</v>
      </c>
    </row>
    <row r="1949" spans="6:9">
      <c r="F1949" s="7">
        <f>IF('W rejestracji'!$C$1956="","",'W rejestracji'!$C$1956)</f>
        <v>0</v>
      </c>
      <c r="G1949" s="7">
        <f>IF(Zarejestrowane!$C$1956="","",Zarejestrowane!$C$1956)</f>
        <v>0</v>
      </c>
      <c r="H1949" s="9">
        <f>IF(AND($F1949&lt;&gt;"",ISNUMBER(SEARCH('Nr rejestracyjny'!$F$5,$F1949))),COUNT($H$1:H1948)+1,"")</f>
        <v>0</v>
      </c>
      <c r="I1949" s="9">
        <f>IF(AND($G1949&lt;&gt;"",ISNUMBER(SEARCH('Nr rejestracyjny'!$F$5,$G1949))),COUNT($I$1:I1948)+1,"")</f>
        <v>0</v>
      </c>
    </row>
    <row r="1950" spans="6:9">
      <c r="F1950" s="7">
        <f>IF('W rejestracji'!$C$1957="","",'W rejestracji'!$C$1957)</f>
        <v>0</v>
      </c>
      <c r="G1950" s="7">
        <f>IF(Zarejestrowane!$C$1957="","",Zarejestrowane!$C$1957)</f>
        <v>0</v>
      </c>
      <c r="H1950" s="9">
        <f>IF(AND($F1950&lt;&gt;"",ISNUMBER(SEARCH('Nr rejestracyjny'!$F$5,$F1950))),COUNT($H$1:H1949)+1,"")</f>
        <v>0</v>
      </c>
      <c r="I1950" s="9">
        <f>IF(AND($G1950&lt;&gt;"",ISNUMBER(SEARCH('Nr rejestracyjny'!$F$5,$G1950))),COUNT($I$1:I1949)+1,"")</f>
        <v>0</v>
      </c>
    </row>
    <row r="1951" spans="6:9">
      <c r="F1951" s="7">
        <f>IF('W rejestracji'!$C$1958="","",'W rejestracji'!$C$1958)</f>
        <v>0</v>
      </c>
      <c r="G1951" s="7">
        <f>IF(Zarejestrowane!$C$1958="","",Zarejestrowane!$C$1958)</f>
        <v>0</v>
      </c>
      <c r="H1951" s="9">
        <f>IF(AND($F1951&lt;&gt;"",ISNUMBER(SEARCH('Nr rejestracyjny'!$F$5,$F1951))),COUNT($H$1:H1950)+1,"")</f>
        <v>0</v>
      </c>
      <c r="I1951" s="9">
        <f>IF(AND($G1951&lt;&gt;"",ISNUMBER(SEARCH('Nr rejestracyjny'!$F$5,$G1951))),COUNT($I$1:I1950)+1,"")</f>
        <v>0</v>
      </c>
    </row>
    <row r="1952" spans="6:9">
      <c r="F1952" s="7">
        <f>IF('W rejestracji'!$C$1959="","",'W rejestracji'!$C$1959)</f>
        <v>0</v>
      </c>
      <c r="G1952" s="7">
        <f>IF(Zarejestrowane!$C$1959="","",Zarejestrowane!$C$1959)</f>
        <v>0</v>
      </c>
      <c r="H1952" s="9">
        <f>IF(AND($F1952&lt;&gt;"",ISNUMBER(SEARCH('Nr rejestracyjny'!$F$5,$F1952))),COUNT($H$1:H1951)+1,"")</f>
        <v>0</v>
      </c>
      <c r="I1952" s="9">
        <f>IF(AND($G1952&lt;&gt;"",ISNUMBER(SEARCH('Nr rejestracyjny'!$F$5,$G1952))),COUNT($I$1:I1951)+1,"")</f>
        <v>0</v>
      </c>
    </row>
    <row r="1953" spans="6:9">
      <c r="F1953" s="7">
        <f>IF('W rejestracji'!$C$1960="","",'W rejestracji'!$C$1960)</f>
        <v>0</v>
      </c>
      <c r="G1953" s="7">
        <f>IF(Zarejestrowane!$C$1960="","",Zarejestrowane!$C$1960)</f>
        <v>0</v>
      </c>
      <c r="H1953" s="9">
        <f>IF(AND($F1953&lt;&gt;"",ISNUMBER(SEARCH('Nr rejestracyjny'!$F$5,$F1953))),COUNT($H$1:H1952)+1,"")</f>
        <v>0</v>
      </c>
      <c r="I1953" s="9">
        <f>IF(AND($G1953&lt;&gt;"",ISNUMBER(SEARCH('Nr rejestracyjny'!$F$5,$G1953))),COUNT($I$1:I1952)+1,"")</f>
        <v>0</v>
      </c>
    </row>
    <row r="1954" spans="6:9">
      <c r="F1954" s="7">
        <f>IF('W rejestracji'!$C$1961="","",'W rejestracji'!$C$1961)</f>
        <v>0</v>
      </c>
      <c r="G1954" s="7">
        <f>IF(Zarejestrowane!$C$1961="","",Zarejestrowane!$C$1961)</f>
        <v>0</v>
      </c>
      <c r="H1954" s="9">
        <f>IF(AND($F1954&lt;&gt;"",ISNUMBER(SEARCH('Nr rejestracyjny'!$F$5,$F1954))),COUNT($H$1:H1953)+1,"")</f>
        <v>0</v>
      </c>
      <c r="I1954" s="9">
        <f>IF(AND($G1954&lt;&gt;"",ISNUMBER(SEARCH('Nr rejestracyjny'!$F$5,$G1954))),COUNT($I$1:I1953)+1,"")</f>
        <v>0</v>
      </c>
    </row>
    <row r="1955" spans="6:9">
      <c r="F1955" s="7">
        <f>IF('W rejestracji'!$C$1962="","",'W rejestracji'!$C$1962)</f>
        <v>0</v>
      </c>
      <c r="G1955" s="7">
        <f>IF(Zarejestrowane!$C$1962="","",Zarejestrowane!$C$1962)</f>
        <v>0</v>
      </c>
      <c r="H1955" s="9">
        <f>IF(AND($F1955&lt;&gt;"",ISNUMBER(SEARCH('Nr rejestracyjny'!$F$5,$F1955))),COUNT($H$1:H1954)+1,"")</f>
        <v>0</v>
      </c>
      <c r="I1955" s="9">
        <f>IF(AND($G1955&lt;&gt;"",ISNUMBER(SEARCH('Nr rejestracyjny'!$F$5,$G1955))),COUNT($I$1:I1954)+1,"")</f>
        <v>0</v>
      </c>
    </row>
    <row r="1956" spans="6:9">
      <c r="F1956" s="7">
        <f>IF('W rejestracji'!$C$1963="","",'W rejestracji'!$C$1963)</f>
        <v>0</v>
      </c>
      <c r="G1956" s="7">
        <f>IF(Zarejestrowane!$C$1963="","",Zarejestrowane!$C$1963)</f>
        <v>0</v>
      </c>
      <c r="H1956" s="9">
        <f>IF(AND($F1956&lt;&gt;"",ISNUMBER(SEARCH('Nr rejestracyjny'!$F$5,$F1956))),COUNT($H$1:H1955)+1,"")</f>
        <v>0</v>
      </c>
      <c r="I1956" s="9">
        <f>IF(AND($G1956&lt;&gt;"",ISNUMBER(SEARCH('Nr rejestracyjny'!$F$5,$G1956))),COUNT($I$1:I1955)+1,"")</f>
        <v>0</v>
      </c>
    </row>
    <row r="1957" spans="6:9">
      <c r="F1957" s="7">
        <f>IF('W rejestracji'!$C$1964="","",'W rejestracji'!$C$1964)</f>
        <v>0</v>
      </c>
      <c r="G1957" s="7">
        <f>IF(Zarejestrowane!$C$1964="","",Zarejestrowane!$C$1964)</f>
        <v>0</v>
      </c>
      <c r="H1957" s="9">
        <f>IF(AND($F1957&lt;&gt;"",ISNUMBER(SEARCH('Nr rejestracyjny'!$F$5,$F1957))),COUNT($H$1:H1956)+1,"")</f>
        <v>0</v>
      </c>
      <c r="I1957" s="9">
        <f>IF(AND($G1957&lt;&gt;"",ISNUMBER(SEARCH('Nr rejestracyjny'!$F$5,$G1957))),COUNT($I$1:I1956)+1,"")</f>
        <v>0</v>
      </c>
    </row>
    <row r="1958" spans="6:9">
      <c r="F1958" s="7">
        <f>IF('W rejestracji'!$C$1965="","",'W rejestracji'!$C$1965)</f>
        <v>0</v>
      </c>
      <c r="G1958" s="7">
        <f>IF(Zarejestrowane!$C$1965="","",Zarejestrowane!$C$1965)</f>
        <v>0</v>
      </c>
      <c r="H1958" s="9">
        <f>IF(AND($F1958&lt;&gt;"",ISNUMBER(SEARCH('Nr rejestracyjny'!$F$5,$F1958))),COUNT($H$1:H1957)+1,"")</f>
        <v>0</v>
      </c>
      <c r="I1958" s="9">
        <f>IF(AND($G1958&lt;&gt;"",ISNUMBER(SEARCH('Nr rejestracyjny'!$F$5,$G1958))),COUNT($I$1:I1957)+1,"")</f>
        <v>0</v>
      </c>
    </row>
    <row r="1959" spans="6:9">
      <c r="F1959" s="7">
        <f>IF('W rejestracji'!$C$1966="","",'W rejestracji'!$C$1966)</f>
        <v>0</v>
      </c>
      <c r="G1959" s="7">
        <f>IF(Zarejestrowane!$C$1966="","",Zarejestrowane!$C$1966)</f>
        <v>0</v>
      </c>
      <c r="H1959" s="9">
        <f>IF(AND($F1959&lt;&gt;"",ISNUMBER(SEARCH('Nr rejestracyjny'!$F$5,$F1959))),COUNT($H$1:H1958)+1,"")</f>
        <v>0</v>
      </c>
      <c r="I1959" s="9">
        <f>IF(AND($G1959&lt;&gt;"",ISNUMBER(SEARCH('Nr rejestracyjny'!$F$5,$G1959))),COUNT($I$1:I1958)+1,"")</f>
        <v>0</v>
      </c>
    </row>
    <row r="1960" spans="6:9">
      <c r="F1960" s="7">
        <f>IF('W rejestracji'!$C$1967="","",'W rejestracji'!$C$1967)</f>
        <v>0</v>
      </c>
      <c r="G1960" s="7">
        <f>IF(Zarejestrowane!$C$1967="","",Zarejestrowane!$C$1967)</f>
        <v>0</v>
      </c>
      <c r="H1960" s="9">
        <f>IF(AND($F1960&lt;&gt;"",ISNUMBER(SEARCH('Nr rejestracyjny'!$F$5,$F1960))),COUNT($H$1:H1959)+1,"")</f>
        <v>0</v>
      </c>
      <c r="I1960" s="9">
        <f>IF(AND($G1960&lt;&gt;"",ISNUMBER(SEARCH('Nr rejestracyjny'!$F$5,$G1960))),COUNT($I$1:I1959)+1,"")</f>
        <v>0</v>
      </c>
    </row>
    <row r="1961" spans="6:9">
      <c r="F1961" s="7">
        <f>IF('W rejestracji'!$C$1968="","",'W rejestracji'!$C$1968)</f>
        <v>0</v>
      </c>
      <c r="G1961" s="7">
        <f>IF(Zarejestrowane!$C$1968="","",Zarejestrowane!$C$1968)</f>
        <v>0</v>
      </c>
      <c r="H1961" s="9">
        <f>IF(AND($F1961&lt;&gt;"",ISNUMBER(SEARCH('Nr rejestracyjny'!$F$5,$F1961))),COUNT($H$1:H1960)+1,"")</f>
        <v>0</v>
      </c>
      <c r="I1961" s="9">
        <f>IF(AND($G1961&lt;&gt;"",ISNUMBER(SEARCH('Nr rejestracyjny'!$F$5,$G1961))),COUNT($I$1:I1960)+1,"")</f>
        <v>0</v>
      </c>
    </row>
    <row r="1962" spans="6:9">
      <c r="F1962" s="7">
        <f>IF('W rejestracji'!$C$1969="","",'W rejestracji'!$C$1969)</f>
        <v>0</v>
      </c>
      <c r="G1962" s="7">
        <f>IF(Zarejestrowane!$C$1969="","",Zarejestrowane!$C$1969)</f>
        <v>0</v>
      </c>
      <c r="H1962" s="9">
        <f>IF(AND($F1962&lt;&gt;"",ISNUMBER(SEARCH('Nr rejestracyjny'!$F$5,$F1962))),COUNT($H$1:H1961)+1,"")</f>
        <v>0</v>
      </c>
      <c r="I1962" s="9">
        <f>IF(AND($G1962&lt;&gt;"",ISNUMBER(SEARCH('Nr rejestracyjny'!$F$5,$G1962))),COUNT($I$1:I1961)+1,"")</f>
        <v>0</v>
      </c>
    </row>
    <row r="1963" spans="6:9">
      <c r="F1963" s="7">
        <f>IF('W rejestracji'!$C$1970="","",'W rejestracji'!$C$1970)</f>
        <v>0</v>
      </c>
      <c r="G1963" s="7">
        <f>IF(Zarejestrowane!$C$1970="","",Zarejestrowane!$C$1970)</f>
        <v>0</v>
      </c>
      <c r="H1963" s="9">
        <f>IF(AND($F1963&lt;&gt;"",ISNUMBER(SEARCH('Nr rejestracyjny'!$F$5,$F1963))),COUNT($H$1:H1962)+1,"")</f>
        <v>0</v>
      </c>
      <c r="I1963" s="9">
        <f>IF(AND($G1963&lt;&gt;"",ISNUMBER(SEARCH('Nr rejestracyjny'!$F$5,$G1963))),COUNT($I$1:I1962)+1,"")</f>
        <v>0</v>
      </c>
    </row>
    <row r="1964" spans="6:9">
      <c r="F1964" s="7">
        <f>IF('W rejestracji'!$C$1971="","",'W rejestracji'!$C$1971)</f>
        <v>0</v>
      </c>
      <c r="G1964" s="7">
        <f>IF(Zarejestrowane!$C$1971="","",Zarejestrowane!$C$1971)</f>
        <v>0</v>
      </c>
      <c r="H1964" s="9">
        <f>IF(AND($F1964&lt;&gt;"",ISNUMBER(SEARCH('Nr rejestracyjny'!$F$5,$F1964))),COUNT($H$1:H1963)+1,"")</f>
        <v>0</v>
      </c>
      <c r="I1964" s="9">
        <f>IF(AND($G1964&lt;&gt;"",ISNUMBER(SEARCH('Nr rejestracyjny'!$F$5,$G1964))),COUNT($I$1:I1963)+1,"")</f>
        <v>0</v>
      </c>
    </row>
    <row r="1965" spans="6:9">
      <c r="F1965" s="7">
        <f>IF('W rejestracji'!$C$1972="","",'W rejestracji'!$C$1972)</f>
        <v>0</v>
      </c>
      <c r="G1965" s="7">
        <f>IF(Zarejestrowane!$C$1972="","",Zarejestrowane!$C$1972)</f>
        <v>0</v>
      </c>
      <c r="H1965" s="9">
        <f>IF(AND($F1965&lt;&gt;"",ISNUMBER(SEARCH('Nr rejestracyjny'!$F$5,$F1965))),COUNT($H$1:H1964)+1,"")</f>
        <v>0</v>
      </c>
      <c r="I1965" s="9">
        <f>IF(AND($G1965&lt;&gt;"",ISNUMBER(SEARCH('Nr rejestracyjny'!$F$5,$G1965))),COUNT($I$1:I1964)+1,"")</f>
        <v>0</v>
      </c>
    </row>
    <row r="1966" spans="6:9">
      <c r="F1966" s="7">
        <f>IF('W rejestracji'!$C$1973="","",'W rejestracji'!$C$1973)</f>
        <v>0</v>
      </c>
      <c r="G1966" s="7">
        <f>IF(Zarejestrowane!$C$1973="","",Zarejestrowane!$C$1973)</f>
        <v>0</v>
      </c>
      <c r="H1966" s="9">
        <f>IF(AND($F1966&lt;&gt;"",ISNUMBER(SEARCH('Nr rejestracyjny'!$F$5,$F1966))),COUNT($H$1:H1965)+1,"")</f>
        <v>0</v>
      </c>
      <c r="I1966" s="9">
        <f>IF(AND($G1966&lt;&gt;"",ISNUMBER(SEARCH('Nr rejestracyjny'!$F$5,$G1966))),COUNT($I$1:I1965)+1,"")</f>
        <v>0</v>
      </c>
    </row>
    <row r="1967" spans="6:9">
      <c r="F1967" s="7">
        <f>IF('W rejestracji'!$C$1974="","",'W rejestracji'!$C$1974)</f>
        <v>0</v>
      </c>
      <c r="G1967" s="7">
        <f>IF(Zarejestrowane!$C$1974="","",Zarejestrowane!$C$1974)</f>
        <v>0</v>
      </c>
      <c r="H1967" s="9">
        <f>IF(AND($F1967&lt;&gt;"",ISNUMBER(SEARCH('Nr rejestracyjny'!$F$5,$F1967))),COUNT($H$1:H1966)+1,"")</f>
        <v>0</v>
      </c>
      <c r="I1967" s="9">
        <f>IF(AND($G1967&lt;&gt;"",ISNUMBER(SEARCH('Nr rejestracyjny'!$F$5,$G1967))),COUNT($I$1:I1966)+1,"")</f>
        <v>0</v>
      </c>
    </row>
    <row r="1968" spans="6:9">
      <c r="F1968" s="7">
        <f>IF('W rejestracji'!$C$1975="","",'W rejestracji'!$C$1975)</f>
        <v>0</v>
      </c>
      <c r="G1968" s="7">
        <f>IF(Zarejestrowane!$C$1975="","",Zarejestrowane!$C$1975)</f>
        <v>0</v>
      </c>
      <c r="H1968" s="9">
        <f>IF(AND($F1968&lt;&gt;"",ISNUMBER(SEARCH('Nr rejestracyjny'!$F$5,$F1968))),COUNT($H$1:H1967)+1,"")</f>
        <v>0</v>
      </c>
      <c r="I1968" s="9">
        <f>IF(AND($G1968&lt;&gt;"",ISNUMBER(SEARCH('Nr rejestracyjny'!$F$5,$G1968))),COUNT($I$1:I1967)+1,"")</f>
        <v>0</v>
      </c>
    </row>
    <row r="1969" spans="6:9">
      <c r="F1969" s="7">
        <f>IF('W rejestracji'!$C$1976="","",'W rejestracji'!$C$1976)</f>
        <v>0</v>
      </c>
      <c r="G1969" s="7">
        <f>IF(Zarejestrowane!$C$1976="","",Zarejestrowane!$C$1976)</f>
        <v>0</v>
      </c>
      <c r="H1969" s="9">
        <f>IF(AND($F1969&lt;&gt;"",ISNUMBER(SEARCH('Nr rejestracyjny'!$F$5,$F1969))),COUNT($H$1:H1968)+1,"")</f>
        <v>0</v>
      </c>
      <c r="I1969" s="9">
        <f>IF(AND($G1969&lt;&gt;"",ISNUMBER(SEARCH('Nr rejestracyjny'!$F$5,$G1969))),COUNT($I$1:I1968)+1,"")</f>
        <v>0</v>
      </c>
    </row>
    <row r="1970" spans="6:9">
      <c r="F1970" s="7">
        <f>IF('W rejestracji'!$C$1977="","",'W rejestracji'!$C$1977)</f>
        <v>0</v>
      </c>
      <c r="G1970" s="7">
        <f>IF(Zarejestrowane!$C$1977="","",Zarejestrowane!$C$1977)</f>
        <v>0</v>
      </c>
      <c r="H1970" s="9">
        <f>IF(AND($F1970&lt;&gt;"",ISNUMBER(SEARCH('Nr rejestracyjny'!$F$5,$F1970))),COUNT($H$1:H1969)+1,"")</f>
        <v>0</v>
      </c>
      <c r="I1970" s="9">
        <f>IF(AND($G1970&lt;&gt;"",ISNUMBER(SEARCH('Nr rejestracyjny'!$F$5,$G1970))),COUNT($I$1:I1969)+1,"")</f>
        <v>0</v>
      </c>
    </row>
    <row r="1971" spans="6:9">
      <c r="F1971" s="7">
        <f>IF('W rejestracji'!$C$1978="","",'W rejestracji'!$C$1978)</f>
        <v>0</v>
      </c>
      <c r="G1971" s="7">
        <f>IF(Zarejestrowane!$C$1978="","",Zarejestrowane!$C$1978)</f>
        <v>0</v>
      </c>
      <c r="H1971" s="9">
        <f>IF(AND($F1971&lt;&gt;"",ISNUMBER(SEARCH('Nr rejestracyjny'!$F$5,$F1971))),COUNT($H$1:H1970)+1,"")</f>
        <v>0</v>
      </c>
      <c r="I1971" s="9">
        <f>IF(AND($G1971&lt;&gt;"",ISNUMBER(SEARCH('Nr rejestracyjny'!$F$5,$G1971))),COUNT($I$1:I1970)+1,"")</f>
        <v>0</v>
      </c>
    </row>
    <row r="1972" spans="6:9">
      <c r="F1972" s="7">
        <f>IF('W rejestracji'!$C$1979="","",'W rejestracji'!$C$1979)</f>
        <v>0</v>
      </c>
      <c r="G1972" s="7">
        <f>IF(Zarejestrowane!$C$1979="","",Zarejestrowane!$C$1979)</f>
        <v>0</v>
      </c>
      <c r="H1972" s="9">
        <f>IF(AND($F1972&lt;&gt;"",ISNUMBER(SEARCH('Nr rejestracyjny'!$F$5,$F1972))),COUNT($H$1:H1971)+1,"")</f>
        <v>0</v>
      </c>
      <c r="I1972" s="9">
        <f>IF(AND($G1972&lt;&gt;"",ISNUMBER(SEARCH('Nr rejestracyjny'!$F$5,$G1972))),COUNT($I$1:I1971)+1,"")</f>
        <v>0</v>
      </c>
    </row>
    <row r="1973" spans="6:9">
      <c r="F1973" s="7">
        <f>IF('W rejestracji'!$C$1980="","",'W rejestracji'!$C$1980)</f>
        <v>0</v>
      </c>
      <c r="G1973" s="7">
        <f>IF(Zarejestrowane!$C$1980="","",Zarejestrowane!$C$1980)</f>
        <v>0</v>
      </c>
      <c r="H1973" s="9">
        <f>IF(AND($F1973&lt;&gt;"",ISNUMBER(SEARCH('Nr rejestracyjny'!$F$5,$F1973))),COUNT($H$1:H1972)+1,"")</f>
        <v>0</v>
      </c>
      <c r="I1973" s="9">
        <f>IF(AND($G1973&lt;&gt;"",ISNUMBER(SEARCH('Nr rejestracyjny'!$F$5,$G1973))),COUNT($I$1:I1972)+1,"")</f>
        <v>0</v>
      </c>
    </row>
    <row r="1974" spans="6:9">
      <c r="F1974" s="7">
        <f>IF('W rejestracji'!$C$1981="","",'W rejestracji'!$C$1981)</f>
        <v>0</v>
      </c>
      <c r="G1974" s="7">
        <f>IF(Zarejestrowane!$C$1981="","",Zarejestrowane!$C$1981)</f>
        <v>0</v>
      </c>
      <c r="H1974" s="9">
        <f>IF(AND($F1974&lt;&gt;"",ISNUMBER(SEARCH('Nr rejestracyjny'!$F$5,$F1974))),COUNT($H$1:H1973)+1,"")</f>
        <v>0</v>
      </c>
      <c r="I1974" s="9">
        <f>IF(AND($G1974&lt;&gt;"",ISNUMBER(SEARCH('Nr rejestracyjny'!$F$5,$G1974))),COUNT($I$1:I1973)+1,"")</f>
        <v>0</v>
      </c>
    </row>
    <row r="1975" spans="6:9">
      <c r="F1975" s="7">
        <f>IF('W rejestracji'!$C$1982="","",'W rejestracji'!$C$1982)</f>
        <v>0</v>
      </c>
      <c r="G1975" s="7">
        <f>IF(Zarejestrowane!$C$1982="","",Zarejestrowane!$C$1982)</f>
        <v>0</v>
      </c>
      <c r="H1975" s="9">
        <f>IF(AND($F1975&lt;&gt;"",ISNUMBER(SEARCH('Nr rejestracyjny'!$F$5,$F1975))),COUNT($H$1:H1974)+1,"")</f>
        <v>0</v>
      </c>
      <c r="I1975" s="9">
        <f>IF(AND($G1975&lt;&gt;"",ISNUMBER(SEARCH('Nr rejestracyjny'!$F$5,$G1975))),COUNT($I$1:I1974)+1,"")</f>
        <v>0</v>
      </c>
    </row>
    <row r="1976" spans="6:9">
      <c r="F1976" s="7">
        <f>IF('W rejestracji'!$C$1983="","",'W rejestracji'!$C$1983)</f>
        <v>0</v>
      </c>
      <c r="G1976" s="7">
        <f>IF(Zarejestrowane!$C$1983="","",Zarejestrowane!$C$1983)</f>
        <v>0</v>
      </c>
      <c r="H1976" s="9">
        <f>IF(AND($F1976&lt;&gt;"",ISNUMBER(SEARCH('Nr rejestracyjny'!$F$5,$F1976))),COUNT($H$1:H1975)+1,"")</f>
        <v>0</v>
      </c>
      <c r="I1976" s="9">
        <f>IF(AND($G1976&lt;&gt;"",ISNUMBER(SEARCH('Nr rejestracyjny'!$F$5,$G1976))),COUNT($I$1:I1975)+1,"")</f>
        <v>0</v>
      </c>
    </row>
    <row r="1977" spans="6:9">
      <c r="F1977" s="7">
        <f>IF('W rejestracji'!$C$1984="","",'W rejestracji'!$C$1984)</f>
        <v>0</v>
      </c>
      <c r="G1977" s="7">
        <f>IF(Zarejestrowane!$C$1984="","",Zarejestrowane!$C$1984)</f>
        <v>0</v>
      </c>
      <c r="H1977" s="9">
        <f>IF(AND($F1977&lt;&gt;"",ISNUMBER(SEARCH('Nr rejestracyjny'!$F$5,$F1977))),COUNT($H$1:H1976)+1,"")</f>
        <v>0</v>
      </c>
      <c r="I1977" s="9">
        <f>IF(AND($G1977&lt;&gt;"",ISNUMBER(SEARCH('Nr rejestracyjny'!$F$5,$G1977))),COUNT($I$1:I1976)+1,"")</f>
        <v>0</v>
      </c>
    </row>
    <row r="1978" spans="6:9">
      <c r="F1978" s="7">
        <f>IF('W rejestracji'!$C$1985="","",'W rejestracji'!$C$1985)</f>
        <v>0</v>
      </c>
      <c r="G1978" s="7">
        <f>IF(Zarejestrowane!$C$1985="","",Zarejestrowane!$C$1985)</f>
        <v>0</v>
      </c>
      <c r="H1978" s="9">
        <f>IF(AND($F1978&lt;&gt;"",ISNUMBER(SEARCH('Nr rejestracyjny'!$F$5,$F1978))),COUNT($H$1:H1977)+1,"")</f>
        <v>0</v>
      </c>
      <c r="I1978" s="9">
        <f>IF(AND($G1978&lt;&gt;"",ISNUMBER(SEARCH('Nr rejestracyjny'!$F$5,$G1978))),COUNT($I$1:I1977)+1,"")</f>
        <v>0</v>
      </c>
    </row>
    <row r="1979" spans="6:9">
      <c r="F1979" s="7">
        <f>IF('W rejestracji'!$C$1986="","",'W rejestracji'!$C$1986)</f>
        <v>0</v>
      </c>
      <c r="G1979" s="7">
        <f>IF(Zarejestrowane!$C$1986="","",Zarejestrowane!$C$1986)</f>
        <v>0</v>
      </c>
      <c r="H1979" s="9">
        <f>IF(AND($F1979&lt;&gt;"",ISNUMBER(SEARCH('Nr rejestracyjny'!$F$5,$F1979))),COUNT($H$1:H1978)+1,"")</f>
        <v>0</v>
      </c>
      <c r="I1979" s="9">
        <f>IF(AND($G1979&lt;&gt;"",ISNUMBER(SEARCH('Nr rejestracyjny'!$F$5,$G1979))),COUNT($I$1:I1978)+1,"")</f>
        <v>0</v>
      </c>
    </row>
    <row r="1980" spans="6:9">
      <c r="F1980" s="7">
        <f>IF('W rejestracji'!$C$1987="","",'W rejestracji'!$C$1987)</f>
        <v>0</v>
      </c>
      <c r="G1980" s="7">
        <f>IF(Zarejestrowane!$C$1987="","",Zarejestrowane!$C$1987)</f>
        <v>0</v>
      </c>
      <c r="H1980" s="9">
        <f>IF(AND($F1980&lt;&gt;"",ISNUMBER(SEARCH('Nr rejestracyjny'!$F$5,$F1980))),COUNT($H$1:H1979)+1,"")</f>
        <v>0</v>
      </c>
      <c r="I1980" s="9">
        <f>IF(AND($G1980&lt;&gt;"",ISNUMBER(SEARCH('Nr rejestracyjny'!$F$5,$G1980))),COUNT($I$1:I1979)+1,"")</f>
        <v>0</v>
      </c>
    </row>
    <row r="1981" spans="6:9">
      <c r="F1981" s="7">
        <f>IF('W rejestracji'!$C$1988="","",'W rejestracji'!$C$1988)</f>
        <v>0</v>
      </c>
      <c r="G1981" s="7">
        <f>IF(Zarejestrowane!$C$1988="","",Zarejestrowane!$C$1988)</f>
        <v>0</v>
      </c>
      <c r="H1981" s="9">
        <f>IF(AND($F1981&lt;&gt;"",ISNUMBER(SEARCH('Nr rejestracyjny'!$F$5,$F1981))),COUNT($H$1:H1980)+1,"")</f>
        <v>0</v>
      </c>
      <c r="I1981" s="9">
        <f>IF(AND($G1981&lt;&gt;"",ISNUMBER(SEARCH('Nr rejestracyjny'!$F$5,$G1981))),COUNT($I$1:I1980)+1,"")</f>
        <v>0</v>
      </c>
    </row>
    <row r="1982" spans="6:9">
      <c r="F1982" s="7">
        <f>IF('W rejestracji'!$C$1989="","",'W rejestracji'!$C$1989)</f>
        <v>0</v>
      </c>
      <c r="G1982" s="7">
        <f>IF(Zarejestrowane!$C$1989="","",Zarejestrowane!$C$1989)</f>
        <v>0</v>
      </c>
      <c r="H1982" s="9">
        <f>IF(AND($F1982&lt;&gt;"",ISNUMBER(SEARCH('Nr rejestracyjny'!$F$5,$F1982))),COUNT($H$1:H1981)+1,"")</f>
        <v>0</v>
      </c>
      <c r="I1982" s="9">
        <f>IF(AND($G1982&lt;&gt;"",ISNUMBER(SEARCH('Nr rejestracyjny'!$F$5,$G1982))),COUNT($I$1:I1981)+1,"")</f>
        <v>0</v>
      </c>
    </row>
    <row r="1983" spans="6:9">
      <c r="F1983" s="7">
        <f>IF('W rejestracji'!$C$1990="","",'W rejestracji'!$C$1990)</f>
        <v>0</v>
      </c>
      <c r="G1983" s="7">
        <f>IF(Zarejestrowane!$C$1990="","",Zarejestrowane!$C$1990)</f>
        <v>0</v>
      </c>
      <c r="H1983" s="9">
        <f>IF(AND($F1983&lt;&gt;"",ISNUMBER(SEARCH('Nr rejestracyjny'!$F$5,$F1983))),COUNT($H$1:H1982)+1,"")</f>
        <v>0</v>
      </c>
      <c r="I1983" s="9">
        <f>IF(AND($G1983&lt;&gt;"",ISNUMBER(SEARCH('Nr rejestracyjny'!$F$5,$G1983))),COUNT($I$1:I1982)+1,"")</f>
        <v>0</v>
      </c>
    </row>
    <row r="1984" spans="6:9">
      <c r="F1984" s="7">
        <f>IF('W rejestracji'!$C$1991="","",'W rejestracji'!$C$1991)</f>
        <v>0</v>
      </c>
      <c r="G1984" s="7">
        <f>IF(Zarejestrowane!$C$1991="","",Zarejestrowane!$C$1991)</f>
        <v>0</v>
      </c>
      <c r="H1984" s="9">
        <f>IF(AND($F1984&lt;&gt;"",ISNUMBER(SEARCH('Nr rejestracyjny'!$F$5,$F1984))),COUNT($H$1:H1983)+1,"")</f>
        <v>0</v>
      </c>
      <c r="I1984" s="9">
        <f>IF(AND($G1984&lt;&gt;"",ISNUMBER(SEARCH('Nr rejestracyjny'!$F$5,$G1984))),COUNT($I$1:I1983)+1,"")</f>
        <v>0</v>
      </c>
    </row>
    <row r="1985" spans="6:9">
      <c r="F1985" s="7">
        <f>IF('W rejestracji'!$C$1992="","",'W rejestracji'!$C$1992)</f>
        <v>0</v>
      </c>
      <c r="G1985" s="7">
        <f>IF(Zarejestrowane!$C$1992="","",Zarejestrowane!$C$1992)</f>
        <v>0</v>
      </c>
      <c r="H1985" s="9">
        <f>IF(AND($F1985&lt;&gt;"",ISNUMBER(SEARCH('Nr rejestracyjny'!$F$5,$F1985))),COUNT($H$1:H1984)+1,"")</f>
        <v>0</v>
      </c>
      <c r="I1985" s="9">
        <f>IF(AND($G1985&lt;&gt;"",ISNUMBER(SEARCH('Nr rejestracyjny'!$F$5,$G1985))),COUNT($I$1:I1984)+1,"")</f>
        <v>0</v>
      </c>
    </row>
    <row r="1986" spans="6:9">
      <c r="F1986" s="7">
        <f>IF('W rejestracji'!$C$1993="","",'W rejestracji'!$C$1993)</f>
        <v>0</v>
      </c>
      <c r="G1986" s="7">
        <f>IF(Zarejestrowane!$C$1993="","",Zarejestrowane!$C$1993)</f>
        <v>0</v>
      </c>
      <c r="H1986" s="9">
        <f>IF(AND($F1986&lt;&gt;"",ISNUMBER(SEARCH('Nr rejestracyjny'!$F$5,$F1986))),COUNT($H$1:H1985)+1,"")</f>
        <v>0</v>
      </c>
      <c r="I1986" s="9">
        <f>IF(AND($G1986&lt;&gt;"",ISNUMBER(SEARCH('Nr rejestracyjny'!$F$5,$G1986))),COUNT($I$1:I1985)+1,"")</f>
        <v>0</v>
      </c>
    </row>
    <row r="1987" spans="6:9">
      <c r="F1987" s="7">
        <f>IF('W rejestracji'!$C$1994="","",'W rejestracji'!$C$1994)</f>
        <v>0</v>
      </c>
      <c r="G1987" s="7">
        <f>IF(Zarejestrowane!$C$1994="","",Zarejestrowane!$C$1994)</f>
        <v>0</v>
      </c>
      <c r="H1987" s="9">
        <f>IF(AND($F1987&lt;&gt;"",ISNUMBER(SEARCH('Nr rejestracyjny'!$F$5,$F1987))),COUNT($H$1:H1986)+1,"")</f>
        <v>0</v>
      </c>
      <c r="I1987" s="9">
        <f>IF(AND($G1987&lt;&gt;"",ISNUMBER(SEARCH('Nr rejestracyjny'!$F$5,$G1987))),COUNT($I$1:I1986)+1,"")</f>
        <v>0</v>
      </c>
    </row>
    <row r="1988" spans="6:9">
      <c r="F1988" s="7">
        <f>IF('W rejestracji'!$C$1995="","",'W rejestracji'!$C$1995)</f>
        <v>0</v>
      </c>
      <c r="G1988" s="7">
        <f>IF(Zarejestrowane!$C$1995="","",Zarejestrowane!$C$1995)</f>
        <v>0</v>
      </c>
      <c r="H1988" s="9">
        <f>IF(AND($F1988&lt;&gt;"",ISNUMBER(SEARCH('Nr rejestracyjny'!$F$5,$F1988))),COUNT($H$1:H1987)+1,"")</f>
        <v>0</v>
      </c>
      <c r="I1988" s="9">
        <f>IF(AND($G1988&lt;&gt;"",ISNUMBER(SEARCH('Nr rejestracyjny'!$F$5,$G1988))),COUNT($I$1:I1987)+1,"")</f>
        <v>0</v>
      </c>
    </row>
    <row r="1989" spans="6:9">
      <c r="F1989" s="7">
        <f>IF('W rejestracji'!$C$1996="","",'W rejestracji'!$C$1996)</f>
        <v>0</v>
      </c>
      <c r="G1989" s="7">
        <f>IF(Zarejestrowane!$C$1996="","",Zarejestrowane!$C$1996)</f>
        <v>0</v>
      </c>
      <c r="H1989" s="9">
        <f>IF(AND($F1989&lt;&gt;"",ISNUMBER(SEARCH('Nr rejestracyjny'!$F$5,$F1989))),COUNT($H$1:H1988)+1,"")</f>
        <v>0</v>
      </c>
      <c r="I1989" s="9">
        <f>IF(AND($G1989&lt;&gt;"",ISNUMBER(SEARCH('Nr rejestracyjny'!$F$5,$G1989))),COUNT($I$1:I1988)+1,"")</f>
        <v>0</v>
      </c>
    </row>
    <row r="1990" spans="6:9">
      <c r="F1990" s="7">
        <f>IF('W rejestracji'!$C$1997="","",'W rejestracji'!$C$1997)</f>
        <v>0</v>
      </c>
      <c r="G1990" s="7">
        <f>IF(Zarejestrowane!$C$1997="","",Zarejestrowane!$C$1997)</f>
        <v>0</v>
      </c>
      <c r="H1990" s="9">
        <f>IF(AND($F1990&lt;&gt;"",ISNUMBER(SEARCH('Nr rejestracyjny'!$F$5,$F1990))),COUNT($H$1:H1989)+1,"")</f>
        <v>0</v>
      </c>
      <c r="I1990" s="9">
        <f>IF(AND($G1990&lt;&gt;"",ISNUMBER(SEARCH('Nr rejestracyjny'!$F$5,$G1990))),COUNT($I$1:I1989)+1,"")</f>
        <v>0</v>
      </c>
    </row>
    <row r="1991" spans="6:9">
      <c r="F1991" s="7">
        <f>IF('W rejestracji'!$C$1998="","",'W rejestracji'!$C$1998)</f>
        <v>0</v>
      </c>
      <c r="G1991" s="7">
        <f>IF(Zarejestrowane!$C$1998="","",Zarejestrowane!$C$1998)</f>
        <v>0</v>
      </c>
      <c r="H1991" s="9">
        <f>IF(AND($F1991&lt;&gt;"",ISNUMBER(SEARCH('Nr rejestracyjny'!$F$5,$F1991))),COUNT($H$1:H1990)+1,"")</f>
        <v>0</v>
      </c>
      <c r="I1991" s="9">
        <f>IF(AND($G1991&lt;&gt;"",ISNUMBER(SEARCH('Nr rejestracyjny'!$F$5,$G1991))),COUNT($I$1:I1990)+1,"")</f>
        <v>0</v>
      </c>
    </row>
    <row r="1992" spans="6:9">
      <c r="F1992" s="7">
        <f>IF('W rejestracji'!$C$1999="","",'W rejestracji'!$C$1999)</f>
        <v>0</v>
      </c>
      <c r="G1992" s="7">
        <f>IF(Zarejestrowane!$C$1999="","",Zarejestrowane!$C$1999)</f>
        <v>0</v>
      </c>
      <c r="H1992" s="9">
        <f>IF(AND($F1992&lt;&gt;"",ISNUMBER(SEARCH('Nr rejestracyjny'!$F$5,$F1992))),COUNT($H$1:H1991)+1,"")</f>
        <v>0</v>
      </c>
      <c r="I1992" s="9">
        <f>IF(AND($G1992&lt;&gt;"",ISNUMBER(SEARCH('Nr rejestracyjny'!$F$5,$G1992))),COUNT($I$1:I1991)+1,"")</f>
        <v>0</v>
      </c>
    </row>
    <row r="1993" spans="6:9">
      <c r="F1993" s="7">
        <f>IF('W rejestracji'!$C$2000="","",'W rejestracji'!$C$2000)</f>
        <v>0</v>
      </c>
      <c r="G1993" s="7">
        <f>IF(Zarejestrowane!$C$2000="","",Zarejestrowane!$C$2000)</f>
        <v>0</v>
      </c>
      <c r="H1993" s="9">
        <f>IF(AND($F1993&lt;&gt;"",ISNUMBER(SEARCH('Nr rejestracyjny'!$F$5,$F1993))),COUNT($H$1:H1992)+1,"")</f>
        <v>0</v>
      </c>
      <c r="I1993" s="9">
        <f>IF(AND($G1993&lt;&gt;"",ISNUMBER(SEARCH('Nr rejestracyjny'!$F$5,$G1993))),COUNT($I$1:I1992)+1,"")</f>
        <v>0</v>
      </c>
    </row>
    <row r="1994" spans="6:9">
      <c r="F1994" s="7">
        <f>IF('W rejestracji'!$C$2001="","",'W rejestracji'!$C$2001)</f>
        <v>0</v>
      </c>
      <c r="G1994" s="7">
        <f>IF(Zarejestrowane!$C$2001="","",Zarejestrowane!$C$2001)</f>
        <v>0</v>
      </c>
      <c r="H1994" s="9">
        <f>IF(AND($F1994&lt;&gt;"",ISNUMBER(SEARCH('Nr rejestracyjny'!$F$5,$F1994))),COUNT($H$1:H1993)+1,"")</f>
        <v>0</v>
      </c>
      <c r="I1994" s="9">
        <f>IF(AND($G1994&lt;&gt;"",ISNUMBER(SEARCH('Nr rejestracyjny'!$F$5,$G1994))),COUNT($I$1:I1993)+1,"")</f>
        <v>0</v>
      </c>
    </row>
    <row r="1995" spans="6:9">
      <c r="F1995" s="7">
        <f>IF('W rejestracji'!$C$2002="","",'W rejestracji'!$C$2002)</f>
        <v>0</v>
      </c>
      <c r="G1995" s="7">
        <f>IF(Zarejestrowane!$C$2002="","",Zarejestrowane!$C$2002)</f>
        <v>0</v>
      </c>
      <c r="H1995" s="9">
        <f>IF(AND($F1995&lt;&gt;"",ISNUMBER(SEARCH('Nr rejestracyjny'!$F$5,$F1995))),COUNT($H$1:H1994)+1,"")</f>
        <v>0</v>
      </c>
      <c r="I1995" s="9">
        <f>IF(AND($G1995&lt;&gt;"",ISNUMBER(SEARCH('Nr rejestracyjny'!$F$5,$G1995))),COUNT($I$1:I1994)+1,"")</f>
        <v>0</v>
      </c>
    </row>
    <row r="1996" spans="6:9">
      <c r="F1996" s="7">
        <f>IF('W rejestracji'!$C$2003="","",'W rejestracji'!$C$2003)</f>
        <v>0</v>
      </c>
      <c r="G1996" s="7">
        <f>IF(Zarejestrowane!$C$2003="","",Zarejestrowane!$C$2003)</f>
        <v>0</v>
      </c>
      <c r="H1996" s="9">
        <f>IF(AND($F1996&lt;&gt;"",ISNUMBER(SEARCH('Nr rejestracyjny'!$F$5,$F1996))),COUNT($H$1:H1995)+1,"")</f>
        <v>0</v>
      </c>
      <c r="I1996" s="9">
        <f>IF(AND($G1996&lt;&gt;"",ISNUMBER(SEARCH('Nr rejestracyjny'!$F$5,$G1996))),COUNT($I$1:I1995)+1,"")</f>
        <v>0</v>
      </c>
    </row>
    <row r="1997" spans="6:9">
      <c r="F1997" s="7">
        <f>IF('W rejestracji'!$C$2004="","",'W rejestracji'!$C$2004)</f>
        <v>0</v>
      </c>
      <c r="G1997" s="7">
        <f>IF(Zarejestrowane!$C$2004="","",Zarejestrowane!$C$2004)</f>
        <v>0</v>
      </c>
      <c r="H1997" s="9">
        <f>IF(AND($F1997&lt;&gt;"",ISNUMBER(SEARCH('Nr rejestracyjny'!$F$5,$F1997))),COUNT($H$1:H1996)+1,"")</f>
        <v>0</v>
      </c>
      <c r="I1997" s="9">
        <f>IF(AND($G1997&lt;&gt;"",ISNUMBER(SEARCH('Nr rejestracyjny'!$F$5,$G1997))),COUNT($I$1:I1996)+1,"")</f>
        <v>0</v>
      </c>
    </row>
    <row r="1998" spans="6:9">
      <c r="F1998" s="7">
        <f>IF('W rejestracji'!$C$2005="","",'W rejestracji'!$C$2005)</f>
        <v>0</v>
      </c>
      <c r="G1998" s="7">
        <f>IF(Zarejestrowane!$C$2005="","",Zarejestrowane!$C$2005)</f>
        <v>0</v>
      </c>
      <c r="H1998" s="9">
        <f>IF(AND($F1998&lt;&gt;"",ISNUMBER(SEARCH('Nr rejestracyjny'!$F$5,$F1998))),COUNT($H$1:H1997)+1,"")</f>
        <v>0</v>
      </c>
      <c r="I1998" s="9">
        <f>IF(AND($G1998&lt;&gt;"",ISNUMBER(SEARCH('Nr rejestracyjny'!$F$5,$G1998))),COUNT($I$1:I1997)+1,"")</f>
        <v>0</v>
      </c>
    </row>
    <row r="1999" spans="6:9">
      <c r="F1999" s="7">
        <f>IF('W rejestracji'!$C$2006="","",'W rejestracji'!$C$2006)</f>
        <v>0</v>
      </c>
      <c r="G1999" s="7">
        <f>IF(Zarejestrowane!$C$2006="","",Zarejestrowane!$C$2006)</f>
        <v>0</v>
      </c>
      <c r="H1999" s="9">
        <f>IF(AND($F1999&lt;&gt;"",ISNUMBER(SEARCH('Nr rejestracyjny'!$F$5,$F1999))),COUNT($H$1:H1998)+1,"")</f>
        <v>0</v>
      </c>
      <c r="I1999" s="9">
        <f>IF(AND($G1999&lt;&gt;"",ISNUMBER(SEARCH('Nr rejestracyjny'!$F$5,$G1999))),COUNT($I$1:I1998)+1,"")</f>
        <v>0</v>
      </c>
    </row>
    <row r="2000" spans="6:9">
      <c r="F2000" s="7">
        <f>IF('W rejestracji'!$C$2007="","",'W rejestracji'!$C$2007)</f>
        <v>0</v>
      </c>
      <c r="G2000" s="7">
        <f>IF(Zarejestrowane!$C$2007="","",Zarejestrowane!$C$2007)</f>
        <v>0</v>
      </c>
      <c r="H2000" s="9">
        <f>IF(AND($F2000&lt;&gt;"",ISNUMBER(SEARCH('Nr rejestracyjny'!$F$5,$F2000))),COUNT($H$1:H1999)+1,"")</f>
        <v>0</v>
      </c>
      <c r="I2000" s="9">
        <f>IF(AND($G2000&lt;&gt;"",ISNUMBER(SEARCH('Nr rejestracyjny'!$F$5,$G2000))),COUNT($I$1:I1999)+1,"")</f>
        <v>0</v>
      </c>
    </row>
    <row r="2001" spans="6:9">
      <c r="F2001" s="7">
        <f>IF('W rejestracji'!$C$2008="","",'W rejestracji'!$C$2008)</f>
        <v>0</v>
      </c>
      <c r="G2001" s="7">
        <f>IF(Zarejestrowane!$C$2008="","",Zarejestrowane!$C$2008)</f>
        <v>0</v>
      </c>
      <c r="H2001" s="9">
        <f>IF(AND($F2001&lt;&gt;"",ISNUMBER(SEARCH('Nr rejestracyjny'!$F$5,$F2001))),COUNT($H$1:H2000)+1,"")</f>
        <v>0</v>
      </c>
      <c r="I2001" s="9">
        <f>IF(AND($G2001&lt;&gt;"",ISNUMBER(SEARCH('Nr rejestracyjny'!$F$5,$G2001))),COUNT($I$1:I2000)+1,"")</f>
        <v>0</v>
      </c>
    </row>
    <row r="2002" spans="6:9">
      <c r="F2002" s="7">
        <f>IF('W rejestracji'!$C$2009="","",'W rejestracji'!$C$2009)</f>
        <v>0</v>
      </c>
      <c r="G2002" s="7">
        <f>IF(Zarejestrowane!$C$2009="","",Zarejestrowane!$C$2009)</f>
        <v>0</v>
      </c>
      <c r="H2002" s="9">
        <f>IF(AND($F2002&lt;&gt;"",ISNUMBER(SEARCH('Nr rejestracyjny'!$F$5,$F2002))),COUNT($H$1:H2001)+1,"")</f>
        <v>0</v>
      </c>
      <c r="I2002" s="9">
        <f>IF(AND($G2002&lt;&gt;"",ISNUMBER(SEARCH('Nr rejestracyjny'!$F$5,$G2002))),COUNT($I$1:I2001)+1,"")</f>
        <v>0</v>
      </c>
    </row>
    <row r="2003" spans="6:9">
      <c r="F2003" s="7">
        <f>IF('W rejestracji'!$C$2010="","",'W rejestracji'!$C$2010)</f>
        <v>0</v>
      </c>
      <c r="G2003" s="7">
        <f>IF(Zarejestrowane!$C$2010="","",Zarejestrowane!$C$2010)</f>
        <v>0</v>
      </c>
      <c r="H2003" s="9">
        <f>IF(AND($F2003&lt;&gt;"",ISNUMBER(SEARCH('Nr rejestracyjny'!$F$5,$F2003))),COUNT($H$1:H2002)+1,"")</f>
        <v>0</v>
      </c>
      <c r="I2003" s="9">
        <f>IF(AND($G2003&lt;&gt;"",ISNUMBER(SEARCH('Nr rejestracyjny'!$F$5,$G2003))),COUNT($I$1:I2002)+1,"")</f>
        <v>0</v>
      </c>
    </row>
    <row r="2004" spans="6:9">
      <c r="F2004" s="7">
        <f>IF('W rejestracji'!$C$2011="","",'W rejestracji'!$C$2011)</f>
        <v>0</v>
      </c>
      <c r="G2004" s="7">
        <f>IF(Zarejestrowane!$C$2011="","",Zarejestrowane!$C$2011)</f>
        <v>0</v>
      </c>
      <c r="H2004" s="9">
        <f>IF(AND($F2004&lt;&gt;"",ISNUMBER(SEARCH('Nr rejestracyjny'!$F$5,$F2004))),COUNT($H$1:H2003)+1,"")</f>
        <v>0</v>
      </c>
      <c r="I2004" s="9">
        <f>IF(AND($G2004&lt;&gt;"",ISNUMBER(SEARCH('Nr rejestracyjny'!$F$5,$G2004))),COUNT($I$1:I2003)+1,"")</f>
        <v>0</v>
      </c>
    </row>
    <row r="2005" spans="6:9">
      <c r="F2005" s="7">
        <f>IF('W rejestracji'!$C$2012="","",'W rejestracji'!$C$2012)</f>
        <v>0</v>
      </c>
      <c r="G2005" s="7">
        <f>IF(Zarejestrowane!$C$2012="","",Zarejestrowane!$C$2012)</f>
        <v>0</v>
      </c>
      <c r="H2005" s="9">
        <f>IF(AND($F2005&lt;&gt;"",ISNUMBER(SEARCH('Nr rejestracyjny'!$F$5,$F2005))),COUNT($H$1:H2004)+1,"")</f>
        <v>0</v>
      </c>
      <c r="I2005" s="9">
        <f>IF(AND($G2005&lt;&gt;"",ISNUMBER(SEARCH('Nr rejestracyjny'!$F$5,$G2005))),COUNT($I$1:I2004)+1,"")</f>
        <v>0</v>
      </c>
    </row>
    <row r="2006" spans="6:9">
      <c r="F2006" s="7">
        <f>IF('W rejestracji'!$C$2013="","",'W rejestracji'!$C$2013)</f>
        <v>0</v>
      </c>
      <c r="G2006" s="7">
        <f>IF(Zarejestrowane!$C$2013="","",Zarejestrowane!$C$2013)</f>
        <v>0</v>
      </c>
      <c r="H2006" s="9">
        <f>IF(AND($F2006&lt;&gt;"",ISNUMBER(SEARCH('Nr rejestracyjny'!$F$5,$F2006))),COUNT($H$1:H2005)+1,"")</f>
        <v>0</v>
      </c>
      <c r="I2006" s="9">
        <f>IF(AND($G2006&lt;&gt;"",ISNUMBER(SEARCH('Nr rejestracyjny'!$F$5,$G2006))),COUNT($I$1:I2005)+1,"")</f>
        <v>0</v>
      </c>
    </row>
    <row r="2007" spans="6:9">
      <c r="F2007" s="7">
        <f>IF('W rejestracji'!$C$2014="","",'W rejestracji'!$C$2014)</f>
        <v>0</v>
      </c>
      <c r="G2007" s="7">
        <f>IF(Zarejestrowane!$C$2014="","",Zarejestrowane!$C$2014)</f>
        <v>0</v>
      </c>
      <c r="H2007" s="9">
        <f>IF(AND($F2007&lt;&gt;"",ISNUMBER(SEARCH('Nr rejestracyjny'!$F$5,$F2007))),COUNT($H$1:H2006)+1,"")</f>
        <v>0</v>
      </c>
      <c r="I2007" s="9">
        <f>IF(AND($G2007&lt;&gt;"",ISNUMBER(SEARCH('Nr rejestracyjny'!$F$5,$G2007))),COUNT($I$1:I2006)+1,"")</f>
        <v>0</v>
      </c>
    </row>
    <row r="2008" spans="6:9">
      <c r="F2008" s="7">
        <f>IF('W rejestracji'!$C$2015="","",'W rejestracji'!$C$2015)</f>
        <v>0</v>
      </c>
      <c r="G2008" s="7">
        <f>IF(Zarejestrowane!$C$2015="","",Zarejestrowane!$C$2015)</f>
        <v>0</v>
      </c>
      <c r="H2008" s="9">
        <f>IF(AND($F2008&lt;&gt;"",ISNUMBER(SEARCH('Nr rejestracyjny'!$F$5,$F2008))),COUNT($H$1:H2007)+1,"")</f>
        <v>0</v>
      </c>
      <c r="I2008" s="9">
        <f>IF(AND($G2008&lt;&gt;"",ISNUMBER(SEARCH('Nr rejestracyjny'!$F$5,$G2008))),COUNT($I$1:I2007)+1,"")</f>
        <v>0</v>
      </c>
    </row>
    <row r="2009" spans="6:9">
      <c r="F2009" s="7">
        <f>IF('W rejestracji'!$C$2016="","",'W rejestracji'!$C$2016)</f>
        <v>0</v>
      </c>
      <c r="G2009" s="7">
        <f>IF(Zarejestrowane!$C$2016="","",Zarejestrowane!$C$2016)</f>
        <v>0</v>
      </c>
      <c r="H2009" s="9">
        <f>IF(AND($F2009&lt;&gt;"",ISNUMBER(SEARCH('Nr rejestracyjny'!$F$5,$F2009))),COUNT($H$1:H2008)+1,"")</f>
        <v>0</v>
      </c>
      <c r="I2009" s="9">
        <f>IF(AND($G2009&lt;&gt;"",ISNUMBER(SEARCH('Nr rejestracyjny'!$F$5,$G2009))),COUNT($I$1:I2008)+1,"")</f>
        <v>0</v>
      </c>
    </row>
    <row r="2010" spans="6:9">
      <c r="F2010" s="7">
        <f>IF('W rejestracji'!$C$2017="","",'W rejestracji'!$C$2017)</f>
        <v>0</v>
      </c>
      <c r="G2010" s="7">
        <f>IF(Zarejestrowane!$C$2017="","",Zarejestrowane!$C$2017)</f>
        <v>0</v>
      </c>
      <c r="H2010" s="9">
        <f>IF(AND($F2010&lt;&gt;"",ISNUMBER(SEARCH('Nr rejestracyjny'!$F$5,$F2010))),COUNT($H$1:H2009)+1,"")</f>
        <v>0</v>
      </c>
      <c r="I2010" s="9">
        <f>IF(AND($G2010&lt;&gt;"",ISNUMBER(SEARCH('Nr rejestracyjny'!$F$5,$G2010))),COUNT($I$1:I2009)+1,"")</f>
        <v>0</v>
      </c>
    </row>
    <row r="2011" spans="6:9">
      <c r="F2011" s="7">
        <f>IF('W rejestracji'!$C$2018="","",'W rejestracji'!$C$2018)</f>
        <v>0</v>
      </c>
      <c r="G2011" s="7">
        <f>IF(Zarejestrowane!$C$2018="","",Zarejestrowane!$C$2018)</f>
        <v>0</v>
      </c>
      <c r="H2011" s="9">
        <f>IF(AND($F2011&lt;&gt;"",ISNUMBER(SEARCH('Nr rejestracyjny'!$F$5,$F2011))),COUNT($H$1:H2010)+1,"")</f>
        <v>0</v>
      </c>
      <c r="I2011" s="9">
        <f>IF(AND($G2011&lt;&gt;"",ISNUMBER(SEARCH('Nr rejestracyjny'!$F$5,$G2011))),COUNT($I$1:I2010)+1,"")</f>
        <v>0</v>
      </c>
    </row>
    <row r="2012" spans="6:9">
      <c r="F2012" s="7">
        <f>IF('W rejestracji'!$C$2019="","",'W rejestracji'!$C$2019)</f>
        <v>0</v>
      </c>
      <c r="G2012" s="7">
        <f>IF(Zarejestrowane!$C$2019="","",Zarejestrowane!$C$2019)</f>
        <v>0</v>
      </c>
      <c r="H2012" s="9">
        <f>IF(AND($F2012&lt;&gt;"",ISNUMBER(SEARCH('Nr rejestracyjny'!$F$5,$F2012))),COUNT($H$1:H2011)+1,"")</f>
        <v>0</v>
      </c>
      <c r="I2012" s="9">
        <f>IF(AND($G2012&lt;&gt;"",ISNUMBER(SEARCH('Nr rejestracyjny'!$F$5,$G2012))),COUNT($I$1:I2011)+1,"")</f>
        <v>0</v>
      </c>
    </row>
    <row r="2013" spans="6:9">
      <c r="F2013" s="7">
        <f>IF('W rejestracji'!$C$2020="","",'W rejestracji'!$C$2020)</f>
        <v>0</v>
      </c>
      <c r="G2013" s="7">
        <f>IF(Zarejestrowane!$C$2020="","",Zarejestrowane!$C$2020)</f>
        <v>0</v>
      </c>
      <c r="H2013" s="9">
        <f>IF(AND($F2013&lt;&gt;"",ISNUMBER(SEARCH('Nr rejestracyjny'!$F$5,$F2013))),COUNT($H$1:H2012)+1,"")</f>
        <v>0</v>
      </c>
      <c r="I2013" s="9">
        <f>IF(AND($G2013&lt;&gt;"",ISNUMBER(SEARCH('Nr rejestracyjny'!$F$5,$G2013))),COUNT($I$1:I2012)+1,"")</f>
        <v>0</v>
      </c>
    </row>
    <row r="2014" spans="6:9">
      <c r="F2014" s="7">
        <f>IF('W rejestracji'!$C$2021="","",'W rejestracji'!$C$2021)</f>
        <v>0</v>
      </c>
      <c r="G2014" s="7">
        <f>IF(Zarejestrowane!$C$2021="","",Zarejestrowane!$C$2021)</f>
        <v>0</v>
      </c>
      <c r="H2014" s="9">
        <f>IF(AND($F2014&lt;&gt;"",ISNUMBER(SEARCH('Nr rejestracyjny'!$F$5,$F2014))),COUNT($H$1:H2013)+1,"")</f>
        <v>0</v>
      </c>
      <c r="I2014" s="9">
        <f>IF(AND($G2014&lt;&gt;"",ISNUMBER(SEARCH('Nr rejestracyjny'!$F$5,$G2014))),COUNT($I$1:I2013)+1,"")</f>
        <v>0</v>
      </c>
    </row>
    <row r="2015" spans="6:9">
      <c r="F2015" s="7">
        <f>IF('W rejestracji'!$C$2022="","",'W rejestracji'!$C$2022)</f>
        <v>0</v>
      </c>
      <c r="G2015" s="7">
        <f>IF(Zarejestrowane!$C$2022="","",Zarejestrowane!$C$2022)</f>
        <v>0</v>
      </c>
      <c r="H2015" s="9">
        <f>IF(AND($F2015&lt;&gt;"",ISNUMBER(SEARCH('Nr rejestracyjny'!$F$5,$F2015))),COUNT($H$1:H2014)+1,"")</f>
        <v>0</v>
      </c>
      <c r="I2015" s="9">
        <f>IF(AND($G2015&lt;&gt;"",ISNUMBER(SEARCH('Nr rejestracyjny'!$F$5,$G2015))),COUNT($I$1:I2014)+1,"")</f>
        <v>0</v>
      </c>
    </row>
    <row r="2016" spans="6:9">
      <c r="F2016" s="7">
        <f>IF('W rejestracji'!$C$2023="","",'W rejestracji'!$C$2023)</f>
        <v>0</v>
      </c>
      <c r="G2016" s="7">
        <f>IF(Zarejestrowane!$C$2023="","",Zarejestrowane!$C$2023)</f>
        <v>0</v>
      </c>
      <c r="H2016" s="9">
        <f>IF(AND($F2016&lt;&gt;"",ISNUMBER(SEARCH('Nr rejestracyjny'!$F$5,$F2016))),COUNT($H$1:H2015)+1,"")</f>
        <v>0</v>
      </c>
      <c r="I2016" s="9">
        <f>IF(AND($G2016&lt;&gt;"",ISNUMBER(SEARCH('Nr rejestracyjny'!$F$5,$G2016))),COUNT($I$1:I2015)+1,"")</f>
        <v>0</v>
      </c>
    </row>
    <row r="2017" spans="6:9">
      <c r="F2017" s="7">
        <f>IF('W rejestracji'!$C$2024="","",'W rejestracji'!$C$2024)</f>
        <v>0</v>
      </c>
      <c r="G2017" s="7">
        <f>IF(Zarejestrowane!$C$2024="","",Zarejestrowane!$C$2024)</f>
        <v>0</v>
      </c>
      <c r="H2017" s="9">
        <f>IF(AND($F2017&lt;&gt;"",ISNUMBER(SEARCH('Nr rejestracyjny'!$F$5,$F2017))),COUNT($H$1:H2016)+1,"")</f>
        <v>0</v>
      </c>
      <c r="I2017" s="9">
        <f>IF(AND($G2017&lt;&gt;"",ISNUMBER(SEARCH('Nr rejestracyjny'!$F$5,$G2017))),COUNT($I$1:I2016)+1,"")</f>
        <v>0</v>
      </c>
    </row>
    <row r="2018" spans="6:9">
      <c r="F2018" s="7">
        <f>IF('W rejestracji'!$C$2025="","",'W rejestracji'!$C$2025)</f>
        <v>0</v>
      </c>
      <c r="G2018" s="7">
        <f>IF(Zarejestrowane!$C$2025="","",Zarejestrowane!$C$2025)</f>
        <v>0</v>
      </c>
      <c r="H2018" s="9">
        <f>IF(AND($F2018&lt;&gt;"",ISNUMBER(SEARCH('Nr rejestracyjny'!$F$5,$F2018))),COUNT($H$1:H2017)+1,"")</f>
        <v>0</v>
      </c>
      <c r="I2018" s="9">
        <f>IF(AND($G2018&lt;&gt;"",ISNUMBER(SEARCH('Nr rejestracyjny'!$F$5,$G2018))),COUNT($I$1:I2017)+1,"")</f>
        <v>0</v>
      </c>
    </row>
    <row r="2019" spans="6:9">
      <c r="F2019" s="7">
        <f>IF('W rejestracji'!$C$2026="","",'W rejestracji'!$C$2026)</f>
        <v>0</v>
      </c>
      <c r="G2019" s="7">
        <f>IF(Zarejestrowane!$C$2026="","",Zarejestrowane!$C$2026)</f>
        <v>0</v>
      </c>
      <c r="H2019" s="9">
        <f>IF(AND($F2019&lt;&gt;"",ISNUMBER(SEARCH('Nr rejestracyjny'!$F$5,$F2019))),COUNT($H$1:H2018)+1,"")</f>
        <v>0</v>
      </c>
      <c r="I2019" s="9">
        <f>IF(AND($G2019&lt;&gt;"",ISNUMBER(SEARCH('Nr rejestracyjny'!$F$5,$G2019))),COUNT($I$1:I2018)+1,"")</f>
        <v>0</v>
      </c>
    </row>
    <row r="2020" spans="6:9">
      <c r="F2020" s="7">
        <f>IF('W rejestracji'!$C$2027="","",'W rejestracji'!$C$2027)</f>
        <v>0</v>
      </c>
      <c r="G2020" s="7">
        <f>IF(Zarejestrowane!$C$2027="","",Zarejestrowane!$C$2027)</f>
        <v>0</v>
      </c>
      <c r="H2020" s="9">
        <f>IF(AND($F2020&lt;&gt;"",ISNUMBER(SEARCH('Nr rejestracyjny'!$F$5,$F2020))),COUNT($H$1:H2019)+1,"")</f>
        <v>0</v>
      </c>
      <c r="I2020" s="9">
        <f>IF(AND($G2020&lt;&gt;"",ISNUMBER(SEARCH('Nr rejestracyjny'!$F$5,$G2020))),COUNT($I$1:I2019)+1,"")</f>
        <v>0</v>
      </c>
    </row>
    <row r="2021" spans="6:9">
      <c r="F2021" s="7">
        <f>IF('W rejestracji'!$C$2028="","",'W rejestracji'!$C$2028)</f>
        <v>0</v>
      </c>
      <c r="G2021" s="7">
        <f>IF(Zarejestrowane!$C$2028="","",Zarejestrowane!$C$2028)</f>
        <v>0</v>
      </c>
      <c r="H2021" s="9">
        <f>IF(AND($F2021&lt;&gt;"",ISNUMBER(SEARCH('Nr rejestracyjny'!$F$5,$F2021))),COUNT($H$1:H2020)+1,"")</f>
        <v>0</v>
      </c>
      <c r="I2021" s="9">
        <f>IF(AND($G2021&lt;&gt;"",ISNUMBER(SEARCH('Nr rejestracyjny'!$F$5,$G2021))),COUNT($I$1:I2020)+1,"")</f>
        <v>0</v>
      </c>
    </row>
    <row r="2022" spans="6:9">
      <c r="F2022" s="7">
        <f>IF('W rejestracji'!$C$2029="","",'W rejestracji'!$C$2029)</f>
        <v>0</v>
      </c>
      <c r="G2022" s="7">
        <f>IF(Zarejestrowane!$C$2029="","",Zarejestrowane!$C$2029)</f>
        <v>0</v>
      </c>
      <c r="H2022" s="9">
        <f>IF(AND($F2022&lt;&gt;"",ISNUMBER(SEARCH('Nr rejestracyjny'!$F$5,$F2022))),COUNT($H$1:H2021)+1,"")</f>
        <v>0</v>
      </c>
      <c r="I2022" s="9">
        <f>IF(AND($G2022&lt;&gt;"",ISNUMBER(SEARCH('Nr rejestracyjny'!$F$5,$G2022))),COUNT($I$1:I2021)+1,"")</f>
        <v>0</v>
      </c>
    </row>
    <row r="2023" spans="6:9">
      <c r="F2023" s="7">
        <f>IF('W rejestracji'!$C$2030="","",'W rejestracji'!$C$2030)</f>
        <v>0</v>
      </c>
      <c r="G2023" s="7">
        <f>IF(Zarejestrowane!$C$2030="","",Zarejestrowane!$C$2030)</f>
        <v>0</v>
      </c>
      <c r="H2023" s="9">
        <f>IF(AND($F2023&lt;&gt;"",ISNUMBER(SEARCH('Nr rejestracyjny'!$F$5,$F2023))),COUNT($H$1:H2022)+1,"")</f>
        <v>0</v>
      </c>
      <c r="I2023" s="9">
        <f>IF(AND($G2023&lt;&gt;"",ISNUMBER(SEARCH('Nr rejestracyjny'!$F$5,$G2023))),COUNT($I$1:I2022)+1,"")</f>
        <v>0</v>
      </c>
    </row>
    <row r="2024" spans="6:9">
      <c r="F2024" s="7">
        <f>IF('W rejestracji'!$C$2031="","",'W rejestracji'!$C$2031)</f>
        <v>0</v>
      </c>
      <c r="G2024" s="7">
        <f>IF(Zarejestrowane!$C$2031="","",Zarejestrowane!$C$2031)</f>
        <v>0</v>
      </c>
      <c r="H2024" s="9">
        <f>IF(AND($F2024&lt;&gt;"",ISNUMBER(SEARCH('Nr rejestracyjny'!$F$5,$F2024))),COUNT($H$1:H2023)+1,"")</f>
        <v>0</v>
      </c>
      <c r="I2024" s="9">
        <f>IF(AND($G2024&lt;&gt;"",ISNUMBER(SEARCH('Nr rejestracyjny'!$F$5,$G2024))),COUNT($I$1:I2023)+1,"")</f>
        <v>0</v>
      </c>
    </row>
    <row r="2025" spans="6:9">
      <c r="F2025" s="7">
        <f>IF('W rejestracji'!$C$2032="","",'W rejestracji'!$C$2032)</f>
        <v>0</v>
      </c>
      <c r="G2025" s="7">
        <f>IF(Zarejestrowane!$C$2032="","",Zarejestrowane!$C$2032)</f>
        <v>0</v>
      </c>
      <c r="H2025" s="9">
        <f>IF(AND($F2025&lt;&gt;"",ISNUMBER(SEARCH('Nr rejestracyjny'!$F$5,$F2025))),COUNT($H$1:H2024)+1,"")</f>
        <v>0</v>
      </c>
      <c r="I2025" s="9">
        <f>IF(AND($G2025&lt;&gt;"",ISNUMBER(SEARCH('Nr rejestracyjny'!$F$5,$G2025))),COUNT($I$1:I2024)+1,"")</f>
        <v>0</v>
      </c>
    </row>
    <row r="2026" spans="6:9">
      <c r="F2026" s="7">
        <f>IF('W rejestracji'!$C$2033="","",'W rejestracji'!$C$2033)</f>
        <v>0</v>
      </c>
      <c r="G2026" s="7">
        <f>IF(Zarejestrowane!$C$2033="","",Zarejestrowane!$C$2033)</f>
        <v>0</v>
      </c>
      <c r="H2026" s="9">
        <f>IF(AND($F2026&lt;&gt;"",ISNUMBER(SEARCH('Nr rejestracyjny'!$F$5,$F2026))),COUNT($H$1:H2025)+1,"")</f>
        <v>0</v>
      </c>
      <c r="I2026" s="9">
        <f>IF(AND($G2026&lt;&gt;"",ISNUMBER(SEARCH('Nr rejestracyjny'!$F$5,$G2026))),COUNT($I$1:I2025)+1,"")</f>
        <v>0</v>
      </c>
    </row>
    <row r="2027" spans="6:9">
      <c r="F2027" s="7">
        <f>IF('W rejestracji'!$C$2034="","",'W rejestracji'!$C$2034)</f>
        <v>0</v>
      </c>
      <c r="G2027" s="7">
        <f>IF(Zarejestrowane!$C$2034="","",Zarejestrowane!$C$2034)</f>
        <v>0</v>
      </c>
      <c r="H2027" s="9">
        <f>IF(AND($F2027&lt;&gt;"",ISNUMBER(SEARCH('Nr rejestracyjny'!$F$5,$F2027))),COUNT($H$1:H2026)+1,"")</f>
        <v>0</v>
      </c>
      <c r="I2027" s="9">
        <f>IF(AND($G2027&lt;&gt;"",ISNUMBER(SEARCH('Nr rejestracyjny'!$F$5,$G2027))),COUNT($I$1:I2026)+1,"")</f>
        <v>0</v>
      </c>
    </row>
    <row r="2028" spans="6:9">
      <c r="F2028" s="7">
        <f>IF('W rejestracji'!$C$2035="","",'W rejestracji'!$C$2035)</f>
        <v>0</v>
      </c>
      <c r="G2028" s="7">
        <f>IF(Zarejestrowane!$C$2035="","",Zarejestrowane!$C$2035)</f>
        <v>0</v>
      </c>
      <c r="H2028" s="9">
        <f>IF(AND($F2028&lt;&gt;"",ISNUMBER(SEARCH('Nr rejestracyjny'!$F$5,$F2028))),COUNT($H$1:H2027)+1,"")</f>
        <v>0</v>
      </c>
      <c r="I2028" s="9">
        <f>IF(AND($G2028&lt;&gt;"",ISNUMBER(SEARCH('Nr rejestracyjny'!$F$5,$G2028))),COUNT($I$1:I2027)+1,"")</f>
        <v>0</v>
      </c>
    </row>
    <row r="2029" spans="6:9">
      <c r="F2029" s="7">
        <f>IF('W rejestracji'!$C$2036="","",'W rejestracji'!$C$2036)</f>
        <v>0</v>
      </c>
      <c r="G2029" s="7">
        <f>IF(Zarejestrowane!$C$2036="","",Zarejestrowane!$C$2036)</f>
        <v>0</v>
      </c>
      <c r="H2029" s="9">
        <f>IF(AND($F2029&lt;&gt;"",ISNUMBER(SEARCH('Nr rejestracyjny'!$F$5,$F2029))),COUNT($H$1:H2028)+1,"")</f>
        <v>0</v>
      </c>
      <c r="I2029" s="9">
        <f>IF(AND($G2029&lt;&gt;"",ISNUMBER(SEARCH('Nr rejestracyjny'!$F$5,$G2029))),COUNT($I$1:I2028)+1,"")</f>
        <v>0</v>
      </c>
    </row>
    <row r="2030" spans="6:9">
      <c r="F2030" s="7">
        <f>IF('W rejestracji'!$C$2037="","",'W rejestracji'!$C$2037)</f>
        <v>0</v>
      </c>
      <c r="G2030" s="7">
        <f>IF(Zarejestrowane!$C$2037="","",Zarejestrowane!$C$2037)</f>
        <v>0</v>
      </c>
      <c r="H2030" s="9">
        <f>IF(AND($F2030&lt;&gt;"",ISNUMBER(SEARCH('Nr rejestracyjny'!$F$5,$F2030))),COUNT($H$1:H2029)+1,"")</f>
        <v>0</v>
      </c>
      <c r="I2030" s="9">
        <f>IF(AND($G2030&lt;&gt;"",ISNUMBER(SEARCH('Nr rejestracyjny'!$F$5,$G2030))),COUNT($I$1:I2029)+1,"")</f>
        <v>0</v>
      </c>
    </row>
    <row r="2031" spans="6:9">
      <c r="F2031" s="7">
        <f>IF('W rejestracji'!$C$2038="","",'W rejestracji'!$C$2038)</f>
        <v>0</v>
      </c>
      <c r="G2031" s="7">
        <f>IF(Zarejestrowane!$C$2038="","",Zarejestrowane!$C$2038)</f>
        <v>0</v>
      </c>
      <c r="H2031" s="9">
        <f>IF(AND($F2031&lt;&gt;"",ISNUMBER(SEARCH('Nr rejestracyjny'!$F$5,$F2031))),COUNT($H$1:H2030)+1,"")</f>
        <v>0</v>
      </c>
      <c r="I2031" s="9">
        <f>IF(AND($G2031&lt;&gt;"",ISNUMBER(SEARCH('Nr rejestracyjny'!$F$5,$G2031))),COUNT($I$1:I2030)+1,"")</f>
        <v>0</v>
      </c>
    </row>
    <row r="2032" spans="6:9">
      <c r="F2032" s="7">
        <f>IF('W rejestracji'!$C$2039="","",'W rejestracji'!$C$2039)</f>
        <v>0</v>
      </c>
      <c r="G2032" s="7">
        <f>IF(Zarejestrowane!$C$2039="","",Zarejestrowane!$C$2039)</f>
        <v>0</v>
      </c>
      <c r="H2032" s="9">
        <f>IF(AND($F2032&lt;&gt;"",ISNUMBER(SEARCH('Nr rejestracyjny'!$F$5,$F2032))),COUNT($H$1:H2031)+1,"")</f>
        <v>0</v>
      </c>
      <c r="I2032" s="9">
        <f>IF(AND($G2032&lt;&gt;"",ISNUMBER(SEARCH('Nr rejestracyjny'!$F$5,$G2032))),COUNT($I$1:I2031)+1,"")</f>
        <v>0</v>
      </c>
    </row>
    <row r="2033" spans="6:9">
      <c r="F2033" s="7">
        <f>IF('W rejestracji'!$C$2040="","",'W rejestracji'!$C$2040)</f>
        <v>0</v>
      </c>
      <c r="G2033" s="7">
        <f>IF(Zarejestrowane!$C$2040="","",Zarejestrowane!$C$2040)</f>
        <v>0</v>
      </c>
      <c r="H2033" s="9">
        <f>IF(AND($F2033&lt;&gt;"",ISNUMBER(SEARCH('Nr rejestracyjny'!$F$5,$F2033))),COUNT($H$1:H2032)+1,"")</f>
        <v>0</v>
      </c>
      <c r="I2033" s="9">
        <f>IF(AND($G2033&lt;&gt;"",ISNUMBER(SEARCH('Nr rejestracyjny'!$F$5,$G2033))),COUNT($I$1:I2032)+1,"")</f>
        <v>0</v>
      </c>
    </row>
    <row r="2034" spans="6:9">
      <c r="F2034" s="7">
        <f>IF('W rejestracji'!$C$2041="","",'W rejestracji'!$C$2041)</f>
        <v>0</v>
      </c>
      <c r="G2034" s="7">
        <f>IF(Zarejestrowane!$C$2041="","",Zarejestrowane!$C$2041)</f>
        <v>0</v>
      </c>
      <c r="H2034" s="9">
        <f>IF(AND($F2034&lt;&gt;"",ISNUMBER(SEARCH('Nr rejestracyjny'!$F$5,$F2034))),COUNT($H$1:H2033)+1,"")</f>
        <v>0</v>
      </c>
      <c r="I2034" s="9">
        <f>IF(AND($G2034&lt;&gt;"",ISNUMBER(SEARCH('Nr rejestracyjny'!$F$5,$G2034))),COUNT($I$1:I2033)+1,"")</f>
        <v>0</v>
      </c>
    </row>
    <row r="2035" spans="6:9">
      <c r="F2035" s="7">
        <f>IF('W rejestracji'!$C$2042="","",'W rejestracji'!$C$2042)</f>
        <v>0</v>
      </c>
      <c r="G2035" s="7">
        <f>IF(Zarejestrowane!$C$2042="","",Zarejestrowane!$C$2042)</f>
        <v>0</v>
      </c>
      <c r="H2035" s="9">
        <f>IF(AND($F2035&lt;&gt;"",ISNUMBER(SEARCH('Nr rejestracyjny'!$F$5,$F2035))),COUNT($H$1:H2034)+1,"")</f>
        <v>0</v>
      </c>
      <c r="I2035" s="9">
        <f>IF(AND($G2035&lt;&gt;"",ISNUMBER(SEARCH('Nr rejestracyjny'!$F$5,$G2035))),COUNT($I$1:I2034)+1,"")</f>
        <v>0</v>
      </c>
    </row>
    <row r="2036" spans="6:9">
      <c r="F2036" s="7">
        <f>IF('W rejestracji'!$C$2043="","",'W rejestracji'!$C$2043)</f>
        <v>0</v>
      </c>
      <c r="G2036" s="7">
        <f>IF(Zarejestrowane!$C$2043="","",Zarejestrowane!$C$2043)</f>
        <v>0</v>
      </c>
      <c r="H2036" s="9">
        <f>IF(AND($F2036&lt;&gt;"",ISNUMBER(SEARCH('Nr rejestracyjny'!$F$5,$F2036))),COUNT($H$1:H2035)+1,"")</f>
        <v>0</v>
      </c>
      <c r="I2036" s="9">
        <f>IF(AND($G2036&lt;&gt;"",ISNUMBER(SEARCH('Nr rejestracyjny'!$F$5,$G2036))),COUNT($I$1:I2035)+1,"")</f>
        <v>0</v>
      </c>
    </row>
    <row r="2037" spans="6:9">
      <c r="F2037" s="7">
        <f>IF('W rejestracji'!$C$2044="","",'W rejestracji'!$C$2044)</f>
        <v>0</v>
      </c>
      <c r="G2037" s="7">
        <f>IF(Zarejestrowane!$C$2044="","",Zarejestrowane!$C$2044)</f>
        <v>0</v>
      </c>
      <c r="H2037" s="9">
        <f>IF(AND($F2037&lt;&gt;"",ISNUMBER(SEARCH('Nr rejestracyjny'!$F$5,$F2037))),COUNT($H$1:H2036)+1,"")</f>
        <v>0</v>
      </c>
      <c r="I2037" s="9">
        <f>IF(AND($G2037&lt;&gt;"",ISNUMBER(SEARCH('Nr rejestracyjny'!$F$5,$G2037))),COUNT($I$1:I2036)+1,"")</f>
        <v>0</v>
      </c>
    </row>
    <row r="2038" spans="6:9">
      <c r="F2038" s="7">
        <f>IF('W rejestracji'!$C$2045="","",'W rejestracji'!$C$2045)</f>
        <v>0</v>
      </c>
      <c r="G2038" s="7">
        <f>IF(Zarejestrowane!$C$2045="","",Zarejestrowane!$C$2045)</f>
        <v>0</v>
      </c>
      <c r="H2038" s="9">
        <f>IF(AND($F2038&lt;&gt;"",ISNUMBER(SEARCH('Nr rejestracyjny'!$F$5,$F2038))),COUNT($H$1:H2037)+1,"")</f>
        <v>0</v>
      </c>
      <c r="I2038" s="9">
        <f>IF(AND($G2038&lt;&gt;"",ISNUMBER(SEARCH('Nr rejestracyjny'!$F$5,$G2038))),COUNT($I$1:I2037)+1,"")</f>
        <v>0</v>
      </c>
    </row>
    <row r="2039" spans="6:9">
      <c r="F2039" s="7">
        <f>IF('W rejestracji'!$C$2046="","",'W rejestracji'!$C$2046)</f>
        <v>0</v>
      </c>
      <c r="G2039" s="7">
        <f>IF(Zarejestrowane!$C$2046="","",Zarejestrowane!$C$2046)</f>
        <v>0</v>
      </c>
      <c r="H2039" s="9">
        <f>IF(AND($F2039&lt;&gt;"",ISNUMBER(SEARCH('Nr rejestracyjny'!$F$5,$F2039))),COUNT($H$1:H2038)+1,"")</f>
        <v>0</v>
      </c>
      <c r="I2039" s="9">
        <f>IF(AND($G2039&lt;&gt;"",ISNUMBER(SEARCH('Nr rejestracyjny'!$F$5,$G2039))),COUNT($I$1:I2038)+1,"")</f>
        <v>0</v>
      </c>
    </row>
    <row r="2040" spans="6:9">
      <c r="F2040" s="7">
        <f>IF('W rejestracji'!$C$2047="","",'W rejestracji'!$C$2047)</f>
        <v>0</v>
      </c>
      <c r="G2040" s="7">
        <f>IF(Zarejestrowane!$C$2047="","",Zarejestrowane!$C$2047)</f>
        <v>0</v>
      </c>
      <c r="H2040" s="9">
        <f>IF(AND($F2040&lt;&gt;"",ISNUMBER(SEARCH('Nr rejestracyjny'!$F$5,$F2040))),COUNT($H$1:H2039)+1,"")</f>
        <v>0</v>
      </c>
      <c r="I2040" s="9">
        <f>IF(AND($G2040&lt;&gt;"",ISNUMBER(SEARCH('Nr rejestracyjny'!$F$5,$G2040))),COUNT($I$1:I2039)+1,"")</f>
        <v>0</v>
      </c>
    </row>
    <row r="2041" spans="6:9">
      <c r="F2041" s="7">
        <f>IF('W rejestracji'!$C$2048="","",'W rejestracji'!$C$2048)</f>
        <v>0</v>
      </c>
      <c r="G2041" s="7">
        <f>IF(Zarejestrowane!$C$2048="","",Zarejestrowane!$C$2048)</f>
        <v>0</v>
      </c>
      <c r="H2041" s="9">
        <f>IF(AND($F2041&lt;&gt;"",ISNUMBER(SEARCH('Nr rejestracyjny'!$F$5,$F2041))),COUNT($H$1:H2040)+1,"")</f>
        <v>0</v>
      </c>
      <c r="I2041" s="9">
        <f>IF(AND($G2041&lt;&gt;"",ISNUMBER(SEARCH('Nr rejestracyjny'!$F$5,$G2041))),COUNT($I$1:I2040)+1,"")</f>
        <v>0</v>
      </c>
    </row>
    <row r="2042" spans="6:9">
      <c r="F2042" s="7">
        <f>IF('W rejestracji'!$C$2049="","",'W rejestracji'!$C$2049)</f>
        <v>0</v>
      </c>
      <c r="G2042" s="7">
        <f>IF(Zarejestrowane!$C$2049="","",Zarejestrowane!$C$2049)</f>
        <v>0</v>
      </c>
      <c r="H2042" s="9">
        <f>IF(AND($F2042&lt;&gt;"",ISNUMBER(SEARCH('Nr rejestracyjny'!$F$5,$F2042))),COUNT($H$1:H2041)+1,"")</f>
        <v>0</v>
      </c>
      <c r="I2042" s="9">
        <f>IF(AND($G2042&lt;&gt;"",ISNUMBER(SEARCH('Nr rejestracyjny'!$F$5,$G2042))),COUNT($I$1:I2041)+1,"")</f>
        <v>0</v>
      </c>
    </row>
    <row r="2043" spans="6:9">
      <c r="F2043" s="7">
        <f>IF('W rejestracji'!$C$2050="","",'W rejestracji'!$C$2050)</f>
        <v>0</v>
      </c>
      <c r="G2043" s="7">
        <f>IF(Zarejestrowane!$C$2050="","",Zarejestrowane!$C$2050)</f>
        <v>0</v>
      </c>
      <c r="H2043" s="9">
        <f>IF(AND($F2043&lt;&gt;"",ISNUMBER(SEARCH('Nr rejestracyjny'!$F$5,$F2043))),COUNT($H$1:H2042)+1,"")</f>
        <v>0</v>
      </c>
      <c r="I2043" s="9">
        <f>IF(AND($G2043&lt;&gt;"",ISNUMBER(SEARCH('Nr rejestracyjny'!$F$5,$G2043))),COUNT($I$1:I2042)+1,"")</f>
        <v>0</v>
      </c>
    </row>
    <row r="2044" spans="6:9">
      <c r="F2044" s="7">
        <f>IF('W rejestracji'!$C$2051="","",'W rejestracji'!$C$2051)</f>
        <v>0</v>
      </c>
      <c r="G2044" s="7">
        <f>IF(Zarejestrowane!$C$2051="","",Zarejestrowane!$C$2051)</f>
        <v>0</v>
      </c>
      <c r="H2044" s="9">
        <f>IF(AND($F2044&lt;&gt;"",ISNUMBER(SEARCH('Nr rejestracyjny'!$F$5,$F2044))),COUNT($H$1:H2043)+1,"")</f>
        <v>0</v>
      </c>
      <c r="I2044" s="9">
        <f>IF(AND($G2044&lt;&gt;"",ISNUMBER(SEARCH('Nr rejestracyjny'!$F$5,$G2044))),COUNT($I$1:I2043)+1,"")</f>
        <v>0</v>
      </c>
    </row>
    <row r="2045" spans="6:9">
      <c r="F2045" s="7">
        <f>IF('W rejestracji'!$C$2052="","",'W rejestracji'!$C$2052)</f>
        <v>0</v>
      </c>
      <c r="G2045" s="7">
        <f>IF(Zarejestrowane!$C$2052="","",Zarejestrowane!$C$2052)</f>
        <v>0</v>
      </c>
      <c r="H2045" s="9">
        <f>IF(AND($F2045&lt;&gt;"",ISNUMBER(SEARCH('Nr rejestracyjny'!$F$5,$F2045))),COUNT($H$1:H2044)+1,"")</f>
        <v>0</v>
      </c>
      <c r="I2045" s="9">
        <f>IF(AND($G2045&lt;&gt;"",ISNUMBER(SEARCH('Nr rejestracyjny'!$F$5,$G2045))),COUNT($I$1:I2044)+1,"")</f>
        <v>0</v>
      </c>
    </row>
    <row r="2046" spans="6:9">
      <c r="F2046" s="7">
        <f>IF('W rejestracji'!$C$2053="","",'W rejestracji'!$C$2053)</f>
        <v>0</v>
      </c>
      <c r="G2046" s="7">
        <f>IF(Zarejestrowane!$C$2053="","",Zarejestrowane!$C$2053)</f>
        <v>0</v>
      </c>
      <c r="H2046" s="9">
        <f>IF(AND($F2046&lt;&gt;"",ISNUMBER(SEARCH('Nr rejestracyjny'!$F$5,$F2046))),COUNT($H$1:H2045)+1,"")</f>
        <v>0</v>
      </c>
      <c r="I2046" s="9">
        <f>IF(AND($G2046&lt;&gt;"",ISNUMBER(SEARCH('Nr rejestracyjny'!$F$5,$G2046))),COUNT($I$1:I2045)+1,"")</f>
        <v>0</v>
      </c>
    </row>
    <row r="2047" spans="6:9">
      <c r="F2047" s="7">
        <f>IF('W rejestracji'!$C$2054="","",'W rejestracji'!$C$2054)</f>
        <v>0</v>
      </c>
      <c r="G2047" s="7">
        <f>IF(Zarejestrowane!$C$2054="","",Zarejestrowane!$C$2054)</f>
        <v>0</v>
      </c>
      <c r="H2047" s="9">
        <f>IF(AND($F2047&lt;&gt;"",ISNUMBER(SEARCH('Nr rejestracyjny'!$F$5,$F2047))),COUNT($H$1:H2046)+1,"")</f>
        <v>0</v>
      </c>
      <c r="I2047" s="9">
        <f>IF(AND($G2047&lt;&gt;"",ISNUMBER(SEARCH('Nr rejestracyjny'!$F$5,$G2047))),COUNT($I$1:I2046)+1,"")</f>
        <v>0</v>
      </c>
    </row>
    <row r="2048" spans="6:9">
      <c r="F2048" s="7">
        <f>IF('W rejestracji'!$C$2055="","",'W rejestracji'!$C$2055)</f>
        <v>0</v>
      </c>
      <c r="G2048" s="7">
        <f>IF(Zarejestrowane!$C$2055="","",Zarejestrowane!$C$2055)</f>
        <v>0</v>
      </c>
      <c r="H2048" s="9">
        <f>IF(AND($F2048&lt;&gt;"",ISNUMBER(SEARCH('Nr rejestracyjny'!$F$5,$F2048))),COUNT($H$1:H2047)+1,"")</f>
        <v>0</v>
      </c>
      <c r="I2048" s="9">
        <f>IF(AND($G2048&lt;&gt;"",ISNUMBER(SEARCH('Nr rejestracyjny'!$F$5,$G2048))),COUNT($I$1:I2047)+1,"")</f>
        <v>0</v>
      </c>
    </row>
    <row r="2049" spans="6:9">
      <c r="F2049" s="7">
        <f>IF('W rejestracji'!$C$2056="","",'W rejestracji'!$C$2056)</f>
        <v>0</v>
      </c>
      <c r="G2049" s="7">
        <f>IF(Zarejestrowane!$C$2056="","",Zarejestrowane!$C$2056)</f>
        <v>0</v>
      </c>
      <c r="H2049" s="9">
        <f>IF(AND($F2049&lt;&gt;"",ISNUMBER(SEARCH('Nr rejestracyjny'!$F$5,$F2049))),COUNT($H$1:H2048)+1,"")</f>
        <v>0</v>
      </c>
      <c r="I2049" s="9">
        <f>IF(AND($G2049&lt;&gt;"",ISNUMBER(SEARCH('Nr rejestracyjny'!$F$5,$G2049))),COUNT($I$1:I2048)+1,"")</f>
        <v>0</v>
      </c>
    </row>
    <row r="2050" spans="6:9">
      <c r="F2050" s="7">
        <f>IF('W rejestracji'!$C$2057="","",'W rejestracji'!$C$2057)</f>
        <v>0</v>
      </c>
      <c r="G2050" s="7">
        <f>IF(Zarejestrowane!$C$2057="","",Zarejestrowane!$C$2057)</f>
        <v>0</v>
      </c>
      <c r="H2050" s="9">
        <f>IF(AND($F2050&lt;&gt;"",ISNUMBER(SEARCH('Nr rejestracyjny'!$F$5,$F2050))),COUNT($H$1:H2049)+1,"")</f>
        <v>0</v>
      </c>
      <c r="I2050" s="9">
        <f>IF(AND($G2050&lt;&gt;"",ISNUMBER(SEARCH('Nr rejestracyjny'!$F$5,$G2050))),COUNT($I$1:I2049)+1,"")</f>
        <v>0</v>
      </c>
    </row>
    <row r="2051" spans="6:9">
      <c r="F2051" s="7">
        <f>IF('W rejestracji'!$C$2058="","",'W rejestracji'!$C$2058)</f>
        <v>0</v>
      </c>
      <c r="G2051" s="7">
        <f>IF(Zarejestrowane!$C$2058="","",Zarejestrowane!$C$2058)</f>
        <v>0</v>
      </c>
      <c r="H2051" s="9">
        <f>IF(AND($F2051&lt;&gt;"",ISNUMBER(SEARCH('Nr rejestracyjny'!$F$5,$F2051))),COUNT($H$1:H2050)+1,"")</f>
        <v>0</v>
      </c>
      <c r="I2051" s="9">
        <f>IF(AND($G2051&lt;&gt;"",ISNUMBER(SEARCH('Nr rejestracyjny'!$F$5,$G2051))),COUNT($I$1:I2050)+1,"")</f>
        <v>0</v>
      </c>
    </row>
    <row r="2052" spans="6:9">
      <c r="F2052" s="7">
        <f>IF('W rejestracji'!$C$2059="","",'W rejestracji'!$C$2059)</f>
        <v>0</v>
      </c>
      <c r="G2052" s="7">
        <f>IF(Zarejestrowane!$C$2059="","",Zarejestrowane!$C$2059)</f>
        <v>0</v>
      </c>
      <c r="H2052" s="9">
        <f>IF(AND($F2052&lt;&gt;"",ISNUMBER(SEARCH('Nr rejestracyjny'!$F$5,$F2052))),COUNT($H$1:H2051)+1,"")</f>
        <v>0</v>
      </c>
      <c r="I2052" s="9">
        <f>IF(AND($G2052&lt;&gt;"",ISNUMBER(SEARCH('Nr rejestracyjny'!$F$5,$G2052))),COUNT($I$1:I2051)+1,"")</f>
        <v>0</v>
      </c>
    </row>
    <row r="2053" spans="6:9">
      <c r="F2053" s="7">
        <f>IF('W rejestracji'!$C$2060="","",'W rejestracji'!$C$2060)</f>
        <v>0</v>
      </c>
      <c r="G2053" s="7">
        <f>IF(Zarejestrowane!$C$2060="","",Zarejestrowane!$C$2060)</f>
        <v>0</v>
      </c>
      <c r="H2053" s="9">
        <f>IF(AND($F2053&lt;&gt;"",ISNUMBER(SEARCH('Nr rejestracyjny'!$F$5,$F2053))),COUNT($H$1:H2052)+1,"")</f>
        <v>0</v>
      </c>
      <c r="I2053" s="9">
        <f>IF(AND($G2053&lt;&gt;"",ISNUMBER(SEARCH('Nr rejestracyjny'!$F$5,$G2053))),COUNT($I$1:I2052)+1,"")</f>
        <v>0</v>
      </c>
    </row>
    <row r="2054" spans="6:9">
      <c r="F2054" s="7">
        <f>IF('W rejestracji'!$C$2061="","",'W rejestracji'!$C$2061)</f>
        <v>0</v>
      </c>
      <c r="G2054" s="7">
        <f>IF(Zarejestrowane!$C$2061="","",Zarejestrowane!$C$2061)</f>
        <v>0</v>
      </c>
      <c r="H2054" s="9">
        <f>IF(AND($F2054&lt;&gt;"",ISNUMBER(SEARCH('Nr rejestracyjny'!$F$5,$F2054))),COUNT($H$1:H2053)+1,"")</f>
        <v>0</v>
      </c>
      <c r="I2054" s="9">
        <f>IF(AND($G2054&lt;&gt;"",ISNUMBER(SEARCH('Nr rejestracyjny'!$F$5,$G2054))),COUNT($I$1:I2053)+1,"")</f>
        <v>0</v>
      </c>
    </row>
    <row r="2055" spans="6:9">
      <c r="F2055" s="7">
        <f>IF('W rejestracji'!$C$2062="","",'W rejestracji'!$C$2062)</f>
        <v>0</v>
      </c>
      <c r="G2055" s="7">
        <f>IF(Zarejestrowane!$C$2062="","",Zarejestrowane!$C$2062)</f>
        <v>0</v>
      </c>
      <c r="H2055" s="9">
        <f>IF(AND($F2055&lt;&gt;"",ISNUMBER(SEARCH('Nr rejestracyjny'!$F$5,$F2055))),COUNT($H$1:H2054)+1,"")</f>
        <v>0</v>
      </c>
      <c r="I2055" s="9">
        <f>IF(AND($G2055&lt;&gt;"",ISNUMBER(SEARCH('Nr rejestracyjny'!$F$5,$G2055))),COUNT($I$1:I2054)+1,"")</f>
        <v>0</v>
      </c>
    </row>
    <row r="2056" spans="6:9">
      <c r="F2056" s="7">
        <f>IF('W rejestracji'!$C$2063="","",'W rejestracji'!$C$2063)</f>
        <v>0</v>
      </c>
      <c r="G2056" s="7">
        <f>IF(Zarejestrowane!$C$2063="","",Zarejestrowane!$C$2063)</f>
        <v>0</v>
      </c>
      <c r="H2056" s="9">
        <f>IF(AND($F2056&lt;&gt;"",ISNUMBER(SEARCH('Nr rejestracyjny'!$F$5,$F2056))),COUNT($H$1:H2055)+1,"")</f>
        <v>0</v>
      </c>
      <c r="I2056" s="9">
        <f>IF(AND($G2056&lt;&gt;"",ISNUMBER(SEARCH('Nr rejestracyjny'!$F$5,$G2056))),COUNT($I$1:I2055)+1,"")</f>
        <v>0</v>
      </c>
    </row>
    <row r="2057" spans="6:9">
      <c r="F2057" s="7">
        <f>IF('W rejestracji'!$C$2064="","",'W rejestracji'!$C$2064)</f>
        <v>0</v>
      </c>
      <c r="G2057" s="7">
        <f>IF(Zarejestrowane!$C$2064="","",Zarejestrowane!$C$2064)</f>
        <v>0</v>
      </c>
      <c r="H2057" s="9">
        <f>IF(AND($F2057&lt;&gt;"",ISNUMBER(SEARCH('Nr rejestracyjny'!$F$5,$F2057))),COUNT($H$1:H2056)+1,"")</f>
        <v>0</v>
      </c>
      <c r="I2057" s="9">
        <f>IF(AND($G2057&lt;&gt;"",ISNUMBER(SEARCH('Nr rejestracyjny'!$F$5,$G2057))),COUNT($I$1:I2056)+1,"")</f>
        <v>0</v>
      </c>
    </row>
    <row r="2058" spans="6:9">
      <c r="F2058" s="7">
        <f>IF('W rejestracji'!$C$2065="","",'W rejestracji'!$C$2065)</f>
        <v>0</v>
      </c>
      <c r="G2058" s="7">
        <f>IF(Zarejestrowane!$C$2065="","",Zarejestrowane!$C$2065)</f>
        <v>0</v>
      </c>
      <c r="H2058" s="9">
        <f>IF(AND($F2058&lt;&gt;"",ISNUMBER(SEARCH('Nr rejestracyjny'!$F$5,$F2058))),COUNT($H$1:H2057)+1,"")</f>
        <v>0</v>
      </c>
      <c r="I2058" s="9">
        <f>IF(AND($G2058&lt;&gt;"",ISNUMBER(SEARCH('Nr rejestracyjny'!$F$5,$G2058))),COUNT($I$1:I2057)+1,"")</f>
        <v>0</v>
      </c>
    </row>
    <row r="2059" spans="6:9">
      <c r="F2059" s="7">
        <f>IF('W rejestracji'!$C$2066="","",'W rejestracji'!$C$2066)</f>
        <v>0</v>
      </c>
      <c r="G2059" s="7">
        <f>IF(Zarejestrowane!$C$2066="","",Zarejestrowane!$C$2066)</f>
        <v>0</v>
      </c>
      <c r="H2059" s="9">
        <f>IF(AND($F2059&lt;&gt;"",ISNUMBER(SEARCH('Nr rejestracyjny'!$F$5,$F2059))),COUNT($H$1:H2058)+1,"")</f>
        <v>0</v>
      </c>
      <c r="I2059" s="9">
        <f>IF(AND($G2059&lt;&gt;"",ISNUMBER(SEARCH('Nr rejestracyjny'!$F$5,$G2059))),COUNT($I$1:I2058)+1,"")</f>
        <v>0</v>
      </c>
    </row>
    <row r="2060" spans="6:9">
      <c r="F2060" s="7">
        <f>IF('W rejestracji'!$C$2067="","",'W rejestracji'!$C$2067)</f>
        <v>0</v>
      </c>
      <c r="G2060" s="7">
        <f>IF(Zarejestrowane!$C$2067="","",Zarejestrowane!$C$2067)</f>
        <v>0</v>
      </c>
      <c r="H2060" s="9">
        <f>IF(AND($F2060&lt;&gt;"",ISNUMBER(SEARCH('Nr rejestracyjny'!$F$5,$F2060))),COUNT($H$1:H2059)+1,"")</f>
        <v>0</v>
      </c>
      <c r="I2060" s="9">
        <f>IF(AND($G2060&lt;&gt;"",ISNUMBER(SEARCH('Nr rejestracyjny'!$F$5,$G2060))),COUNT($I$1:I2059)+1,"")</f>
        <v>0</v>
      </c>
    </row>
    <row r="2061" spans="6:9">
      <c r="F2061" s="7">
        <f>IF('W rejestracji'!$C$2068="","",'W rejestracji'!$C$2068)</f>
        <v>0</v>
      </c>
      <c r="G2061" s="7">
        <f>IF(Zarejestrowane!$C$2068="","",Zarejestrowane!$C$2068)</f>
        <v>0</v>
      </c>
      <c r="H2061" s="9">
        <f>IF(AND($F2061&lt;&gt;"",ISNUMBER(SEARCH('Nr rejestracyjny'!$F$5,$F2061))),COUNT($H$1:H2060)+1,"")</f>
        <v>0</v>
      </c>
      <c r="I2061" s="9">
        <f>IF(AND($G2061&lt;&gt;"",ISNUMBER(SEARCH('Nr rejestracyjny'!$F$5,$G2061))),COUNT($I$1:I2060)+1,"")</f>
        <v>0</v>
      </c>
    </row>
    <row r="2062" spans="6:9">
      <c r="F2062" s="7">
        <f>IF('W rejestracji'!$C$2069="","",'W rejestracji'!$C$2069)</f>
        <v>0</v>
      </c>
      <c r="G2062" s="7">
        <f>IF(Zarejestrowane!$C$2069="","",Zarejestrowane!$C$2069)</f>
        <v>0</v>
      </c>
      <c r="H2062" s="9">
        <f>IF(AND($F2062&lt;&gt;"",ISNUMBER(SEARCH('Nr rejestracyjny'!$F$5,$F2062))),COUNT($H$1:H2061)+1,"")</f>
        <v>0</v>
      </c>
      <c r="I2062" s="9">
        <f>IF(AND($G2062&lt;&gt;"",ISNUMBER(SEARCH('Nr rejestracyjny'!$F$5,$G2062))),COUNT($I$1:I2061)+1,"")</f>
        <v>0</v>
      </c>
    </row>
    <row r="2063" spans="6:9">
      <c r="F2063" s="7">
        <f>IF('W rejestracji'!$C$2070="","",'W rejestracji'!$C$2070)</f>
        <v>0</v>
      </c>
      <c r="G2063" s="7">
        <f>IF(Zarejestrowane!$C$2070="","",Zarejestrowane!$C$2070)</f>
        <v>0</v>
      </c>
      <c r="H2063" s="9">
        <f>IF(AND($F2063&lt;&gt;"",ISNUMBER(SEARCH('Nr rejestracyjny'!$F$5,$F2063))),COUNT($H$1:H2062)+1,"")</f>
        <v>0</v>
      </c>
      <c r="I2063" s="9">
        <f>IF(AND($G2063&lt;&gt;"",ISNUMBER(SEARCH('Nr rejestracyjny'!$F$5,$G2063))),COUNT($I$1:I2062)+1,"")</f>
        <v>0</v>
      </c>
    </row>
    <row r="2064" spans="6:9">
      <c r="F2064" s="7">
        <f>IF('W rejestracji'!$C$2071="","",'W rejestracji'!$C$2071)</f>
        <v>0</v>
      </c>
      <c r="G2064" s="7">
        <f>IF(Zarejestrowane!$C$2071="","",Zarejestrowane!$C$2071)</f>
        <v>0</v>
      </c>
      <c r="H2064" s="9">
        <f>IF(AND($F2064&lt;&gt;"",ISNUMBER(SEARCH('Nr rejestracyjny'!$F$5,$F2064))),COUNT($H$1:H2063)+1,"")</f>
        <v>0</v>
      </c>
      <c r="I2064" s="9">
        <f>IF(AND($G2064&lt;&gt;"",ISNUMBER(SEARCH('Nr rejestracyjny'!$F$5,$G2064))),COUNT($I$1:I2063)+1,"")</f>
        <v>0</v>
      </c>
    </row>
    <row r="2065" spans="6:9">
      <c r="F2065" s="7">
        <f>IF('W rejestracji'!$C$2072="","",'W rejestracji'!$C$2072)</f>
        <v>0</v>
      </c>
      <c r="G2065" s="7">
        <f>IF(Zarejestrowane!$C$2072="","",Zarejestrowane!$C$2072)</f>
        <v>0</v>
      </c>
      <c r="H2065" s="9">
        <f>IF(AND($F2065&lt;&gt;"",ISNUMBER(SEARCH('Nr rejestracyjny'!$F$5,$F2065))),COUNT($H$1:H2064)+1,"")</f>
        <v>0</v>
      </c>
      <c r="I2065" s="9">
        <f>IF(AND($G2065&lt;&gt;"",ISNUMBER(SEARCH('Nr rejestracyjny'!$F$5,$G2065))),COUNT($I$1:I2064)+1,"")</f>
        <v>0</v>
      </c>
    </row>
    <row r="2066" spans="6:9">
      <c r="F2066" s="7">
        <f>IF('W rejestracji'!$C$2073="","",'W rejestracji'!$C$2073)</f>
        <v>0</v>
      </c>
      <c r="G2066" s="7">
        <f>IF(Zarejestrowane!$C$2073="","",Zarejestrowane!$C$2073)</f>
        <v>0</v>
      </c>
      <c r="H2066" s="9">
        <f>IF(AND($F2066&lt;&gt;"",ISNUMBER(SEARCH('Nr rejestracyjny'!$F$5,$F2066))),COUNT($H$1:H2065)+1,"")</f>
        <v>0</v>
      </c>
      <c r="I2066" s="9">
        <f>IF(AND($G2066&lt;&gt;"",ISNUMBER(SEARCH('Nr rejestracyjny'!$F$5,$G2066))),COUNT($I$1:I2065)+1,"")</f>
        <v>0</v>
      </c>
    </row>
    <row r="2067" spans="6:9">
      <c r="F2067" s="7">
        <f>IF('W rejestracji'!$C$2074="","",'W rejestracji'!$C$2074)</f>
        <v>0</v>
      </c>
      <c r="G2067" s="7">
        <f>IF(Zarejestrowane!$C$2074="","",Zarejestrowane!$C$2074)</f>
        <v>0</v>
      </c>
      <c r="H2067" s="9">
        <f>IF(AND($F2067&lt;&gt;"",ISNUMBER(SEARCH('Nr rejestracyjny'!$F$5,$F2067))),COUNT($H$1:H2066)+1,"")</f>
        <v>0</v>
      </c>
      <c r="I2067" s="9">
        <f>IF(AND($G2067&lt;&gt;"",ISNUMBER(SEARCH('Nr rejestracyjny'!$F$5,$G2067))),COUNT($I$1:I2066)+1,"")</f>
        <v>0</v>
      </c>
    </row>
    <row r="2068" spans="6:9">
      <c r="F2068" s="7">
        <f>IF('W rejestracji'!$C$2075="","",'W rejestracji'!$C$2075)</f>
        <v>0</v>
      </c>
      <c r="G2068" s="7">
        <f>IF(Zarejestrowane!$C$2075="","",Zarejestrowane!$C$2075)</f>
        <v>0</v>
      </c>
      <c r="H2068" s="9">
        <f>IF(AND($F2068&lt;&gt;"",ISNUMBER(SEARCH('Nr rejestracyjny'!$F$5,$F2068))),COUNT($H$1:H2067)+1,"")</f>
        <v>0</v>
      </c>
      <c r="I2068" s="9">
        <f>IF(AND($G2068&lt;&gt;"",ISNUMBER(SEARCH('Nr rejestracyjny'!$F$5,$G2068))),COUNT($I$1:I2067)+1,"")</f>
        <v>0</v>
      </c>
    </row>
    <row r="2069" spans="6:9">
      <c r="F2069" s="7">
        <f>IF('W rejestracji'!$C$2076="","",'W rejestracji'!$C$2076)</f>
        <v>0</v>
      </c>
      <c r="G2069" s="7">
        <f>IF(Zarejestrowane!$C$2076="","",Zarejestrowane!$C$2076)</f>
        <v>0</v>
      </c>
      <c r="H2069" s="9">
        <f>IF(AND($F2069&lt;&gt;"",ISNUMBER(SEARCH('Nr rejestracyjny'!$F$5,$F2069))),COUNT($H$1:H2068)+1,"")</f>
        <v>0</v>
      </c>
      <c r="I2069" s="9">
        <f>IF(AND($G2069&lt;&gt;"",ISNUMBER(SEARCH('Nr rejestracyjny'!$F$5,$G2069))),COUNT($I$1:I2068)+1,"")</f>
        <v>0</v>
      </c>
    </row>
    <row r="2070" spans="6:9">
      <c r="F2070" s="7">
        <f>IF('W rejestracji'!$C$2077="","",'W rejestracji'!$C$2077)</f>
        <v>0</v>
      </c>
      <c r="G2070" s="7">
        <f>IF(Zarejestrowane!$C$2077="","",Zarejestrowane!$C$2077)</f>
        <v>0</v>
      </c>
      <c r="H2070" s="9">
        <f>IF(AND($F2070&lt;&gt;"",ISNUMBER(SEARCH('Nr rejestracyjny'!$F$5,$F2070))),COUNT($H$1:H2069)+1,"")</f>
        <v>0</v>
      </c>
      <c r="I2070" s="9">
        <f>IF(AND($G2070&lt;&gt;"",ISNUMBER(SEARCH('Nr rejestracyjny'!$F$5,$G2070))),COUNT($I$1:I2069)+1,"")</f>
        <v>0</v>
      </c>
    </row>
    <row r="2071" spans="6:9">
      <c r="F2071" s="7">
        <f>IF('W rejestracji'!$C$2078="","",'W rejestracji'!$C$2078)</f>
        <v>0</v>
      </c>
      <c r="G2071" s="7">
        <f>IF(Zarejestrowane!$C$2078="","",Zarejestrowane!$C$2078)</f>
        <v>0</v>
      </c>
      <c r="H2071" s="9">
        <f>IF(AND($F2071&lt;&gt;"",ISNUMBER(SEARCH('Nr rejestracyjny'!$F$5,$F2071))),COUNT($H$1:H2070)+1,"")</f>
        <v>0</v>
      </c>
      <c r="I2071" s="9">
        <f>IF(AND($G2071&lt;&gt;"",ISNUMBER(SEARCH('Nr rejestracyjny'!$F$5,$G2071))),COUNT($I$1:I2070)+1,"")</f>
        <v>0</v>
      </c>
    </row>
    <row r="2072" spans="6:9">
      <c r="F2072" s="7">
        <f>IF('W rejestracji'!$C$2079="","",'W rejestracji'!$C$2079)</f>
        <v>0</v>
      </c>
      <c r="G2072" s="7">
        <f>IF(Zarejestrowane!$C$2079="","",Zarejestrowane!$C$2079)</f>
        <v>0</v>
      </c>
      <c r="H2072" s="9">
        <f>IF(AND($F2072&lt;&gt;"",ISNUMBER(SEARCH('Nr rejestracyjny'!$F$5,$F2072))),COUNT($H$1:H2071)+1,"")</f>
        <v>0</v>
      </c>
      <c r="I2072" s="9">
        <f>IF(AND($G2072&lt;&gt;"",ISNUMBER(SEARCH('Nr rejestracyjny'!$F$5,$G2072))),COUNT($I$1:I2071)+1,"")</f>
        <v>0</v>
      </c>
    </row>
    <row r="2073" spans="6:9">
      <c r="F2073" s="7">
        <f>IF('W rejestracji'!$C$2080="","",'W rejestracji'!$C$2080)</f>
        <v>0</v>
      </c>
      <c r="G2073" s="7">
        <f>IF(Zarejestrowane!$C$2080="","",Zarejestrowane!$C$2080)</f>
        <v>0</v>
      </c>
      <c r="H2073" s="9">
        <f>IF(AND($F2073&lt;&gt;"",ISNUMBER(SEARCH('Nr rejestracyjny'!$F$5,$F2073))),COUNT($H$1:H2072)+1,"")</f>
        <v>0</v>
      </c>
      <c r="I2073" s="9">
        <f>IF(AND($G2073&lt;&gt;"",ISNUMBER(SEARCH('Nr rejestracyjny'!$F$5,$G2073))),COUNT($I$1:I2072)+1,"")</f>
        <v>0</v>
      </c>
    </row>
    <row r="2074" spans="6:9">
      <c r="F2074" s="7">
        <f>IF('W rejestracji'!$C$2081="","",'W rejestracji'!$C$2081)</f>
        <v>0</v>
      </c>
      <c r="G2074" s="7">
        <f>IF(Zarejestrowane!$C$2081="","",Zarejestrowane!$C$2081)</f>
        <v>0</v>
      </c>
      <c r="H2074" s="9">
        <f>IF(AND($F2074&lt;&gt;"",ISNUMBER(SEARCH('Nr rejestracyjny'!$F$5,$F2074))),COUNT($H$1:H2073)+1,"")</f>
        <v>0</v>
      </c>
      <c r="I2074" s="9">
        <f>IF(AND($G2074&lt;&gt;"",ISNUMBER(SEARCH('Nr rejestracyjny'!$F$5,$G2074))),COUNT($I$1:I2073)+1,"")</f>
        <v>0</v>
      </c>
    </row>
    <row r="2075" spans="6:9">
      <c r="F2075" s="7">
        <f>IF('W rejestracji'!$C$2082="","",'W rejestracji'!$C$2082)</f>
        <v>0</v>
      </c>
      <c r="G2075" s="7">
        <f>IF(Zarejestrowane!$C$2082="","",Zarejestrowane!$C$2082)</f>
        <v>0</v>
      </c>
      <c r="H2075" s="9">
        <f>IF(AND($F2075&lt;&gt;"",ISNUMBER(SEARCH('Nr rejestracyjny'!$F$5,$F2075))),COUNT($H$1:H2074)+1,"")</f>
        <v>0</v>
      </c>
      <c r="I2075" s="9">
        <f>IF(AND($G2075&lt;&gt;"",ISNUMBER(SEARCH('Nr rejestracyjny'!$F$5,$G2075))),COUNT($I$1:I2074)+1,"")</f>
        <v>0</v>
      </c>
    </row>
    <row r="2076" spans="6:9">
      <c r="F2076" s="7">
        <f>IF('W rejestracji'!$C$2083="","",'W rejestracji'!$C$2083)</f>
        <v>0</v>
      </c>
      <c r="G2076" s="7">
        <f>IF(Zarejestrowane!$C$2083="","",Zarejestrowane!$C$2083)</f>
        <v>0</v>
      </c>
      <c r="H2076" s="9">
        <f>IF(AND($F2076&lt;&gt;"",ISNUMBER(SEARCH('Nr rejestracyjny'!$F$5,$F2076))),COUNT($H$1:H2075)+1,"")</f>
        <v>0</v>
      </c>
      <c r="I2076" s="9">
        <f>IF(AND($G2076&lt;&gt;"",ISNUMBER(SEARCH('Nr rejestracyjny'!$F$5,$G2076))),COUNT($I$1:I2075)+1,"")</f>
        <v>0</v>
      </c>
    </row>
    <row r="2077" spans="6:9">
      <c r="F2077" s="7">
        <f>IF('W rejestracji'!$C$2084="","",'W rejestracji'!$C$2084)</f>
        <v>0</v>
      </c>
      <c r="G2077" s="7">
        <f>IF(Zarejestrowane!$C$2084="","",Zarejestrowane!$C$2084)</f>
        <v>0</v>
      </c>
      <c r="H2077" s="9">
        <f>IF(AND($F2077&lt;&gt;"",ISNUMBER(SEARCH('Nr rejestracyjny'!$F$5,$F2077))),COUNT($H$1:H2076)+1,"")</f>
        <v>0</v>
      </c>
      <c r="I2077" s="9">
        <f>IF(AND($G2077&lt;&gt;"",ISNUMBER(SEARCH('Nr rejestracyjny'!$F$5,$G2077))),COUNT($I$1:I2076)+1,"")</f>
        <v>0</v>
      </c>
    </row>
    <row r="2078" spans="6:9">
      <c r="F2078" s="7">
        <f>IF('W rejestracji'!$C$2085="","",'W rejestracji'!$C$2085)</f>
        <v>0</v>
      </c>
      <c r="G2078" s="7">
        <f>IF(Zarejestrowane!$C$2085="","",Zarejestrowane!$C$2085)</f>
        <v>0</v>
      </c>
      <c r="H2078" s="9">
        <f>IF(AND($F2078&lt;&gt;"",ISNUMBER(SEARCH('Nr rejestracyjny'!$F$5,$F2078))),COUNT($H$1:H2077)+1,"")</f>
        <v>0</v>
      </c>
      <c r="I2078" s="9">
        <f>IF(AND($G2078&lt;&gt;"",ISNUMBER(SEARCH('Nr rejestracyjny'!$F$5,$G2078))),COUNT($I$1:I2077)+1,"")</f>
        <v>0</v>
      </c>
    </row>
    <row r="2079" spans="6:9">
      <c r="F2079" s="7">
        <f>IF('W rejestracji'!$C$2086="","",'W rejestracji'!$C$2086)</f>
        <v>0</v>
      </c>
      <c r="G2079" s="7">
        <f>IF(Zarejestrowane!$C$2086="","",Zarejestrowane!$C$2086)</f>
        <v>0</v>
      </c>
      <c r="H2079" s="9">
        <f>IF(AND($F2079&lt;&gt;"",ISNUMBER(SEARCH('Nr rejestracyjny'!$F$5,$F2079))),COUNT($H$1:H2078)+1,"")</f>
        <v>0</v>
      </c>
      <c r="I2079" s="9">
        <f>IF(AND($G2079&lt;&gt;"",ISNUMBER(SEARCH('Nr rejestracyjny'!$F$5,$G2079))),COUNT($I$1:I2078)+1,"")</f>
        <v>0</v>
      </c>
    </row>
    <row r="2080" spans="6:9">
      <c r="F2080" s="7">
        <f>IF('W rejestracji'!$C$2087="","",'W rejestracji'!$C$2087)</f>
        <v>0</v>
      </c>
      <c r="G2080" s="7">
        <f>IF(Zarejestrowane!$C$2087="","",Zarejestrowane!$C$2087)</f>
        <v>0</v>
      </c>
      <c r="H2080" s="9">
        <f>IF(AND($F2080&lt;&gt;"",ISNUMBER(SEARCH('Nr rejestracyjny'!$F$5,$F2080))),COUNT($H$1:H2079)+1,"")</f>
        <v>0</v>
      </c>
      <c r="I2080" s="9">
        <f>IF(AND($G2080&lt;&gt;"",ISNUMBER(SEARCH('Nr rejestracyjny'!$F$5,$G2080))),COUNT($I$1:I2079)+1,"")</f>
        <v>0</v>
      </c>
    </row>
    <row r="2081" spans="6:9">
      <c r="F2081" s="7">
        <f>IF('W rejestracji'!$C$2088="","",'W rejestracji'!$C$2088)</f>
        <v>0</v>
      </c>
      <c r="G2081" s="7">
        <f>IF(Zarejestrowane!$C$2088="","",Zarejestrowane!$C$2088)</f>
        <v>0</v>
      </c>
      <c r="H2081" s="9">
        <f>IF(AND($F2081&lt;&gt;"",ISNUMBER(SEARCH('Nr rejestracyjny'!$F$5,$F2081))),COUNT($H$1:H2080)+1,"")</f>
        <v>0</v>
      </c>
      <c r="I2081" s="9">
        <f>IF(AND($G2081&lt;&gt;"",ISNUMBER(SEARCH('Nr rejestracyjny'!$F$5,$G2081))),COUNT($I$1:I2080)+1,"")</f>
        <v>0</v>
      </c>
    </row>
    <row r="2082" spans="6:9">
      <c r="F2082" s="7">
        <f>IF('W rejestracji'!$C$2089="","",'W rejestracji'!$C$2089)</f>
        <v>0</v>
      </c>
      <c r="G2082" s="7">
        <f>IF(Zarejestrowane!$C$2089="","",Zarejestrowane!$C$2089)</f>
        <v>0</v>
      </c>
      <c r="H2082" s="9">
        <f>IF(AND($F2082&lt;&gt;"",ISNUMBER(SEARCH('Nr rejestracyjny'!$F$5,$F2082))),COUNT($H$1:H2081)+1,"")</f>
        <v>0</v>
      </c>
      <c r="I2082" s="9">
        <f>IF(AND($G2082&lt;&gt;"",ISNUMBER(SEARCH('Nr rejestracyjny'!$F$5,$G2082))),COUNT($I$1:I2081)+1,"")</f>
        <v>0</v>
      </c>
    </row>
    <row r="2083" spans="6:9">
      <c r="F2083" s="7">
        <f>IF('W rejestracji'!$C$2090="","",'W rejestracji'!$C$2090)</f>
        <v>0</v>
      </c>
      <c r="G2083" s="7">
        <f>IF(Zarejestrowane!$C$2090="","",Zarejestrowane!$C$2090)</f>
        <v>0</v>
      </c>
      <c r="H2083" s="9">
        <f>IF(AND($F2083&lt;&gt;"",ISNUMBER(SEARCH('Nr rejestracyjny'!$F$5,$F2083))),COUNT($H$1:H2082)+1,"")</f>
        <v>0</v>
      </c>
      <c r="I2083" s="9">
        <f>IF(AND($G2083&lt;&gt;"",ISNUMBER(SEARCH('Nr rejestracyjny'!$F$5,$G2083))),COUNT($I$1:I2082)+1,"")</f>
        <v>0</v>
      </c>
    </row>
    <row r="2084" spans="6:9">
      <c r="F2084" s="7">
        <f>IF('W rejestracji'!$C$2091="","",'W rejestracji'!$C$2091)</f>
        <v>0</v>
      </c>
      <c r="G2084" s="7">
        <f>IF(Zarejestrowane!$C$2091="","",Zarejestrowane!$C$2091)</f>
        <v>0</v>
      </c>
      <c r="H2084" s="9">
        <f>IF(AND($F2084&lt;&gt;"",ISNUMBER(SEARCH('Nr rejestracyjny'!$F$5,$F2084))),COUNT($H$1:H2083)+1,"")</f>
        <v>0</v>
      </c>
      <c r="I2084" s="9">
        <f>IF(AND($G2084&lt;&gt;"",ISNUMBER(SEARCH('Nr rejestracyjny'!$F$5,$G2084))),COUNT($I$1:I2083)+1,"")</f>
        <v>0</v>
      </c>
    </row>
    <row r="2085" spans="6:9">
      <c r="F2085" s="7">
        <f>IF('W rejestracji'!$C$2092="","",'W rejestracji'!$C$2092)</f>
        <v>0</v>
      </c>
      <c r="G2085" s="7">
        <f>IF(Zarejestrowane!$C$2092="","",Zarejestrowane!$C$2092)</f>
        <v>0</v>
      </c>
      <c r="H2085" s="9">
        <f>IF(AND($F2085&lt;&gt;"",ISNUMBER(SEARCH('Nr rejestracyjny'!$F$5,$F2085))),COUNT($H$1:H2084)+1,"")</f>
        <v>0</v>
      </c>
      <c r="I2085" s="9">
        <f>IF(AND($G2085&lt;&gt;"",ISNUMBER(SEARCH('Nr rejestracyjny'!$F$5,$G2085))),COUNT($I$1:I2084)+1,"")</f>
        <v>0</v>
      </c>
    </row>
    <row r="2086" spans="6:9">
      <c r="F2086" s="7">
        <f>IF('W rejestracji'!$C$2093="","",'W rejestracji'!$C$2093)</f>
        <v>0</v>
      </c>
      <c r="G2086" s="7">
        <f>IF(Zarejestrowane!$C$2093="","",Zarejestrowane!$C$2093)</f>
        <v>0</v>
      </c>
      <c r="H2086" s="9">
        <f>IF(AND($F2086&lt;&gt;"",ISNUMBER(SEARCH('Nr rejestracyjny'!$F$5,$F2086))),COUNT($H$1:H2085)+1,"")</f>
        <v>0</v>
      </c>
      <c r="I2086" s="9">
        <f>IF(AND($G2086&lt;&gt;"",ISNUMBER(SEARCH('Nr rejestracyjny'!$F$5,$G2086))),COUNT($I$1:I2085)+1,"")</f>
        <v>0</v>
      </c>
    </row>
    <row r="2087" spans="6:9">
      <c r="F2087" s="7">
        <f>IF('W rejestracji'!$C$2094="","",'W rejestracji'!$C$2094)</f>
        <v>0</v>
      </c>
      <c r="G2087" s="7">
        <f>IF(Zarejestrowane!$C$2094="","",Zarejestrowane!$C$2094)</f>
        <v>0</v>
      </c>
      <c r="H2087" s="9">
        <f>IF(AND($F2087&lt;&gt;"",ISNUMBER(SEARCH('Nr rejestracyjny'!$F$5,$F2087))),COUNT($H$1:H2086)+1,"")</f>
        <v>0</v>
      </c>
      <c r="I2087" s="9">
        <f>IF(AND($G2087&lt;&gt;"",ISNUMBER(SEARCH('Nr rejestracyjny'!$F$5,$G2087))),COUNT($I$1:I2086)+1,"")</f>
        <v>0</v>
      </c>
    </row>
    <row r="2088" spans="6:9">
      <c r="F2088" s="7">
        <f>IF('W rejestracji'!$C$2095="","",'W rejestracji'!$C$2095)</f>
        <v>0</v>
      </c>
      <c r="G2088" s="7">
        <f>IF(Zarejestrowane!$C$2095="","",Zarejestrowane!$C$2095)</f>
        <v>0</v>
      </c>
      <c r="H2088" s="9">
        <f>IF(AND($F2088&lt;&gt;"",ISNUMBER(SEARCH('Nr rejestracyjny'!$F$5,$F2088))),COUNT($H$1:H2087)+1,"")</f>
        <v>0</v>
      </c>
      <c r="I2088" s="9">
        <f>IF(AND($G2088&lt;&gt;"",ISNUMBER(SEARCH('Nr rejestracyjny'!$F$5,$G2088))),COUNT($I$1:I2087)+1,"")</f>
        <v>0</v>
      </c>
    </row>
    <row r="2089" spans="6:9">
      <c r="F2089" s="7">
        <f>IF('W rejestracji'!$C$2096="","",'W rejestracji'!$C$2096)</f>
        <v>0</v>
      </c>
      <c r="G2089" s="7">
        <f>IF(Zarejestrowane!$C$2096="","",Zarejestrowane!$C$2096)</f>
        <v>0</v>
      </c>
      <c r="H2089" s="9">
        <f>IF(AND($F2089&lt;&gt;"",ISNUMBER(SEARCH('Nr rejestracyjny'!$F$5,$F2089))),COUNT($H$1:H2088)+1,"")</f>
        <v>0</v>
      </c>
      <c r="I2089" s="9">
        <f>IF(AND($G2089&lt;&gt;"",ISNUMBER(SEARCH('Nr rejestracyjny'!$F$5,$G2089))),COUNT($I$1:I2088)+1,"")</f>
        <v>0</v>
      </c>
    </row>
    <row r="2090" spans="6:9">
      <c r="F2090" s="7">
        <f>IF('W rejestracji'!$C$2097="","",'W rejestracji'!$C$2097)</f>
        <v>0</v>
      </c>
      <c r="G2090" s="7">
        <f>IF(Zarejestrowane!$C$2097="","",Zarejestrowane!$C$2097)</f>
        <v>0</v>
      </c>
      <c r="H2090" s="9">
        <f>IF(AND($F2090&lt;&gt;"",ISNUMBER(SEARCH('Nr rejestracyjny'!$F$5,$F2090))),COUNT($H$1:H2089)+1,"")</f>
        <v>0</v>
      </c>
      <c r="I2090" s="9">
        <f>IF(AND($G2090&lt;&gt;"",ISNUMBER(SEARCH('Nr rejestracyjny'!$F$5,$G2090))),COUNT($I$1:I2089)+1,"")</f>
        <v>0</v>
      </c>
    </row>
    <row r="2091" spans="6:9">
      <c r="F2091" s="7">
        <f>IF('W rejestracji'!$C$2098="","",'W rejestracji'!$C$2098)</f>
        <v>0</v>
      </c>
      <c r="G2091" s="7">
        <f>IF(Zarejestrowane!$C$2098="","",Zarejestrowane!$C$2098)</f>
        <v>0</v>
      </c>
      <c r="H2091" s="9">
        <f>IF(AND($F2091&lt;&gt;"",ISNUMBER(SEARCH('Nr rejestracyjny'!$F$5,$F2091))),COUNT($H$1:H2090)+1,"")</f>
        <v>0</v>
      </c>
      <c r="I2091" s="9">
        <f>IF(AND($G2091&lt;&gt;"",ISNUMBER(SEARCH('Nr rejestracyjny'!$F$5,$G2091))),COUNT($I$1:I2090)+1,"")</f>
        <v>0</v>
      </c>
    </row>
    <row r="2092" spans="6:9">
      <c r="F2092" s="7">
        <f>IF('W rejestracji'!$C$2099="","",'W rejestracji'!$C$2099)</f>
        <v>0</v>
      </c>
      <c r="G2092" s="7">
        <f>IF(Zarejestrowane!$C$2099="","",Zarejestrowane!$C$2099)</f>
        <v>0</v>
      </c>
      <c r="H2092" s="9">
        <f>IF(AND($F2092&lt;&gt;"",ISNUMBER(SEARCH('Nr rejestracyjny'!$F$5,$F2092))),COUNT($H$1:H2091)+1,"")</f>
        <v>0</v>
      </c>
      <c r="I2092" s="9">
        <f>IF(AND($G2092&lt;&gt;"",ISNUMBER(SEARCH('Nr rejestracyjny'!$F$5,$G2092))),COUNT($I$1:I2091)+1,"")</f>
        <v>0</v>
      </c>
    </row>
    <row r="2093" spans="6:9">
      <c r="F2093" s="7">
        <f>IF('W rejestracji'!$C$2100="","",'W rejestracji'!$C$2100)</f>
        <v>0</v>
      </c>
      <c r="G2093" s="7">
        <f>IF(Zarejestrowane!$C$2100="","",Zarejestrowane!$C$2100)</f>
        <v>0</v>
      </c>
      <c r="H2093" s="9">
        <f>IF(AND($F2093&lt;&gt;"",ISNUMBER(SEARCH('Nr rejestracyjny'!$F$5,$F2093))),COUNT($H$1:H2092)+1,"")</f>
        <v>0</v>
      </c>
      <c r="I2093" s="9">
        <f>IF(AND($G2093&lt;&gt;"",ISNUMBER(SEARCH('Nr rejestracyjny'!$F$5,$G2093))),COUNT($I$1:I2092)+1,"")</f>
        <v>0</v>
      </c>
    </row>
    <row r="2094" spans="6:9">
      <c r="F2094" s="7">
        <f>IF('W rejestracji'!$C$2101="","",'W rejestracji'!$C$2101)</f>
        <v>0</v>
      </c>
      <c r="G2094" s="7">
        <f>IF(Zarejestrowane!$C$2101="","",Zarejestrowane!$C$2101)</f>
        <v>0</v>
      </c>
      <c r="H2094" s="9">
        <f>IF(AND($F2094&lt;&gt;"",ISNUMBER(SEARCH('Nr rejestracyjny'!$F$5,$F2094))),COUNT($H$1:H2093)+1,"")</f>
        <v>0</v>
      </c>
      <c r="I2094" s="9">
        <f>IF(AND($G2094&lt;&gt;"",ISNUMBER(SEARCH('Nr rejestracyjny'!$F$5,$G2094))),COUNT($I$1:I2093)+1,"")</f>
        <v>0</v>
      </c>
    </row>
    <row r="2095" spans="6:9">
      <c r="F2095" s="7">
        <f>IF('W rejestracji'!$C$2102="","",'W rejestracji'!$C$2102)</f>
        <v>0</v>
      </c>
      <c r="G2095" s="7">
        <f>IF(Zarejestrowane!$C$2102="","",Zarejestrowane!$C$2102)</f>
        <v>0</v>
      </c>
      <c r="H2095" s="9">
        <f>IF(AND($F2095&lt;&gt;"",ISNUMBER(SEARCH('Nr rejestracyjny'!$F$5,$F2095))),COUNT($H$1:H2094)+1,"")</f>
        <v>0</v>
      </c>
      <c r="I2095" s="9">
        <f>IF(AND($G2095&lt;&gt;"",ISNUMBER(SEARCH('Nr rejestracyjny'!$F$5,$G2095))),COUNT($I$1:I2094)+1,"")</f>
        <v>0</v>
      </c>
    </row>
    <row r="2096" spans="6:9">
      <c r="F2096" s="7">
        <f>IF('W rejestracji'!$C$2103="","",'W rejestracji'!$C$2103)</f>
        <v>0</v>
      </c>
      <c r="G2096" s="7">
        <f>IF(Zarejestrowane!$C$2103="","",Zarejestrowane!$C$2103)</f>
        <v>0</v>
      </c>
      <c r="H2096" s="9">
        <f>IF(AND($F2096&lt;&gt;"",ISNUMBER(SEARCH('Nr rejestracyjny'!$F$5,$F2096))),COUNT($H$1:H2095)+1,"")</f>
        <v>0</v>
      </c>
      <c r="I2096" s="9">
        <f>IF(AND($G2096&lt;&gt;"",ISNUMBER(SEARCH('Nr rejestracyjny'!$F$5,$G2096))),COUNT($I$1:I2095)+1,"")</f>
        <v>0</v>
      </c>
    </row>
    <row r="2097" spans="6:9">
      <c r="F2097" s="7">
        <f>IF('W rejestracji'!$C$2104="","",'W rejestracji'!$C$2104)</f>
        <v>0</v>
      </c>
      <c r="G2097" s="7">
        <f>IF(Zarejestrowane!$C$2104="","",Zarejestrowane!$C$2104)</f>
        <v>0</v>
      </c>
      <c r="H2097" s="9">
        <f>IF(AND($F2097&lt;&gt;"",ISNUMBER(SEARCH('Nr rejestracyjny'!$F$5,$F2097))),COUNT($H$1:H2096)+1,"")</f>
        <v>0</v>
      </c>
      <c r="I2097" s="9">
        <f>IF(AND($G2097&lt;&gt;"",ISNUMBER(SEARCH('Nr rejestracyjny'!$F$5,$G2097))),COUNT($I$1:I2096)+1,"")</f>
        <v>0</v>
      </c>
    </row>
    <row r="2098" spans="6:9">
      <c r="F2098" s="7">
        <f>IF('W rejestracji'!$C$2105="","",'W rejestracji'!$C$2105)</f>
        <v>0</v>
      </c>
      <c r="G2098" s="7">
        <f>IF(Zarejestrowane!$C$2105="","",Zarejestrowane!$C$2105)</f>
        <v>0</v>
      </c>
      <c r="H2098" s="9">
        <f>IF(AND($F2098&lt;&gt;"",ISNUMBER(SEARCH('Nr rejestracyjny'!$F$5,$F2098))),COUNT($H$1:H2097)+1,"")</f>
        <v>0</v>
      </c>
      <c r="I2098" s="9">
        <f>IF(AND($G2098&lt;&gt;"",ISNUMBER(SEARCH('Nr rejestracyjny'!$F$5,$G2098))),COUNT($I$1:I2097)+1,"")</f>
        <v>0</v>
      </c>
    </row>
    <row r="2099" spans="6:9">
      <c r="F2099" s="7">
        <f>IF('W rejestracji'!$C$2106="","",'W rejestracji'!$C$2106)</f>
        <v>0</v>
      </c>
      <c r="G2099" s="7">
        <f>IF(Zarejestrowane!$C$2106="","",Zarejestrowane!$C$2106)</f>
        <v>0</v>
      </c>
      <c r="H2099" s="9">
        <f>IF(AND($F2099&lt;&gt;"",ISNUMBER(SEARCH('Nr rejestracyjny'!$F$5,$F2099))),COUNT($H$1:H2098)+1,"")</f>
        <v>0</v>
      </c>
      <c r="I2099" s="9">
        <f>IF(AND($G2099&lt;&gt;"",ISNUMBER(SEARCH('Nr rejestracyjny'!$F$5,$G2099))),COUNT($I$1:I2098)+1,"")</f>
        <v>0</v>
      </c>
    </row>
    <row r="2100" spans="6:9">
      <c r="F2100" s="7">
        <f>IF('W rejestracji'!$C$2107="","",'W rejestracji'!$C$2107)</f>
        <v>0</v>
      </c>
      <c r="G2100" s="7">
        <f>IF(Zarejestrowane!$C$2107="","",Zarejestrowane!$C$2107)</f>
        <v>0</v>
      </c>
      <c r="H2100" s="9">
        <f>IF(AND($F2100&lt;&gt;"",ISNUMBER(SEARCH('Nr rejestracyjny'!$F$5,$F2100))),COUNT($H$1:H2099)+1,"")</f>
        <v>0</v>
      </c>
      <c r="I2100" s="9">
        <f>IF(AND($G2100&lt;&gt;"",ISNUMBER(SEARCH('Nr rejestracyjny'!$F$5,$G2100))),COUNT($I$1:I2099)+1,"")</f>
        <v>0</v>
      </c>
    </row>
    <row r="2101" spans="6:9">
      <c r="F2101" s="7">
        <f>IF('W rejestracji'!$C$2108="","",'W rejestracji'!$C$2108)</f>
        <v>0</v>
      </c>
      <c r="G2101" s="7">
        <f>IF(Zarejestrowane!$C$2108="","",Zarejestrowane!$C$2108)</f>
        <v>0</v>
      </c>
      <c r="H2101" s="9">
        <f>IF(AND($F2101&lt;&gt;"",ISNUMBER(SEARCH('Nr rejestracyjny'!$F$5,$F2101))),COUNT($H$1:H2100)+1,"")</f>
        <v>0</v>
      </c>
      <c r="I2101" s="9">
        <f>IF(AND($G2101&lt;&gt;"",ISNUMBER(SEARCH('Nr rejestracyjny'!$F$5,$G2101))),COUNT($I$1:I2100)+1,"")</f>
        <v>0</v>
      </c>
    </row>
    <row r="2102" spans="6:9">
      <c r="F2102" s="7">
        <f>IF('W rejestracji'!$C$2109="","",'W rejestracji'!$C$2109)</f>
        <v>0</v>
      </c>
      <c r="G2102" s="7">
        <f>IF(Zarejestrowane!$C$2109="","",Zarejestrowane!$C$2109)</f>
        <v>0</v>
      </c>
      <c r="H2102" s="9">
        <f>IF(AND($F2102&lt;&gt;"",ISNUMBER(SEARCH('Nr rejestracyjny'!$F$5,$F2102))),COUNT($H$1:H2101)+1,"")</f>
        <v>0</v>
      </c>
      <c r="I2102" s="9">
        <f>IF(AND($G2102&lt;&gt;"",ISNUMBER(SEARCH('Nr rejestracyjny'!$F$5,$G2102))),COUNT($I$1:I2101)+1,"")</f>
        <v>0</v>
      </c>
    </row>
    <row r="2103" spans="6:9">
      <c r="F2103" s="7">
        <f>IF('W rejestracji'!$C$2110="","",'W rejestracji'!$C$2110)</f>
        <v>0</v>
      </c>
      <c r="G2103" s="7">
        <f>IF(Zarejestrowane!$C$2110="","",Zarejestrowane!$C$2110)</f>
        <v>0</v>
      </c>
      <c r="H2103" s="9">
        <f>IF(AND($F2103&lt;&gt;"",ISNUMBER(SEARCH('Nr rejestracyjny'!$F$5,$F2103))),COUNT($H$1:H2102)+1,"")</f>
        <v>0</v>
      </c>
      <c r="I2103" s="9">
        <f>IF(AND($G2103&lt;&gt;"",ISNUMBER(SEARCH('Nr rejestracyjny'!$F$5,$G2103))),COUNT($I$1:I2102)+1,"")</f>
        <v>0</v>
      </c>
    </row>
    <row r="2104" spans="6:9">
      <c r="F2104" s="7">
        <f>IF('W rejestracji'!$C$2111="","",'W rejestracji'!$C$2111)</f>
        <v>0</v>
      </c>
      <c r="G2104" s="7">
        <f>IF(Zarejestrowane!$C$2111="","",Zarejestrowane!$C$2111)</f>
        <v>0</v>
      </c>
      <c r="H2104" s="9">
        <f>IF(AND($F2104&lt;&gt;"",ISNUMBER(SEARCH('Nr rejestracyjny'!$F$5,$F2104))),COUNT($H$1:H2103)+1,"")</f>
        <v>0</v>
      </c>
      <c r="I2104" s="9">
        <f>IF(AND($G2104&lt;&gt;"",ISNUMBER(SEARCH('Nr rejestracyjny'!$F$5,$G2104))),COUNT($I$1:I2103)+1,"")</f>
        <v>0</v>
      </c>
    </row>
    <row r="2105" spans="6:9">
      <c r="F2105" s="7">
        <f>IF('W rejestracji'!$C$2112="","",'W rejestracji'!$C$2112)</f>
        <v>0</v>
      </c>
      <c r="G2105" s="7">
        <f>IF(Zarejestrowane!$C$2112="","",Zarejestrowane!$C$2112)</f>
        <v>0</v>
      </c>
      <c r="H2105" s="9">
        <f>IF(AND($F2105&lt;&gt;"",ISNUMBER(SEARCH('Nr rejestracyjny'!$F$5,$F2105))),COUNT($H$1:H2104)+1,"")</f>
        <v>0</v>
      </c>
      <c r="I2105" s="9">
        <f>IF(AND($G2105&lt;&gt;"",ISNUMBER(SEARCH('Nr rejestracyjny'!$F$5,$G2105))),COUNT($I$1:I2104)+1,"")</f>
        <v>0</v>
      </c>
    </row>
    <row r="2106" spans="6:9">
      <c r="F2106" s="7">
        <f>IF('W rejestracji'!$C$2113="","",'W rejestracji'!$C$2113)</f>
        <v>0</v>
      </c>
      <c r="G2106" s="7">
        <f>IF(Zarejestrowane!$C$2113="","",Zarejestrowane!$C$2113)</f>
        <v>0</v>
      </c>
      <c r="H2106" s="9">
        <f>IF(AND($F2106&lt;&gt;"",ISNUMBER(SEARCH('Nr rejestracyjny'!$F$5,$F2106))),COUNT($H$1:H2105)+1,"")</f>
        <v>0</v>
      </c>
      <c r="I2106" s="9">
        <f>IF(AND($G2106&lt;&gt;"",ISNUMBER(SEARCH('Nr rejestracyjny'!$F$5,$G2106))),COUNT($I$1:I2105)+1,"")</f>
        <v>0</v>
      </c>
    </row>
    <row r="2107" spans="6:9">
      <c r="F2107" s="7">
        <f>IF('W rejestracji'!$C$2114="","",'W rejestracji'!$C$2114)</f>
        <v>0</v>
      </c>
      <c r="G2107" s="7">
        <f>IF(Zarejestrowane!$C$2114="","",Zarejestrowane!$C$2114)</f>
        <v>0</v>
      </c>
      <c r="H2107" s="9">
        <f>IF(AND($F2107&lt;&gt;"",ISNUMBER(SEARCH('Nr rejestracyjny'!$F$5,$F2107))),COUNT($H$1:H2106)+1,"")</f>
        <v>0</v>
      </c>
      <c r="I2107" s="9">
        <f>IF(AND($G2107&lt;&gt;"",ISNUMBER(SEARCH('Nr rejestracyjny'!$F$5,$G2107))),COUNT($I$1:I2106)+1,"")</f>
        <v>0</v>
      </c>
    </row>
    <row r="2108" spans="6:9">
      <c r="F2108" s="7">
        <f>IF('W rejestracji'!$C$2115="","",'W rejestracji'!$C$2115)</f>
        <v>0</v>
      </c>
      <c r="G2108" s="7">
        <f>IF(Zarejestrowane!$C$2115="","",Zarejestrowane!$C$2115)</f>
        <v>0</v>
      </c>
      <c r="H2108" s="9">
        <f>IF(AND($F2108&lt;&gt;"",ISNUMBER(SEARCH('Nr rejestracyjny'!$F$5,$F2108))),COUNT($H$1:H2107)+1,"")</f>
        <v>0</v>
      </c>
      <c r="I2108" s="9">
        <f>IF(AND($G2108&lt;&gt;"",ISNUMBER(SEARCH('Nr rejestracyjny'!$F$5,$G2108))),COUNT($I$1:I2107)+1,"")</f>
        <v>0</v>
      </c>
    </row>
    <row r="2109" spans="6:9">
      <c r="F2109" s="7">
        <f>IF('W rejestracji'!$C$2116="","",'W rejestracji'!$C$2116)</f>
        <v>0</v>
      </c>
      <c r="G2109" s="7">
        <f>IF(Zarejestrowane!$C$2116="","",Zarejestrowane!$C$2116)</f>
        <v>0</v>
      </c>
      <c r="H2109" s="9">
        <f>IF(AND($F2109&lt;&gt;"",ISNUMBER(SEARCH('Nr rejestracyjny'!$F$5,$F2109))),COUNT($H$1:H2108)+1,"")</f>
        <v>0</v>
      </c>
      <c r="I2109" s="9">
        <f>IF(AND($G2109&lt;&gt;"",ISNUMBER(SEARCH('Nr rejestracyjny'!$F$5,$G2109))),COUNT($I$1:I2108)+1,"")</f>
        <v>0</v>
      </c>
    </row>
    <row r="2110" spans="6:9">
      <c r="F2110" s="7">
        <f>IF('W rejestracji'!$C$2117="","",'W rejestracji'!$C$2117)</f>
        <v>0</v>
      </c>
      <c r="G2110" s="7">
        <f>IF(Zarejestrowane!$C$2117="","",Zarejestrowane!$C$2117)</f>
        <v>0</v>
      </c>
      <c r="H2110" s="9">
        <f>IF(AND($F2110&lt;&gt;"",ISNUMBER(SEARCH('Nr rejestracyjny'!$F$5,$F2110))),COUNT($H$1:H2109)+1,"")</f>
        <v>0</v>
      </c>
      <c r="I2110" s="9">
        <f>IF(AND($G2110&lt;&gt;"",ISNUMBER(SEARCH('Nr rejestracyjny'!$F$5,$G2110))),COUNT($I$1:I2109)+1,"")</f>
        <v>0</v>
      </c>
    </row>
    <row r="2111" spans="6:9">
      <c r="F2111" s="7">
        <f>IF('W rejestracji'!$C$2118="","",'W rejestracji'!$C$2118)</f>
        <v>0</v>
      </c>
      <c r="G2111" s="7">
        <f>IF(Zarejestrowane!$C$2118="","",Zarejestrowane!$C$2118)</f>
        <v>0</v>
      </c>
      <c r="H2111" s="9">
        <f>IF(AND($F2111&lt;&gt;"",ISNUMBER(SEARCH('Nr rejestracyjny'!$F$5,$F2111))),COUNT($H$1:H2110)+1,"")</f>
        <v>0</v>
      </c>
      <c r="I2111" s="9">
        <f>IF(AND($G2111&lt;&gt;"",ISNUMBER(SEARCH('Nr rejestracyjny'!$F$5,$G2111))),COUNT($I$1:I2110)+1,"")</f>
        <v>0</v>
      </c>
    </row>
    <row r="2112" spans="6:9">
      <c r="F2112" s="7">
        <f>IF('W rejestracji'!$C$2119="","",'W rejestracji'!$C$2119)</f>
        <v>0</v>
      </c>
      <c r="G2112" s="7">
        <f>IF(Zarejestrowane!$C$2119="","",Zarejestrowane!$C$2119)</f>
        <v>0</v>
      </c>
      <c r="H2112" s="9">
        <f>IF(AND($F2112&lt;&gt;"",ISNUMBER(SEARCH('Nr rejestracyjny'!$F$5,$F2112))),COUNT($H$1:H2111)+1,"")</f>
        <v>0</v>
      </c>
      <c r="I2112" s="9">
        <f>IF(AND($G2112&lt;&gt;"",ISNUMBER(SEARCH('Nr rejestracyjny'!$F$5,$G2112))),COUNT($I$1:I2111)+1,"")</f>
        <v>0</v>
      </c>
    </row>
    <row r="2113" spans="6:9">
      <c r="F2113" s="7">
        <f>IF('W rejestracji'!$C$2120="","",'W rejestracji'!$C$2120)</f>
        <v>0</v>
      </c>
      <c r="G2113" s="7">
        <f>IF(Zarejestrowane!$C$2120="","",Zarejestrowane!$C$2120)</f>
        <v>0</v>
      </c>
      <c r="H2113" s="9">
        <f>IF(AND($F2113&lt;&gt;"",ISNUMBER(SEARCH('Nr rejestracyjny'!$F$5,$F2113))),COUNT($H$1:H2112)+1,"")</f>
        <v>0</v>
      </c>
      <c r="I2113" s="9">
        <f>IF(AND($G2113&lt;&gt;"",ISNUMBER(SEARCH('Nr rejestracyjny'!$F$5,$G2113))),COUNT($I$1:I2112)+1,"")</f>
        <v>0</v>
      </c>
    </row>
    <row r="2114" spans="6:9">
      <c r="F2114" s="7">
        <f>IF('W rejestracji'!$C$2121="","",'W rejestracji'!$C$2121)</f>
        <v>0</v>
      </c>
      <c r="G2114" s="7">
        <f>IF(Zarejestrowane!$C$2121="","",Zarejestrowane!$C$2121)</f>
        <v>0</v>
      </c>
      <c r="H2114" s="9">
        <f>IF(AND($F2114&lt;&gt;"",ISNUMBER(SEARCH('Nr rejestracyjny'!$F$5,$F2114))),COUNT($H$1:H2113)+1,"")</f>
        <v>0</v>
      </c>
      <c r="I2114" s="9">
        <f>IF(AND($G2114&lt;&gt;"",ISNUMBER(SEARCH('Nr rejestracyjny'!$F$5,$G2114))),COUNT($I$1:I2113)+1,"")</f>
        <v>0</v>
      </c>
    </row>
    <row r="2115" spans="6:9">
      <c r="F2115" s="7">
        <f>IF('W rejestracji'!$C$2122="","",'W rejestracji'!$C$2122)</f>
        <v>0</v>
      </c>
      <c r="G2115" s="7">
        <f>IF(Zarejestrowane!$C$2122="","",Zarejestrowane!$C$2122)</f>
        <v>0</v>
      </c>
      <c r="H2115" s="9">
        <f>IF(AND($F2115&lt;&gt;"",ISNUMBER(SEARCH('Nr rejestracyjny'!$F$5,$F2115))),COUNT($H$1:H2114)+1,"")</f>
        <v>0</v>
      </c>
      <c r="I2115" s="9">
        <f>IF(AND($G2115&lt;&gt;"",ISNUMBER(SEARCH('Nr rejestracyjny'!$F$5,$G2115))),COUNT($I$1:I2114)+1,"")</f>
        <v>0</v>
      </c>
    </row>
    <row r="2116" spans="6:9">
      <c r="F2116" s="7">
        <f>IF('W rejestracji'!$C$2123="","",'W rejestracji'!$C$2123)</f>
        <v>0</v>
      </c>
      <c r="G2116" s="7">
        <f>IF(Zarejestrowane!$C$2123="","",Zarejestrowane!$C$2123)</f>
        <v>0</v>
      </c>
      <c r="H2116" s="9">
        <f>IF(AND($F2116&lt;&gt;"",ISNUMBER(SEARCH('Nr rejestracyjny'!$F$5,$F2116))),COUNT($H$1:H2115)+1,"")</f>
        <v>0</v>
      </c>
      <c r="I2116" s="9">
        <f>IF(AND($G2116&lt;&gt;"",ISNUMBER(SEARCH('Nr rejestracyjny'!$F$5,$G2116))),COUNT($I$1:I2115)+1,"")</f>
        <v>0</v>
      </c>
    </row>
    <row r="2117" spans="6:9">
      <c r="F2117" s="7">
        <f>IF('W rejestracji'!$C$2124="","",'W rejestracji'!$C$2124)</f>
        <v>0</v>
      </c>
      <c r="G2117" s="7">
        <f>IF(Zarejestrowane!$C$2124="","",Zarejestrowane!$C$2124)</f>
        <v>0</v>
      </c>
      <c r="H2117" s="9">
        <f>IF(AND($F2117&lt;&gt;"",ISNUMBER(SEARCH('Nr rejestracyjny'!$F$5,$F2117))),COUNT($H$1:H2116)+1,"")</f>
        <v>0</v>
      </c>
      <c r="I2117" s="9">
        <f>IF(AND($G2117&lt;&gt;"",ISNUMBER(SEARCH('Nr rejestracyjny'!$F$5,$G2117))),COUNT($I$1:I2116)+1,"")</f>
        <v>0</v>
      </c>
    </row>
    <row r="2118" spans="6:9">
      <c r="F2118" s="7">
        <f>IF('W rejestracji'!$C$2125="","",'W rejestracji'!$C$2125)</f>
        <v>0</v>
      </c>
      <c r="G2118" s="7">
        <f>IF(Zarejestrowane!$C$2125="","",Zarejestrowane!$C$2125)</f>
        <v>0</v>
      </c>
      <c r="H2118" s="9">
        <f>IF(AND($F2118&lt;&gt;"",ISNUMBER(SEARCH('Nr rejestracyjny'!$F$5,$F2118))),COUNT($H$1:H2117)+1,"")</f>
        <v>0</v>
      </c>
      <c r="I2118" s="9">
        <f>IF(AND($G2118&lt;&gt;"",ISNUMBER(SEARCH('Nr rejestracyjny'!$F$5,$G2118))),COUNT($I$1:I2117)+1,"")</f>
        <v>0</v>
      </c>
    </row>
    <row r="2119" spans="6:9">
      <c r="F2119" s="7">
        <f>IF('W rejestracji'!$C$2126="","",'W rejestracji'!$C$2126)</f>
        <v>0</v>
      </c>
      <c r="G2119" s="7">
        <f>IF(Zarejestrowane!$C$2126="","",Zarejestrowane!$C$2126)</f>
        <v>0</v>
      </c>
      <c r="H2119" s="9">
        <f>IF(AND($F2119&lt;&gt;"",ISNUMBER(SEARCH('Nr rejestracyjny'!$F$5,$F2119))),COUNT($H$1:H2118)+1,"")</f>
        <v>0</v>
      </c>
      <c r="I2119" s="9">
        <f>IF(AND($G2119&lt;&gt;"",ISNUMBER(SEARCH('Nr rejestracyjny'!$F$5,$G2119))),COUNT($I$1:I2118)+1,"")</f>
        <v>0</v>
      </c>
    </row>
    <row r="2120" spans="6:9">
      <c r="F2120" s="7">
        <f>IF('W rejestracji'!$C$2127="","",'W rejestracji'!$C$2127)</f>
        <v>0</v>
      </c>
      <c r="G2120" s="7">
        <f>IF(Zarejestrowane!$C$2127="","",Zarejestrowane!$C$2127)</f>
        <v>0</v>
      </c>
      <c r="H2120" s="9">
        <f>IF(AND($F2120&lt;&gt;"",ISNUMBER(SEARCH('Nr rejestracyjny'!$F$5,$F2120))),COUNT($H$1:H2119)+1,"")</f>
        <v>0</v>
      </c>
      <c r="I2120" s="9">
        <f>IF(AND($G2120&lt;&gt;"",ISNUMBER(SEARCH('Nr rejestracyjny'!$F$5,$G2120))),COUNT($I$1:I2119)+1,"")</f>
        <v>0</v>
      </c>
    </row>
    <row r="2121" spans="6:9">
      <c r="F2121" s="7">
        <f>IF('W rejestracji'!$C$2128="","",'W rejestracji'!$C$2128)</f>
        <v>0</v>
      </c>
      <c r="G2121" s="7">
        <f>IF(Zarejestrowane!$C$2128="","",Zarejestrowane!$C$2128)</f>
        <v>0</v>
      </c>
      <c r="H2121" s="9">
        <f>IF(AND($F2121&lt;&gt;"",ISNUMBER(SEARCH('Nr rejestracyjny'!$F$5,$F2121))),COUNT($H$1:H2120)+1,"")</f>
        <v>0</v>
      </c>
      <c r="I2121" s="9">
        <f>IF(AND($G2121&lt;&gt;"",ISNUMBER(SEARCH('Nr rejestracyjny'!$F$5,$G2121))),COUNT($I$1:I2120)+1,"")</f>
        <v>0</v>
      </c>
    </row>
    <row r="2122" spans="6:9">
      <c r="F2122" s="7">
        <f>IF('W rejestracji'!$C$2129="","",'W rejestracji'!$C$2129)</f>
        <v>0</v>
      </c>
      <c r="G2122" s="7">
        <f>IF(Zarejestrowane!$C$2129="","",Zarejestrowane!$C$2129)</f>
        <v>0</v>
      </c>
      <c r="H2122" s="9">
        <f>IF(AND($F2122&lt;&gt;"",ISNUMBER(SEARCH('Nr rejestracyjny'!$F$5,$F2122))),COUNT($H$1:H2121)+1,"")</f>
        <v>0</v>
      </c>
      <c r="I2122" s="9">
        <f>IF(AND($G2122&lt;&gt;"",ISNUMBER(SEARCH('Nr rejestracyjny'!$F$5,$G2122))),COUNT($I$1:I2121)+1,"")</f>
        <v>0</v>
      </c>
    </row>
    <row r="2123" spans="6:9">
      <c r="F2123" s="7">
        <f>IF('W rejestracji'!$C$2130="","",'W rejestracji'!$C$2130)</f>
        <v>0</v>
      </c>
      <c r="G2123" s="7">
        <f>IF(Zarejestrowane!$C$2130="","",Zarejestrowane!$C$2130)</f>
        <v>0</v>
      </c>
      <c r="H2123" s="9">
        <f>IF(AND($F2123&lt;&gt;"",ISNUMBER(SEARCH('Nr rejestracyjny'!$F$5,$F2123))),COUNT($H$1:H2122)+1,"")</f>
        <v>0</v>
      </c>
      <c r="I2123" s="9">
        <f>IF(AND($G2123&lt;&gt;"",ISNUMBER(SEARCH('Nr rejestracyjny'!$F$5,$G2123))),COUNT($I$1:I2122)+1,"")</f>
        <v>0</v>
      </c>
    </row>
    <row r="2124" spans="6:9">
      <c r="F2124" s="7">
        <f>IF('W rejestracji'!$C$2131="","",'W rejestracji'!$C$2131)</f>
        <v>0</v>
      </c>
      <c r="G2124" s="7">
        <f>IF(Zarejestrowane!$C$2131="","",Zarejestrowane!$C$2131)</f>
        <v>0</v>
      </c>
      <c r="H2124" s="9">
        <f>IF(AND($F2124&lt;&gt;"",ISNUMBER(SEARCH('Nr rejestracyjny'!$F$5,$F2124))),COUNT($H$1:H2123)+1,"")</f>
        <v>0</v>
      </c>
      <c r="I2124" s="9">
        <f>IF(AND($G2124&lt;&gt;"",ISNUMBER(SEARCH('Nr rejestracyjny'!$F$5,$G2124))),COUNT($I$1:I2123)+1,"")</f>
        <v>0</v>
      </c>
    </row>
    <row r="2125" spans="6:9">
      <c r="F2125" s="7">
        <f>IF('W rejestracji'!$C$2132="","",'W rejestracji'!$C$2132)</f>
        <v>0</v>
      </c>
      <c r="G2125" s="7">
        <f>IF(Zarejestrowane!$C$2132="","",Zarejestrowane!$C$2132)</f>
        <v>0</v>
      </c>
      <c r="H2125" s="9">
        <f>IF(AND($F2125&lt;&gt;"",ISNUMBER(SEARCH('Nr rejestracyjny'!$F$5,$F2125))),COUNT($H$1:H2124)+1,"")</f>
        <v>0</v>
      </c>
      <c r="I2125" s="9">
        <f>IF(AND($G2125&lt;&gt;"",ISNUMBER(SEARCH('Nr rejestracyjny'!$F$5,$G2125))),COUNT($I$1:I2124)+1,"")</f>
        <v>0</v>
      </c>
    </row>
    <row r="2126" spans="6:9">
      <c r="F2126" s="7">
        <f>IF('W rejestracji'!$C$2133="","",'W rejestracji'!$C$2133)</f>
        <v>0</v>
      </c>
      <c r="G2126" s="7">
        <f>IF(Zarejestrowane!$C$2133="","",Zarejestrowane!$C$2133)</f>
        <v>0</v>
      </c>
      <c r="H2126" s="9">
        <f>IF(AND($F2126&lt;&gt;"",ISNUMBER(SEARCH('Nr rejestracyjny'!$F$5,$F2126))),COUNT($H$1:H2125)+1,"")</f>
        <v>0</v>
      </c>
      <c r="I2126" s="9">
        <f>IF(AND($G2126&lt;&gt;"",ISNUMBER(SEARCH('Nr rejestracyjny'!$F$5,$G2126))),COUNT($I$1:I2125)+1,"")</f>
        <v>0</v>
      </c>
    </row>
    <row r="2127" spans="6:9">
      <c r="F2127" s="7">
        <f>IF('W rejestracji'!$C$2134="","",'W rejestracji'!$C$2134)</f>
        <v>0</v>
      </c>
      <c r="G2127" s="7">
        <f>IF(Zarejestrowane!$C$2134="","",Zarejestrowane!$C$2134)</f>
        <v>0</v>
      </c>
      <c r="H2127" s="9">
        <f>IF(AND($F2127&lt;&gt;"",ISNUMBER(SEARCH('Nr rejestracyjny'!$F$5,$F2127))),COUNT($H$1:H2126)+1,"")</f>
        <v>0</v>
      </c>
      <c r="I2127" s="9">
        <f>IF(AND($G2127&lt;&gt;"",ISNUMBER(SEARCH('Nr rejestracyjny'!$F$5,$G2127))),COUNT($I$1:I2126)+1,"")</f>
        <v>0</v>
      </c>
    </row>
    <row r="2128" spans="6:9">
      <c r="F2128" s="7">
        <f>IF('W rejestracji'!$C$2135="","",'W rejestracji'!$C$2135)</f>
        <v>0</v>
      </c>
      <c r="G2128" s="7">
        <f>IF(Zarejestrowane!$C$2135="","",Zarejestrowane!$C$2135)</f>
        <v>0</v>
      </c>
      <c r="H2128" s="9">
        <f>IF(AND($F2128&lt;&gt;"",ISNUMBER(SEARCH('Nr rejestracyjny'!$F$5,$F2128))),COUNT($H$1:H2127)+1,"")</f>
        <v>0</v>
      </c>
      <c r="I2128" s="9">
        <f>IF(AND($G2128&lt;&gt;"",ISNUMBER(SEARCH('Nr rejestracyjny'!$F$5,$G2128))),COUNT($I$1:I2127)+1,"")</f>
        <v>0</v>
      </c>
    </row>
    <row r="2129" spans="6:9">
      <c r="F2129" s="7">
        <f>IF('W rejestracji'!$C$2136="","",'W rejestracji'!$C$2136)</f>
        <v>0</v>
      </c>
      <c r="G2129" s="7">
        <f>IF(Zarejestrowane!$C$2136="","",Zarejestrowane!$C$2136)</f>
        <v>0</v>
      </c>
      <c r="H2129" s="9">
        <f>IF(AND($F2129&lt;&gt;"",ISNUMBER(SEARCH('Nr rejestracyjny'!$F$5,$F2129))),COUNT($H$1:H2128)+1,"")</f>
        <v>0</v>
      </c>
      <c r="I2129" s="9">
        <f>IF(AND($G2129&lt;&gt;"",ISNUMBER(SEARCH('Nr rejestracyjny'!$F$5,$G2129))),COUNT($I$1:I2128)+1,"")</f>
        <v>0</v>
      </c>
    </row>
    <row r="2130" spans="6:9">
      <c r="F2130" s="7">
        <f>IF('W rejestracji'!$C$2137="","",'W rejestracji'!$C$2137)</f>
        <v>0</v>
      </c>
      <c r="G2130" s="7">
        <f>IF(Zarejestrowane!$C$2137="","",Zarejestrowane!$C$2137)</f>
        <v>0</v>
      </c>
      <c r="H2130" s="9">
        <f>IF(AND($F2130&lt;&gt;"",ISNUMBER(SEARCH('Nr rejestracyjny'!$F$5,$F2130))),COUNT($H$1:H2129)+1,"")</f>
        <v>0</v>
      </c>
      <c r="I2130" s="9">
        <f>IF(AND($G2130&lt;&gt;"",ISNUMBER(SEARCH('Nr rejestracyjny'!$F$5,$G2130))),COUNT($I$1:I2129)+1,"")</f>
        <v>0</v>
      </c>
    </row>
    <row r="2131" spans="6:9">
      <c r="F2131" s="7">
        <f>IF('W rejestracji'!$C$2138="","",'W rejestracji'!$C$2138)</f>
        <v>0</v>
      </c>
      <c r="G2131" s="7">
        <f>IF(Zarejestrowane!$C$2138="","",Zarejestrowane!$C$2138)</f>
        <v>0</v>
      </c>
      <c r="H2131" s="9">
        <f>IF(AND($F2131&lt;&gt;"",ISNUMBER(SEARCH('Nr rejestracyjny'!$F$5,$F2131))),COUNT($H$1:H2130)+1,"")</f>
        <v>0</v>
      </c>
      <c r="I2131" s="9">
        <f>IF(AND($G2131&lt;&gt;"",ISNUMBER(SEARCH('Nr rejestracyjny'!$F$5,$G2131))),COUNT($I$1:I2130)+1,"")</f>
        <v>0</v>
      </c>
    </row>
    <row r="2132" spans="6:9">
      <c r="F2132" s="7">
        <f>IF('W rejestracji'!$C$2139="","",'W rejestracji'!$C$2139)</f>
        <v>0</v>
      </c>
      <c r="G2132" s="7">
        <f>IF(Zarejestrowane!$C$2139="","",Zarejestrowane!$C$2139)</f>
        <v>0</v>
      </c>
      <c r="H2132" s="9">
        <f>IF(AND($F2132&lt;&gt;"",ISNUMBER(SEARCH('Nr rejestracyjny'!$F$5,$F2132))),COUNT($H$1:H2131)+1,"")</f>
        <v>0</v>
      </c>
      <c r="I2132" s="9">
        <f>IF(AND($G2132&lt;&gt;"",ISNUMBER(SEARCH('Nr rejestracyjny'!$F$5,$G2132))),COUNT($I$1:I2131)+1,"")</f>
        <v>0</v>
      </c>
    </row>
    <row r="2133" spans="6:9">
      <c r="F2133" s="7">
        <f>IF('W rejestracji'!$C$2140="","",'W rejestracji'!$C$2140)</f>
        <v>0</v>
      </c>
      <c r="G2133" s="7">
        <f>IF(Zarejestrowane!$C$2140="","",Zarejestrowane!$C$2140)</f>
        <v>0</v>
      </c>
      <c r="H2133" s="9">
        <f>IF(AND($F2133&lt;&gt;"",ISNUMBER(SEARCH('Nr rejestracyjny'!$F$5,$F2133))),COUNT($H$1:H2132)+1,"")</f>
        <v>0</v>
      </c>
      <c r="I2133" s="9">
        <f>IF(AND($G2133&lt;&gt;"",ISNUMBER(SEARCH('Nr rejestracyjny'!$F$5,$G2133))),COUNT($I$1:I2132)+1,"")</f>
        <v>0</v>
      </c>
    </row>
    <row r="2134" spans="6:9">
      <c r="F2134" s="7">
        <f>IF('W rejestracji'!$C$2141="","",'W rejestracji'!$C$2141)</f>
        <v>0</v>
      </c>
      <c r="G2134" s="7">
        <f>IF(Zarejestrowane!$C$2141="","",Zarejestrowane!$C$2141)</f>
        <v>0</v>
      </c>
      <c r="H2134" s="9">
        <f>IF(AND($F2134&lt;&gt;"",ISNUMBER(SEARCH('Nr rejestracyjny'!$F$5,$F2134))),COUNT($H$1:H2133)+1,"")</f>
        <v>0</v>
      </c>
      <c r="I2134" s="9">
        <f>IF(AND($G2134&lt;&gt;"",ISNUMBER(SEARCH('Nr rejestracyjny'!$F$5,$G2134))),COUNT($I$1:I2133)+1,"")</f>
        <v>0</v>
      </c>
    </row>
    <row r="2135" spans="6:9">
      <c r="F2135" s="7">
        <f>IF('W rejestracji'!$C$2142="","",'W rejestracji'!$C$2142)</f>
        <v>0</v>
      </c>
      <c r="G2135" s="7">
        <f>IF(Zarejestrowane!$C$2142="","",Zarejestrowane!$C$2142)</f>
        <v>0</v>
      </c>
      <c r="H2135" s="9">
        <f>IF(AND($F2135&lt;&gt;"",ISNUMBER(SEARCH('Nr rejestracyjny'!$F$5,$F2135))),COUNT($H$1:H2134)+1,"")</f>
        <v>0</v>
      </c>
      <c r="I2135" s="9">
        <f>IF(AND($G2135&lt;&gt;"",ISNUMBER(SEARCH('Nr rejestracyjny'!$F$5,$G2135))),COUNT($I$1:I2134)+1,"")</f>
        <v>0</v>
      </c>
    </row>
    <row r="2136" spans="6:9">
      <c r="F2136" s="7">
        <f>IF('W rejestracji'!$C$2143="","",'W rejestracji'!$C$2143)</f>
        <v>0</v>
      </c>
      <c r="G2136" s="7">
        <f>IF(Zarejestrowane!$C$2143="","",Zarejestrowane!$C$2143)</f>
        <v>0</v>
      </c>
      <c r="H2136" s="9">
        <f>IF(AND($F2136&lt;&gt;"",ISNUMBER(SEARCH('Nr rejestracyjny'!$F$5,$F2136))),COUNT($H$1:H2135)+1,"")</f>
        <v>0</v>
      </c>
      <c r="I2136" s="9">
        <f>IF(AND($G2136&lt;&gt;"",ISNUMBER(SEARCH('Nr rejestracyjny'!$F$5,$G2136))),COUNT($I$1:I2135)+1,"")</f>
        <v>0</v>
      </c>
    </row>
    <row r="2137" spans="6:9">
      <c r="F2137" s="7">
        <f>IF('W rejestracji'!$C$2144="","",'W rejestracji'!$C$2144)</f>
        <v>0</v>
      </c>
      <c r="G2137" s="7">
        <f>IF(Zarejestrowane!$C$2144="","",Zarejestrowane!$C$2144)</f>
        <v>0</v>
      </c>
      <c r="H2137" s="9">
        <f>IF(AND($F2137&lt;&gt;"",ISNUMBER(SEARCH('Nr rejestracyjny'!$F$5,$F2137))),COUNT($H$1:H2136)+1,"")</f>
        <v>0</v>
      </c>
      <c r="I2137" s="9">
        <f>IF(AND($G2137&lt;&gt;"",ISNUMBER(SEARCH('Nr rejestracyjny'!$F$5,$G2137))),COUNT($I$1:I2136)+1,"")</f>
        <v>0</v>
      </c>
    </row>
    <row r="2138" spans="6:9">
      <c r="F2138" s="7">
        <f>IF('W rejestracji'!$C$2145="","",'W rejestracji'!$C$2145)</f>
        <v>0</v>
      </c>
      <c r="G2138" s="7">
        <f>IF(Zarejestrowane!$C$2145="","",Zarejestrowane!$C$2145)</f>
        <v>0</v>
      </c>
      <c r="H2138" s="9">
        <f>IF(AND($F2138&lt;&gt;"",ISNUMBER(SEARCH('Nr rejestracyjny'!$F$5,$F2138))),COUNT($H$1:H2137)+1,"")</f>
        <v>0</v>
      </c>
      <c r="I2138" s="9">
        <f>IF(AND($G2138&lt;&gt;"",ISNUMBER(SEARCH('Nr rejestracyjny'!$F$5,$G2138))),COUNT($I$1:I2137)+1,"")</f>
        <v>0</v>
      </c>
    </row>
    <row r="2139" spans="6:9">
      <c r="F2139" s="7">
        <f>IF('W rejestracji'!$C$2146="","",'W rejestracji'!$C$2146)</f>
        <v>0</v>
      </c>
      <c r="G2139" s="7">
        <f>IF(Zarejestrowane!$C$2146="","",Zarejestrowane!$C$2146)</f>
        <v>0</v>
      </c>
      <c r="H2139" s="9">
        <f>IF(AND($F2139&lt;&gt;"",ISNUMBER(SEARCH('Nr rejestracyjny'!$F$5,$F2139))),COUNT($H$1:H2138)+1,"")</f>
        <v>0</v>
      </c>
      <c r="I2139" s="9">
        <f>IF(AND($G2139&lt;&gt;"",ISNUMBER(SEARCH('Nr rejestracyjny'!$F$5,$G2139))),COUNT($I$1:I2138)+1,"")</f>
        <v>0</v>
      </c>
    </row>
    <row r="2140" spans="6:9">
      <c r="F2140" s="7">
        <f>IF('W rejestracji'!$C$2147="","",'W rejestracji'!$C$2147)</f>
        <v>0</v>
      </c>
      <c r="G2140" s="7">
        <f>IF(Zarejestrowane!$C$2147="","",Zarejestrowane!$C$2147)</f>
        <v>0</v>
      </c>
      <c r="H2140" s="9">
        <f>IF(AND($F2140&lt;&gt;"",ISNUMBER(SEARCH('Nr rejestracyjny'!$F$5,$F2140))),COUNT($H$1:H2139)+1,"")</f>
        <v>0</v>
      </c>
      <c r="I2140" s="9">
        <f>IF(AND($G2140&lt;&gt;"",ISNUMBER(SEARCH('Nr rejestracyjny'!$F$5,$G2140))),COUNT($I$1:I2139)+1,"")</f>
        <v>0</v>
      </c>
    </row>
    <row r="2141" spans="6:9">
      <c r="F2141" s="7">
        <f>IF('W rejestracji'!$C$2148="","",'W rejestracji'!$C$2148)</f>
        <v>0</v>
      </c>
      <c r="G2141" s="7">
        <f>IF(Zarejestrowane!$C$2148="","",Zarejestrowane!$C$2148)</f>
        <v>0</v>
      </c>
      <c r="H2141" s="9">
        <f>IF(AND($F2141&lt;&gt;"",ISNUMBER(SEARCH('Nr rejestracyjny'!$F$5,$F2141))),COUNT($H$1:H2140)+1,"")</f>
        <v>0</v>
      </c>
      <c r="I2141" s="9">
        <f>IF(AND($G2141&lt;&gt;"",ISNUMBER(SEARCH('Nr rejestracyjny'!$F$5,$G2141))),COUNT($I$1:I2140)+1,"")</f>
        <v>0</v>
      </c>
    </row>
    <row r="2142" spans="6:9">
      <c r="F2142" s="7">
        <f>IF('W rejestracji'!$C$2149="","",'W rejestracji'!$C$2149)</f>
        <v>0</v>
      </c>
      <c r="G2142" s="7">
        <f>IF(Zarejestrowane!$C$2149="","",Zarejestrowane!$C$2149)</f>
        <v>0</v>
      </c>
      <c r="H2142" s="9">
        <f>IF(AND($F2142&lt;&gt;"",ISNUMBER(SEARCH('Nr rejestracyjny'!$F$5,$F2142))),COUNT($H$1:H2141)+1,"")</f>
        <v>0</v>
      </c>
      <c r="I2142" s="9">
        <f>IF(AND($G2142&lt;&gt;"",ISNUMBER(SEARCH('Nr rejestracyjny'!$F$5,$G2142))),COUNT($I$1:I2141)+1,"")</f>
        <v>0</v>
      </c>
    </row>
    <row r="2143" spans="6:9">
      <c r="F2143" s="7">
        <f>IF('W rejestracji'!$C$2150="","",'W rejestracji'!$C$2150)</f>
        <v>0</v>
      </c>
      <c r="G2143" s="7">
        <f>IF(Zarejestrowane!$C$2150="","",Zarejestrowane!$C$2150)</f>
        <v>0</v>
      </c>
      <c r="H2143" s="9">
        <f>IF(AND($F2143&lt;&gt;"",ISNUMBER(SEARCH('Nr rejestracyjny'!$F$5,$F2143))),COUNT($H$1:H2142)+1,"")</f>
        <v>0</v>
      </c>
      <c r="I2143" s="9">
        <f>IF(AND($G2143&lt;&gt;"",ISNUMBER(SEARCH('Nr rejestracyjny'!$F$5,$G2143))),COUNT($I$1:I2142)+1,"")</f>
        <v>0</v>
      </c>
    </row>
    <row r="2144" spans="6:9">
      <c r="F2144" s="7">
        <f>IF('W rejestracji'!$C$2151="","",'W rejestracji'!$C$2151)</f>
        <v>0</v>
      </c>
      <c r="G2144" s="7">
        <f>IF(Zarejestrowane!$C$2151="","",Zarejestrowane!$C$2151)</f>
        <v>0</v>
      </c>
      <c r="H2144" s="9">
        <f>IF(AND($F2144&lt;&gt;"",ISNUMBER(SEARCH('Nr rejestracyjny'!$F$5,$F2144))),COUNT($H$1:H2143)+1,"")</f>
        <v>0</v>
      </c>
      <c r="I2144" s="9">
        <f>IF(AND($G2144&lt;&gt;"",ISNUMBER(SEARCH('Nr rejestracyjny'!$F$5,$G2144))),COUNT($I$1:I2143)+1,"")</f>
        <v>0</v>
      </c>
    </row>
    <row r="2145" spans="6:9">
      <c r="F2145" s="7">
        <f>IF('W rejestracji'!$C$2152="","",'W rejestracji'!$C$2152)</f>
        <v>0</v>
      </c>
      <c r="G2145" s="7">
        <f>IF(Zarejestrowane!$C$2152="","",Zarejestrowane!$C$2152)</f>
        <v>0</v>
      </c>
      <c r="H2145" s="9">
        <f>IF(AND($F2145&lt;&gt;"",ISNUMBER(SEARCH('Nr rejestracyjny'!$F$5,$F2145))),COUNT($H$1:H2144)+1,"")</f>
        <v>0</v>
      </c>
      <c r="I2145" s="9">
        <f>IF(AND($G2145&lt;&gt;"",ISNUMBER(SEARCH('Nr rejestracyjny'!$F$5,$G2145))),COUNT($I$1:I2144)+1,"")</f>
        <v>0</v>
      </c>
    </row>
    <row r="2146" spans="6:9">
      <c r="F2146" s="7">
        <f>IF('W rejestracji'!$C$2153="","",'W rejestracji'!$C$2153)</f>
        <v>0</v>
      </c>
      <c r="G2146" s="7">
        <f>IF(Zarejestrowane!$C$2153="","",Zarejestrowane!$C$2153)</f>
        <v>0</v>
      </c>
      <c r="H2146" s="9">
        <f>IF(AND($F2146&lt;&gt;"",ISNUMBER(SEARCH('Nr rejestracyjny'!$F$5,$F2146))),COUNT($H$1:H2145)+1,"")</f>
        <v>0</v>
      </c>
      <c r="I2146" s="9">
        <f>IF(AND($G2146&lt;&gt;"",ISNUMBER(SEARCH('Nr rejestracyjny'!$F$5,$G2146))),COUNT($I$1:I2145)+1,"")</f>
        <v>0</v>
      </c>
    </row>
    <row r="2147" spans="6:9">
      <c r="F2147" s="7">
        <f>IF('W rejestracji'!$C$2154="","",'W rejestracji'!$C$2154)</f>
        <v>0</v>
      </c>
      <c r="G2147" s="7">
        <f>IF(Zarejestrowane!$C$2154="","",Zarejestrowane!$C$2154)</f>
        <v>0</v>
      </c>
      <c r="H2147" s="9">
        <f>IF(AND($F2147&lt;&gt;"",ISNUMBER(SEARCH('Nr rejestracyjny'!$F$5,$F2147))),COUNT($H$1:H2146)+1,"")</f>
        <v>0</v>
      </c>
      <c r="I2147" s="9">
        <f>IF(AND($G2147&lt;&gt;"",ISNUMBER(SEARCH('Nr rejestracyjny'!$F$5,$G2147))),COUNT($I$1:I2146)+1,"")</f>
        <v>0</v>
      </c>
    </row>
    <row r="2148" spans="6:9">
      <c r="F2148" s="7">
        <f>IF('W rejestracji'!$C$2155="","",'W rejestracji'!$C$2155)</f>
        <v>0</v>
      </c>
      <c r="G2148" s="7">
        <f>IF(Zarejestrowane!$C$2155="","",Zarejestrowane!$C$2155)</f>
        <v>0</v>
      </c>
      <c r="H2148" s="9">
        <f>IF(AND($F2148&lt;&gt;"",ISNUMBER(SEARCH('Nr rejestracyjny'!$F$5,$F2148))),COUNT($H$1:H2147)+1,"")</f>
        <v>0</v>
      </c>
      <c r="I2148" s="9">
        <f>IF(AND($G2148&lt;&gt;"",ISNUMBER(SEARCH('Nr rejestracyjny'!$F$5,$G2148))),COUNT($I$1:I2147)+1,"")</f>
        <v>0</v>
      </c>
    </row>
    <row r="2149" spans="6:9">
      <c r="F2149" s="7">
        <f>IF('W rejestracji'!$C$2156="","",'W rejestracji'!$C$2156)</f>
        <v>0</v>
      </c>
      <c r="G2149" s="7">
        <f>IF(Zarejestrowane!$C$2156="","",Zarejestrowane!$C$2156)</f>
        <v>0</v>
      </c>
      <c r="H2149" s="9">
        <f>IF(AND($F2149&lt;&gt;"",ISNUMBER(SEARCH('Nr rejestracyjny'!$F$5,$F2149))),COUNT($H$1:H2148)+1,"")</f>
        <v>0</v>
      </c>
      <c r="I2149" s="9">
        <f>IF(AND($G2149&lt;&gt;"",ISNUMBER(SEARCH('Nr rejestracyjny'!$F$5,$G2149))),COUNT($I$1:I2148)+1,"")</f>
        <v>0</v>
      </c>
    </row>
    <row r="2150" spans="6:9">
      <c r="F2150" s="7">
        <f>IF('W rejestracji'!$C$2157="","",'W rejestracji'!$C$2157)</f>
        <v>0</v>
      </c>
      <c r="G2150" s="7">
        <f>IF(Zarejestrowane!$C$2157="","",Zarejestrowane!$C$2157)</f>
        <v>0</v>
      </c>
      <c r="H2150" s="9">
        <f>IF(AND($F2150&lt;&gt;"",ISNUMBER(SEARCH('Nr rejestracyjny'!$F$5,$F2150))),COUNT($H$1:H2149)+1,"")</f>
        <v>0</v>
      </c>
      <c r="I2150" s="9">
        <f>IF(AND($G2150&lt;&gt;"",ISNUMBER(SEARCH('Nr rejestracyjny'!$F$5,$G2150))),COUNT($I$1:I2149)+1,"")</f>
        <v>0</v>
      </c>
    </row>
    <row r="2151" spans="6:9">
      <c r="F2151" s="7">
        <f>IF('W rejestracji'!$C$2158="","",'W rejestracji'!$C$2158)</f>
        <v>0</v>
      </c>
      <c r="G2151" s="7">
        <f>IF(Zarejestrowane!$C$2158="","",Zarejestrowane!$C$2158)</f>
        <v>0</v>
      </c>
      <c r="H2151" s="9">
        <f>IF(AND($F2151&lt;&gt;"",ISNUMBER(SEARCH('Nr rejestracyjny'!$F$5,$F2151))),COUNT($H$1:H2150)+1,"")</f>
        <v>0</v>
      </c>
      <c r="I2151" s="9">
        <f>IF(AND($G2151&lt;&gt;"",ISNUMBER(SEARCH('Nr rejestracyjny'!$F$5,$G2151))),COUNT($I$1:I2150)+1,"")</f>
        <v>0</v>
      </c>
    </row>
    <row r="2152" spans="6:9">
      <c r="F2152" s="7">
        <f>IF('W rejestracji'!$C$2159="","",'W rejestracji'!$C$2159)</f>
        <v>0</v>
      </c>
      <c r="G2152" s="7">
        <f>IF(Zarejestrowane!$C$2159="","",Zarejestrowane!$C$2159)</f>
        <v>0</v>
      </c>
      <c r="H2152" s="9">
        <f>IF(AND($F2152&lt;&gt;"",ISNUMBER(SEARCH('Nr rejestracyjny'!$F$5,$F2152))),COUNT($H$1:H2151)+1,"")</f>
        <v>0</v>
      </c>
      <c r="I2152" s="9">
        <f>IF(AND($G2152&lt;&gt;"",ISNUMBER(SEARCH('Nr rejestracyjny'!$F$5,$G2152))),COUNT($I$1:I2151)+1,"")</f>
        <v>0</v>
      </c>
    </row>
    <row r="2153" spans="6:9">
      <c r="F2153" s="7">
        <f>IF('W rejestracji'!$C$2160="","",'W rejestracji'!$C$2160)</f>
        <v>0</v>
      </c>
      <c r="G2153" s="7">
        <f>IF(Zarejestrowane!$C$2160="","",Zarejestrowane!$C$2160)</f>
        <v>0</v>
      </c>
      <c r="H2153" s="9">
        <f>IF(AND($F2153&lt;&gt;"",ISNUMBER(SEARCH('Nr rejestracyjny'!$F$5,$F2153))),COUNT($H$1:H2152)+1,"")</f>
        <v>0</v>
      </c>
      <c r="I2153" s="9">
        <f>IF(AND($G2153&lt;&gt;"",ISNUMBER(SEARCH('Nr rejestracyjny'!$F$5,$G2153))),COUNT($I$1:I2152)+1,"")</f>
        <v>0</v>
      </c>
    </row>
    <row r="2154" spans="6:9">
      <c r="F2154" s="7">
        <f>IF('W rejestracji'!$C$2161="","",'W rejestracji'!$C$2161)</f>
        <v>0</v>
      </c>
      <c r="G2154" s="7">
        <f>IF(Zarejestrowane!$C$2161="","",Zarejestrowane!$C$2161)</f>
        <v>0</v>
      </c>
      <c r="H2154" s="9">
        <f>IF(AND($F2154&lt;&gt;"",ISNUMBER(SEARCH('Nr rejestracyjny'!$F$5,$F2154))),COUNT($H$1:H2153)+1,"")</f>
        <v>0</v>
      </c>
      <c r="I2154" s="9">
        <f>IF(AND($G2154&lt;&gt;"",ISNUMBER(SEARCH('Nr rejestracyjny'!$F$5,$G2154))),COUNT($I$1:I2153)+1,"")</f>
        <v>0</v>
      </c>
    </row>
    <row r="2155" spans="6:9">
      <c r="F2155" s="7">
        <f>IF('W rejestracji'!$C$2162="","",'W rejestracji'!$C$2162)</f>
        <v>0</v>
      </c>
      <c r="G2155" s="7">
        <f>IF(Zarejestrowane!$C$2162="","",Zarejestrowane!$C$2162)</f>
        <v>0</v>
      </c>
      <c r="H2155" s="9">
        <f>IF(AND($F2155&lt;&gt;"",ISNUMBER(SEARCH('Nr rejestracyjny'!$F$5,$F2155))),COUNT($H$1:H2154)+1,"")</f>
        <v>0</v>
      </c>
      <c r="I2155" s="9">
        <f>IF(AND($G2155&lt;&gt;"",ISNUMBER(SEARCH('Nr rejestracyjny'!$F$5,$G2155))),COUNT($I$1:I2154)+1,"")</f>
        <v>0</v>
      </c>
    </row>
    <row r="2156" spans="6:9">
      <c r="F2156" s="7">
        <f>IF('W rejestracji'!$C$2163="","",'W rejestracji'!$C$2163)</f>
        <v>0</v>
      </c>
      <c r="G2156" s="7">
        <f>IF(Zarejestrowane!$C$2163="","",Zarejestrowane!$C$2163)</f>
        <v>0</v>
      </c>
      <c r="H2156" s="9">
        <f>IF(AND($F2156&lt;&gt;"",ISNUMBER(SEARCH('Nr rejestracyjny'!$F$5,$F2156))),COUNT($H$1:H2155)+1,"")</f>
        <v>0</v>
      </c>
      <c r="I2156" s="9">
        <f>IF(AND($G2156&lt;&gt;"",ISNUMBER(SEARCH('Nr rejestracyjny'!$F$5,$G2156))),COUNT($I$1:I2155)+1,"")</f>
        <v>0</v>
      </c>
    </row>
    <row r="2157" spans="6:9">
      <c r="F2157" s="7">
        <f>IF('W rejestracji'!$C$2164="","",'W rejestracji'!$C$2164)</f>
        <v>0</v>
      </c>
      <c r="G2157" s="7">
        <f>IF(Zarejestrowane!$C$2164="","",Zarejestrowane!$C$2164)</f>
        <v>0</v>
      </c>
      <c r="H2157" s="9">
        <f>IF(AND($F2157&lt;&gt;"",ISNUMBER(SEARCH('Nr rejestracyjny'!$F$5,$F2157))),COUNT($H$1:H2156)+1,"")</f>
        <v>0</v>
      </c>
      <c r="I2157" s="9">
        <f>IF(AND($G2157&lt;&gt;"",ISNUMBER(SEARCH('Nr rejestracyjny'!$F$5,$G2157))),COUNT($I$1:I2156)+1,"")</f>
        <v>0</v>
      </c>
    </row>
    <row r="2158" spans="6:9">
      <c r="F2158" s="7">
        <f>IF('W rejestracji'!$C$2165="","",'W rejestracji'!$C$2165)</f>
        <v>0</v>
      </c>
      <c r="G2158" s="7">
        <f>IF(Zarejestrowane!$C$2165="","",Zarejestrowane!$C$2165)</f>
        <v>0</v>
      </c>
      <c r="H2158" s="9">
        <f>IF(AND($F2158&lt;&gt;"",ISNUMBER(SEARCH('Nr rejestracyjny'!$F$5,$F2158))),COUNT($H$1:H2157)+1,"")</f>
        <v>0</v>
      </c>
      <c r="I2158" s="9">
        <f>IF(AND($G2158&lt;&gt;"",ISNUMBER(SEARCH('Nr rejestracyjny'!$F$5,$G2158))),COUNT($I$1:I2157)+1,"")</f>
        <v>0</v>
      </c>
    </row>
    <row r="2159" spans="6:9">
      <c r="F2159" s="7">
        <f>IF('W rejestracji'!$C$2166="","",'W rejestracji'!$C$2166)</f>
        <v>0</v>
      </c>
      <c r="G2159" s="7">
        <f>IF(Zarejestrowane!$C$2166="","",Zarejestrowane!$C$2166)</f>
        <v>0</v>
      </c>
      <c r="H2159" s="9">
        <f>IF(AND($F2159&lt;&gt;"",ISNUMBER(SEARCH('Nr rejestracyjny'!$F$5,$F2159))),COUNT($H$1:H2158)+1,"")</f>
        <v>0</v>
      </c>
      <c r="I2159" s="9">
        <f>IF(AND($G2159&lt;&gt;"",ISNUMBER(SEARCH('Nr rejestracyjny'!$F$5,$G2159))),COUNT($I$1:I2158)+1,"")</f>
        <v>0</v>
      </c>
    </row>
    <row r="2160" spans="6:9">
      <c r="F2160" s="7">
        <f>IF('W rejestracji'!$C$2167="","",'W rejestracji'!$C$2167)</f>
        <v>0</v>
      </c>
      <c r="G2160" s="7">
        <f>IF(Zarejestrowane!$C$2167="","",Zarejestrowane!$C$2167)</f>
        <v>0</v>
      </c>
      <c r="H2160" s="9">
        <f>IF(AND($F2160&lt;&gt;"",ISNUMBER(SEARCH('Nr rejestracyjny'!$F$5,$F2160))),COUNT($H$1:H2159)+1,"")</f>
        <v>0</v>
      </c>
      <c r="I2160" s="9">
        <f>IF(AND($G2160&lt;&gt;"",ISNUMBER(SEARCH('Nr rejestracyjny'!$F$5,$G2160))),COUNT($I$1:I2159)+1,"")</f>
        <v>0</v>
      </c>
    </row>
    <row r="2161" spans="6:9">
      <c r="F2161" s="7">
        <f>IF('W rejestracji'!$C$2168="","",'W rejestracji'!$C$2168)</f>
        <v>0</v>
      </c>
      <c r="G2161" s="7">
        <f>IF(Zarejestrowane!$C$2168="","",Zarejestrowane!$C$2168)</f>
        <v>0</v>
      </c>
      <c r="H2161" s="9">
        <f>IF(AND($F2161&lt;&gt;"",ISNUMBER(SEARCH('Nr rejestracyjny'!$F$5,$F2161))),COUNT($H$1:H2160)+1,"")</f>
        <v>0</v>
      </c>
      <c r="I2161" s="9">
        <f>IF(AND($G2161&lt;&gt;"",ISNUMBER(SEARCH('Nr rejestracyjny'!$F$5,$G2161))),COUNT($I$1:I2160)+1,"")</f>
        <v>0</v>
      </c>
    </row>
    <row r="2162" spans="6:9">
      <c r="F2162" s="7">
        <f>IF('W rejestracji'!$C$2169="","",'W rejestracji'!$C$2169)</f>
        <v>0</v>
      </c>
      <c r="G2162" s="7">
        <f>IF(Zarejestrowane!$C$2169="","",Zarejestrowane!$C$2169)</f>
        <v>0</v>
      </c>
      <c r="H2162" s="9">
        <f>IF(AND($F2162&lt;&gt;"",ISNUMBER(SEARCH('Nr rejestracyjny'!$F$5,$F2162))),COUNT($H$1:H2161)+1,"")</f>
        <v>0</v>
      </c>
      <c r="I2162" s="9">
        <f>IF(AND($G2162&lt;&gt;"",ISNUMBER(SEARCH('Nr rejestracyjny'!$F$5,$G2162))),COUNT($I$1:I2161)+1,"")</f>
        <v>0</v>
      </c>
    </row>
    <row r="2163" spans="6:9">
      <c r="F2163" s="7">
        <f>IF('W rejestracji'!$C$2170="","",'W rejestracji'!$C$2170)</f>
        <v>0</v>
      </c>
      <c r="G2163" s="7">
        <f>IF(Zarejestrowane!$C$2170="","",Zarejestrowane!$C$2170)</f>
        <v>0</v>
      </c>
      <c r="H2163" s="9">
        <f>IF(AND($F2163&lt;&gt;"",ISNUMBER(SEARCH('Nr rejestracyjny'!$F$5,$F2163))),COUNT($H$1:H2162)+1,"")</f>
        <v>0</v>
      </c>
      <c r="I2163" s="9">
        <f>IF(AND($G2163&lt;&gt;"",ISNUMBER(SEARCH('Nr rejestracyjny'!$F$5,$G2163))),COUNT($I$1:I2162)+1,"")</f>
        <v>0</v>
      </c>
    </row>
    <row r="2164" spans="6:9">
      <c r="F2164" s="7">
        <f>IF('W rejestracji'!$C$2171="","",'W rejestracji'!$C$2171)</f>
        <v>0</v>
      </c>
      <c r="G2164" s="7">
        <f>IF(Zarejestrowane!$C$2171="","",Zarejestrowane!$C$2171)</f>
        <v>0</v>
      </c>
      <c r="H2164" s="9">
        <f>IF(AND($F2164&lt;&gt;"",ISNUMBER(SEARCH('Nr rejestracyjny'!$F$5,$F2164))),COUNT($H$1:H2163)+1,"")</f>
        <v>0</v>
      </c>
      <c r="I2164" s="9">
        <f>IF(AND($G2164&lt;&gt;"",ISNUMBER(SEARCH('Nr rejestracyjny'!$F$5,$G2164))),COUNT($I$1:I2163)+1,"")</f>
        <v>0</v>
      </c>
    </row>
    <row r="2165" spans="6:9">
      <c r="F2165" s="7">
        <f>IF('W rejestracji'!$C$2172="","",'W rejestracji'!$C$2172)</f>
        <v>0</v>
      </c>
      <c r="G2165" s="7">
        <f>IF(Zarejestrowane!$C$2172="","",Zarejestrowane!$C$2172)</f>
        <v>0</v>
      </c>
      <c r="H2165" s="9">
        <f>IF(AND($F2165&lt;&gt;"",ISNUMBER(SEARCH('Nr rejestracyjny'!$F$5,$F2165))),COUNT($H$1:H2164)+1,"")</f>
        <v>0</v>
      </c>
      <c r="I2165" s="9">
        <f>IF(AND($G2165&lt;&gt;"",ISNUMBER(SEARCH('Nr rejestracyjny'!$F$5,$G2165))),COUNT($I$1:I2164)+1,"")</f>
        <v>0</v>
      </c>
    </row>
    <row r="2166" spans="6:9">
      <c r="F2166" s="7">
        <f>IF('W rejestracji'!$C$2173="","",'W rejestracji'!$C$2173)</f>
        <v>0</v>
      </c>
      <c r="G2166" s="7">
        <f>IF(Zarejestrowane!$C$2173="","",Zarejestrowane!$C$2173)</f>
        <v>0</v>
      </c>
      <c r="H2166" s="9">
        <f>IF(AND($F2166&lt;&gt;"",ISNUMBER(SEARCH('Nr rejestracyjny'!$F$5,$F2166))),COUNT($H$1:H2165)+1,"")</f>
        <v>0</v>
      </c>
      <c r="I2166" s="9">
        <f>IF(AND($G2166&lt;&gt;"",ISNUMBER(SEARCH('Nr rejestracyjny'!$F$5,$G2166))),COUNT($I$1:I2165)+1,"")</f>
        <v>0</v>
      </c>
    </row>
    <row r="2167" spans="6:9">
      <c r="F2167" s="7">
        <f>IF('W rejestracji'!$C$2174="","",'W rejestracji'!$C$2174)</f>
        <v>0</v>
      </c>
      <c r="G2167" s="7">
        <f>IF(Zarejestrowane!$C$2174="","",Zarejestrowane!$C$2174)</f>
        <v>0</v>
      </c>
      <c r="H2167" s="9">
        <f>IF(AND($F2167&lt;&gt;"",ISNUMBER(SEARCH('Nr rejestracyjny'!$F$5,$F2167))),COUNT($H$1:H2166)+1,"")</f>
        <v>0</v>
      </c>
      <c r="I2167" s="9">
        <f>IF(AND($G2167&lt;&gt;"",ISNUMBER(SEARCH('Nr rejestracyjny'!$F$5,$G2167))),COUNT($I$1:I2166)+1,"")</f>
        <v>0</v>
      </c>
    </row>
    <row r="2168" spans="6:9">
      <c r="F2168" s="7">
        <f>IF('W rejestracji'!$C$2175="","",'W rejestracji'!$C$2175)</f>
        <v>0</v>
      </c>
      <c r="G2168" s="7">
        <f>IF(Zarejestrowane!$C$2175="","",Zarejestrowane!$C$2175)</f>
        <v>0</v>
      </c>
      <c r="H2168" s="9">
        <f>IF(AND($F2168&lt;&gt;"",ISNUMBER(SEARCH('Nr rejestracyjny'!$F$5,$F2168))),COUNT($H$1:H2167)+1,"")</f>
        <v>0</v>
      </c>
      <c r="I2168" s="9">
        <f>IF(AND($G2168&lt;&gt;"",ISNUMBER(SEARCH('Nr rejestracyjny'!$F$5,$G2168))),COUNT($I$1:I2167)+1,"")</f>
        <v>0</v>
      </c>
    </row>
    <row r="2169" spans="6:9">
      <c r="F2169" s="7">
        <f>IF('W rejestracji'!$C$2176="","",'W rejestracji'!$C$2176)</f>
        <v>0</v>
      </c>
      <c r="G2169" s="7">
        <f>IF(Zarejestrowane!$C$2176="","",Zarejestrowane!$C$2176)</f>
        <v>0</v>
      </c>
      <c r="H2169" s="9">
        <f>IF(AND($F2169&lt;&gt;"",ISNUMBER(SEARCH('Nr rejestracyjny'!$F$5,$F2169))),COUNT($H$1:H2168)+1,"")</f>
        <v>0</v>
      </c>
      <c r="I2169" s="9">
        <f>IF(AND($G2169&lt;&gt;"",ISNUMBER(SEARCH('Nr rejestracyjny'!$F$5,$G2169))),COUNT($I$1:I2168)+1,"")</f>
        <v>0</v>
      </c>
    </row>
    <row r="2170" spans="6:9">
      <c r="F2170" s="7">
        <f>IF('W rejestracji'!$C$2177="","",'W rejestracji'!$C$2177)</f>
        <v>0</v>
      </c>
      <c r="G2170" s="7">
        <f>IF(Zarejestrowane!$C$2177="","",Zarejestrowane!$C$2177)</f>
        <v>0</v>
      </c>
      <c r="H2170" s="9">
        <f>IF(AND($F2170&lt;&gt;"",ISNUMBER(SEARCH('Nr rejestracyjny'!$F$5,$F2170))),COUNT($H$1:H2169)+1,"")</f>
        <v>0</v>
      </c>
      <c r="I2170" s="9">
        <f>IF(AND($G2170&lt;&gt;"",ISNUMBER(SEARCH('Nr rejestracyjny'!$F$5,$G2170))),COUNT($I$1:I2169)+1,"")</f>
        <v>0</v>
      </c>
    </row>
    <row r="2171" spans="6:9">
      <c r="F2171" s="7">
        <f>IF('W rejestracji'!$C$2178="","",'W rejestracji'!$C$2178)</f>
        <v>0</v>
      </c>
      <c r="G2171" s="7">
        <f>IF(Zarejestrowane!$C$2178="","",Zarejestrowane!$C$2178)</f>
        <v>0</v>
      </c>
      <c r="H2171" s="9">
        <f>IF(AND($F2171&lt;&gt;"",ISNUMBER(SEARCH('Nr rejestracyjny'!$F$5,$F2171))),COUNT($H$1:H2170)+1,"")</f>
        <v>0</v>
      </c>
      <c r="I2171" s="9">
        <f>IF(AND($G2171&lt;&gt;"",ISNUMBER(SEARCH('Nr rejestracyjny'!$F$5,$G2171))),COUNT($I$1:I2170)+1,"")</f>
        <v>0</v>
      </c>
    </row>
    <row r="2172" spans="6:9">
      <c r="F2172" s="7">
        <f>IF('W rejestracji'!$C$2179="","",'W rejestracji'!$C$2179)</f>
        <v>0</v>
      </c>
      <c r="G2172" s="7">
        <f>IF(Zarejestrowane!$C$2179="","",Zarejestrowane!$C$2179)</f>
        <v>0</v>
      </c>
      <c r="H2172" s="9">
        <f>IF(AND($F2172&lt;&gt;"",ISNUMBER(SEARCH('Nr rejestracyjny'!$F$5,$F2172))),COUNT($H$1:H2171)+1,"")</f>
        <v>0</v>
      </c>
      <c r="I2172" s="9">
        <f>IF(AND($G2172&lt;&gt;"",ISNUMBER(SEARCH('Nr rejestracyjny'!$F$5,$G2172))),COUNT($I$1:I2171)+1,"")</f>
        <v>0</v>
      </c>
    </row>
    <row r="2173" spans="6:9">
      <c r="F2173" s="7">
        <f>IF('W rejestracji'!$C$2180="","",'W rejestracji'!$C$2180)</f>
        <v>0</v>
      </c>
      <c r="G2173" s="7">
        <f>IF(Zarejestrowane!$C$2180="","",Zarejestrowane!$C$2180)</f>
        <v>0</v>
      </c>
      <c r="H2173" s="9">
        <f>IF(AND($F2173&lt;&gt;"",ISNUMBER(SEARCH('Nr rejestracyjny'!$F$5,$F2173))),COUNT($H$1:H2172)+1,"")</f>
        <v>0</v>
      </c>
      <c r="I2173" s="9">
        <f>IF(AND($G2173&lt;&gt;"",ISNUMBER(SEARCH('Nr rejestracyjny'!$F$5,$G2173))),COUNT($I$1:I2172)+1,"")</f>
        <v>0</v>
      </c>
    </row>
    <row r="2174" spans="6:9">
      <c r="F2174" s="7">
        <f>IF('W rejestracji'!$C$2181="","",'W rejestracji'!$C$2181)</f>
        <v>0</v>
      </c>
      <c r="G2174" s="7">
        <f>IF(Zarejestrowane!$C$2181="","",Zarejestrowane!$C$2181)</f>
        <v>0</v>
      </c>
      <c r="H2174" s="9">
        <f>IF(AND($F2174&lt;&gt;"",ISNUMBER(SEARCH('Nr rejestracyjny'!$F$5,$F2174))),COUNT($H$1:H2173)+1,"")</f>
        <v>0</v>
      </c>
      <c r="I2174" s="9">
        <f>IF(AND($G2174&lt;&gt;"",ISNUMBER(SEARCH('Nr rejestracyjny'!$F$5,$G2174))),COUNT($I$1:I2173)+1,"")</f>
        <v>0</v>
      </c>
    </row>
    <row r="2175" spans="6:9">
      <c r="F2175" s="7">
        <f>IF('W rejestracji'!$C$2182="","",'W rejestracji'!$C$2182)</f>
        <v>0</v>
      </c>
      <c r="G2175" s="7">
        <f>IF(Zarejestrowane!$C$2182="","",Zarejestrowane!$C$2182)</f>
        <v>0</v>
      </c>
      <c r="H2175" s="9">
        <f>IF(AND($F2175&lt;&gt;"",ISNUMBER(SEARCH('Nr rejestracyjny'!$F$5,$F2175))),COUNT($H$1:H2174)+1,"")</f>
        <v>0</v>
      </c>
      <c r="I2175" s="9">
        <f>IF(AND($G2175&lt;&gt;"",ISNUMBER(SEARCH('Nr rejestracyjny'!$F$5,$G2175))),COUNT($I$1:I2174)+1,"")</f>
        <v>0</v>
      </c>
    </row>
    <row r="2176" spans="6:9">
      <c r="F2176" s="7">
        <f>IF('W rejestracji'!$C$2183="","",'W rejestracji'!$C$2183)</f>
        <v>0</v>
      </c>
      <c r="G2176" s="7">
        <f>IF(Zarejestrowane!$C$2183="","",Zarejestrowane!$C$2183)</f>
        <v>0</v>
      </c>
      <c r="H2176" s="9">
        <f>IF(AND($F2176&lt;&gt;"",ISNUMBER(SEARCH('Nr rejestracyjny'!$F$5,$F2176))),COUNT($H$1:H2175)+1,"")</f>
        <v>0</v>
      </c>
      <c r="I2176" s="9">
        <f>IF(AND($G2176&lt;&gt;"",ISNUMBER(SEARCH('Nr rejestracyjny'!$F$5,$G2176))),COUNT($I$1:I2175)+1,"")</f>
        <v>0</v>
      </c>
    </row>
    <row r="2177" spans="6:9">
      <c r="F2177" s="7">
        <f>IF('W rejestracji'!$C$2184="","",'W rejestracji'!$C$2184)</f>
        <v>0</v>
      </c>
      <c r="G2177" s="7">
        <f>IF(Zarejestrowane!$C$2184="","",Zarejestrowane!$C$2184)</f>
        <v>0</v>
      </c>
      <c r="H2177" s="9">
        <f>IF(AND($F2177&lt;&gt;"",ISNUMBER(SEARCH('Nr rejestracyjny'!$F$5,$F2177))),COUNT($H$1:H2176)+1,"")</f>
        <v>0</v>
      </c>
      <c r="I2177" s="9">
        <f>IF(AND($G2177&lt;&gt;"",ISNUMBER(SEARCH('Nr rejestracyjny'!$F$5,$G2177))),COUNT($I$1:I2176)+1,"")</f>
        <v>0</v>
      </c>
    </row>
    <row r="2178" spans="6:9">
      <c r="F2178" s="7">
        <f>IF('W rejestracji'!$C$2185="","",'W rejestracji'!$C$2185)</f>
        <v>0</v>
      </c>
      <c r="G2178" s="7">
        <f>IF(Zarejestrowane!$C$2185="","",Zarejestrowane!$C$2185)</f>
        <v>0</v>
      </c>
      <c r="H2178" s="9">
        <f>IF(AND($F2178&lt;&gt;"",ISNUMBER(SEARCH('Nr rejestracyjny'!$F$5,$F2178))),COUNT($H$1:H2177)+1,"")</f>
        <v>0</v>
      </c>
      <c r="I2178" s="9">
        <f>IF(AND($G2178&lt;&gt;"",ISNUMBER(SEARCH('Nr rejestracyjny'!$F$5,$G2178))),COUNT($I$1:I2177)+1,"")</f>
        <v>0</v>
      </c>
    </row>
    <row r="2179" spans="6:9">
      <c r="F2179" s="7">
        <f>IF('W rejestracji'!$C$2186="","",'W rejestracji'!$C$2186)</f>
        <v>0</v>
      </c>
      <c r="G2179" s="7">
        <f>IF(Zarejestrowane!$C$2186="","",Zarejestrowane!$C$2186)</f>
        <v>0</v>
      </c>
      <c r="H2179" s="9">
        <f>IF(AND($F2179&lt;&gt;"",ISNUMBER(SEARCH('Nr rejestracyjny'!$F$5,$F2179))),COUNT($H$1:H2178)+1,"")</f>
        <v>0</v>
      </c>
      <c r="I2179" s="9">
        <f>IF(AND($G2179&lt;&gt;"",ISNUMBER(SEARCH('Nr rejestracyjny'!$F$5,$G2179))),COUNT($I$1:I2178)+1,"")</f>
        <v>0</v>
      </c>
    </row>
    <row r="2180" spans="6:9">
      <c r="F2180" s="7">
        <f>IF('W rejestracji'!$C$2187="","",'W rejestracji'!$C$2187)</f>
        <v>0</v>
      </c>
      <c r="G2180" s="7">
        <f>IF(Zarejestrowane!$C$2187="","",Zarejestrowane!$C$2187)</f>
        <v>0</v>
      </c>
      <c r="H2180" s="9">
        <f>IF(AND($F2180&lt;&gt;"",ISNUMBER(SEARCH('Nr rejestracyjny'!$F$5,$F2180))),COUNT($H$1:H2179)+1,"")</f>
        <v>0</v>
      </c>
      <c r="I2180" s="9">
        <f>IF(AND($G2180&lt;&gt;"",ISNUMBER(SEARCH('Nr rejestracyjny'!$F$5,$G2180))),COUNT($I$1:I2179)+1,"")</f>
        <v>0</v>
      </c>
    </row>
    <row r="2181" spans="6:9">
      <c r="F2181" s="7">
        <f>IF('W rejestracji'!$C$2188="","",'W rejestracji'!$C$2188)</f>
        <v>0</v>
      </c>
      <c r="G2181" s="7">
        <f>IF(Zarejestrowane!$C$2188="","",Zarejestrowane!$C$2188)</f>
        <v>0</v>
      </c>
      <c r="H2181" s="9">
        <f>IF(AND($F2181&lt;&gt;"",ISNUMBER(SEARCH('Nr rejestracyjny'!$F$5,$F2181))),COUNT($H$1:H2180)+1,"")</f>
        <v>0</v>
      </c>
      <c r="I2181" s="9">
        <f>IF(AND($G2181&lt;&gt;"",ISNUMBER(SEARCH('Nr rejestracyjny'!$F$5,$G2181))),COUNT($I$1:I2180)+1,"")</f>
        <v>0</v>
      </c>
    </row>
    <row r="2182" spans="6:9">
      <c r="F2182" s="7">
        <f>IF('W rejestracji'!$C$2189="","",'W rejestracji'!$C$2189)</f>
        <v>0</v>
      </c>
      <c r="G2182" s="7">
        <f>IF(Zarejestrowane!$C$2189="","",Zarejestrowane!$C$2189)</f>
        <v>0</v>
      </c>
      <c r="H2182" s="9">
        <f>IF(AND($F2182&lt;&gt;"",ISNUMBER(SEARCH('Nr rejestracyjny'!$F$5,$F2182))),COUNT($H$1:H2181)+1,"")</f>
        <v>0</v>
      </c>
      <c r="I2182" s="9">
        <f>IF(AND($G2182&lt;&gt;"",ISNUMBER(SEARCH('Nr rejestracyjny'!$F$5,$G2182))),COUNT($I$1:I2181)+1,"")</f>
        <v>0</v>
      </c>
    </row>
    <row r="2183" spans="6:9">
      <c r="F2183" s="7">
        <f>IF('W rejestracji'!$C$2190="","",'W rejestracji'!$C$2190)</f>
        <v>0</v>
      </c>
      <c r="G2183" s="7">
        <f>IF(Zarejestrowane!$C$2190="","",Zarejestrowane!$C$2190)</f>
        <v>0</v>
      </c>
      <c r="H2183" s="9">
        <f>IF(AND($F2183&lt;&gt;"",ISNUMBER(SEARCH('Nr rejestracyjny'!$F$5,$F2183))),COUNT($H$1:H2182)+1,"")</f>
        <v>0</v>
      </c>
      <c r="I2183" s="9">
        <f>IF(AND($G2183&lt;&gt;"",ISNUMBER(SEARCH('Nr rejestracyjny'!$F$5,$G2183))),COUNT($I$1:I2182)+1,"")</f>
        <v>0</v>
      </c>
    </row>
    <row r="2184" spans="6:9">
      <c r="F2184" s="7">
        <f>IF('W rejestracji'!$C$2191="","",'W rejestracji'!$C$2191)</f>
        <v>0</v>
      </c>
      <c r="G2184" s="7">
        <f>IF(Zarejestrowane!$C$2191="","",Zarejestrowane!$C$2191)</f>
        <v>0</v>
      </c>
      <c r="H2184" s="9">
        <f>IF(AND($F2184&lt;&gt;"",ISNUMBER(SEARCH('Nr rejestracyjny'!$F$5,$F2184))),COUNT($H$1:H2183)+1,"")</f>
        <v>0</v>
      </c>
      <c r="I2184" s="9">
        <f>IF(AND($G2184&lt;&gt;"",ISNUMBER(SEARCH('Nr rejestracyjny'!$F$5,$G2184))),COUNT($I$1:I2183)+1,"")</f>
        <v>0</v>
      </c>
    </row>
    <row r="2185" spans="6:9">
      <c r="F2185" s="7">
        <f>IF('W rejestracji'!$C$2192="","",'W rejestracji'!$C$2192)</f>
        <v>0</v>
      </c>
      <c r="G2185" s="7">
        <f>IF(Zarejestrowane!$C$2192="","",Zarejestrowane!$C$2192)</f>
        <v>0</v>
      </c>
      <c r="H2185" s="9">
        <f>IF(AND($F2185&lt;&gt;"",ISNUMBER(SEARCH('Nr rejestracyjny'!$F$5,$F2185))),COUNT($H$1:H2184)+1,"")</f>
        <v>0</v>
      </c>
      <c r="I2185" s="9">
        <f>IF(AND($G2185&lt;&gt;"",ISNUMBER(SEARCH('Nr rejestracyjny'!$F$5,$G2185))),COUNT($I$1:I2184)+1,"")</f>
        <v>0</v>
      </c>
    </row>
    <row r="2186" spans="6:9">
      <c r="F2186" s="7">
        <f>IF('W rejestracji'!$C$2193="","",'W rejestracji'!$C$2193)</f>
        <v>0</v>
      </c>
      <c r="G2186" s="7">
        <f>IF(Zarejestrowane!$C$2193="","",Zarejestrowane!$C$2193)</f>
        <v>0</v>
      </c>
      <c r="H2186" s="9">
        <f>IF(AND($F2186&lt;&gt;"",ISNUMBER(SEARCH('Nr rejestracyjny'!$F$5,$F2186))),COUNT($H$1:H2185)+1,"")</f>
        <v>0</v>
      </c>
      <c r="I2186" s="9">
        <f>IF(AND($G2186&lt;&gt;"",ISNUMBER(SEARCH('Nr rejestracyjny'!$F$5,$G2186))),COUNT($I$1:I2185)+1,"")</f>
        <v>0</v>
      </c>
    </row>
    <row r="2187" spans="6:9">
      <c r="F2187" s="7">
        <f>IF('W rejestracji'!$C$2194="","",'W rejestracji'!$C$2194)</f>
        <v>0</v>
      </c>
      <c r="G2187" s="7">
        <f>IF(Zarejestrowane!$C$2194="","",Zarejestrowane!$C$2194)</f>
        <v>0</v>
      </c>
      <c r="H2187" s="9">
        <f>IF(AND($F2187&lt;&gt;"",ISNUMBER(SEARCH('Nr rejestracyjny'!$F$5,$F2187))),COUNT($H$1:H2186)+1,"")</f>
        <v>0</v>
      </c>
      <c r="I2187" s="9">
        <f>IF(AND($G2187&lt;&gt;"",ISNUMBER(SEARCH('Nr rejestracyjny'!$F$5,$G2187))),COUNT($I$1:I2186)+1,"")</f>
        <v>0</v>
      </c>
    </row>
    <row r="2188" spans="6:9">
      <c r="F2188" s="7">
        <f>IF('W rejestracji'!$C$2195="","",'W rejestracji'!$C$2195)</f>
        <v>0</v>
      </c>
      <c r="G2188" s="7">
        <f>IF(Zarejestrowane!$C$2195="","",Zarejestrowane!$C$2195)</f>
        <v>0</v>
      </c>
      <c r="H2188" s="9">
        <f>IF(AND($F2188&lt;&gt;"",ISNUMBER(SEARCH('Nr rejestracyjny'!$F$5,$F2188))),COUNT($H$1:H2187)+1,"")</f>
        <v>0</v>
      </c>
      <c r="I2188" s="9">
        <f>IF(AND($G2188&lt;&gt;"",ISNUMBER(SEARCH('Nr rejestracyjny'!$F$5,$G2188))),COUNT($I$1:I2187)+1,"")</f>
        <v>0</v>
      </c>
    </row>
    <row r="2189" spans="6:9">
      <c r="F2189" s="7">
        <f>IF('W rejestracji'!$C$2196="","",'W rejestracji'!$C$2196)</f>
        <v>0</v>
      </c>
      <c r="G2189" s="7">
        <f>IF(Zarejestrowane!$C$2196="","",Zarejestrowane!$C$2196)</f>
        <v>0</v>
      </c>
      <c r="H2189" s="9">
        <f>IF(AND($F2189&lt;&gt;"",ISNUMBER(SEARCH('Nr rejestracyjny'!$F$5,$F2189))),COUNT($H$1:H2188)+1,"")</f>
        <v>0</v>
      </c>
      <c r="I2189" s="9">
        <f>IF(AND($G2189&lt;&gt;"",ISNUMBER(SEARCH('Nr rejestracyjny'!$F$5,$G2189))),COUNT($I$1:I2188)+1,"")</f>
        <v>0</v>
      </c>
    </row>
    <row r="2190" spans="6:9">
      <c r="F2190" s="7">
        <f>IF('W rejestracji'!$C$2197="","",'W rejestracji'!$C$2197)</f>
        <v>0</v>
      </c>
      <c r="G2190" s="7">
        <f>IF(Zarejestrowane!$C$2197="","",Zarejestrowane!$C$2197)</f>
        <v>0</v>
      </c>
      <c r="H2190" s="9">
        <f>IF(AND($F2190&lt;&gt;"",ISNUMBER(SEARCH('Nr rejestracyjny'!$F$5,$F2190))),COUNT($H$1:H2189)+1,"")</f>
        <v>0</v>
      </c>
      <c r="I2190" s="9">
        <f>IF(AND($G2190&lt;&gt;"",ISNUMBER(SEARCH('Nr rejestracyjny'!$F$5,$G2190))),COUNT($I$1:I2189)+1,"")</f>
        <v>0</v>
      </c>
    </row>
    <row r="2191" spans="6:9">
      <c r="F2191" s="7">
        <f>IF('W rejestracji'!$C$2198="","",'W rejestracji'!$C$2198)</f>
        <v>0</v>
      </c>
      <c r="G2191" s="7">
        <f>IF(Zarejestrowane!$C$2198="","",Zarejestrowane!$C$2198)</f>
        <v>0</v>
      </c>
      <c r="H2191" s="9">
        <f>IF(AND($F2191&lt;&gt;"",ISNUMBER(SEARCH('Nr rejestracyjny'!$F$5,$F2191))),COUNT($H$1:H2190)+1,"")</f>
        <v>0</v>
      </c>
      <c r="I2191" s="9">
        <f>IF(AND($G2191&lt;&gt;"",ISNUMBER(SEARCH('Nr rejestracyjny'!$F$5,$G2191))),COUNT($I$1:I2190)+1,"")</f>
        <v>0</v>
      </c>
    </row>
    <row r="2192" spans="6:9">
      <c r="F2192" s="7">
        <f>IF('W rejestracji'!$C$2199="","",'W rejestracji'!$C$2199)</f>
        <v>0</v>
      </c>
      <c r="G2192" s="7">
        <f>IF(Zarejestrowane!$C$2199="","",Zarejestrowane!$C$2199)</f>
        <v>0</v>
      </c>
      <c r="H2192" s="9">
        <f>IF(AND($F2192&lt;&gt;"",ISNUMBER(SEARCH('Nr rejestracyjny'!$F$5,$F2192))),COUNT($H$1:H2191)+1,"")</f>
        <v>0</v>
      </c>
      <c r="I2192" s="9">
        <f>IF(AND($G2192&lt;&gt;"",ISNUMBER(SEARCH('Nr rejestracyjny'!$F$5,$G2192))),COUNT($I$1:I2191)+1,"")</f>
        <v>0</v>
      </c>
    </row>
    <row r="2193" spans="6:9">
      <c r="F2193" s="7">
        <f>IF('W rejestracji'!$C$2200="","",'W rejestracji'!$C$2200)</f>
        <v>0</v>
      </c>
      <c r="G2193" s="7">
        <f>IF(Zarejestrowane!$C$2200="","",Zarejestrowane!$C$2200)</f>
        <v>0</v>
      </c>
      <c r="H2193" s="9">
        <f>IF(AND($F2193&lt;&gt;"",ISNUMBER(SEARCH('Nr rejestracyjny'!$F$5,$F2193))),COUNT($H$1:H2192)+1,"")</f>
        <v>0</v>
      </c>
      <c r="I2193" s="9">
        <f>IF(AND($G2193&lt;&gt;"",ISNUMBER(SEARCH('Nr rejestracyjny'!$F$5,$G2193))),COUNT($I$1:I2192)+1,"")</f>
        <v>0</v>
      </c>
    </row>
    <row r="2194" spans="6:9">
      <c r="F2194" s="7">
        <f>IF('W rejestracji'!$C$2201="","",'W rejestracji'!$C$2201)</f>
        <v>0</v>
      </c>
      <c r="G2194" s="7">
        <f>IF(Zarejestrowane!$C$2201="","",Zarejestrowane!$C$2201)</f>
        <v>0</v>
      </c>
      <c r="H2194" s="9">
        <f>IF(AND($F2194&lt;&gt;"",ISNUMBER(SEARCH('Nr rejestracyjny'!$F$5,$F2194))),COUNT($H$1:H2193)+1,"")</f>
        <v>0</v>
      </c>
      <c r="I2194" s="9">
        <f>IF(AND($G2194&lt;&gt;"",ISNUMBER(SEARCH('Nr rejestracyjny'!$F$5,$G2194))),COUNT($I$1:I2193)+1,"")</f>
        <v>0</v>
      </c>
    </row>
    <row r="2195" spans="6:9">
      <c r="F2195" s="7">
        <f>IF('W rejestracji'!$C$2202="","",'W rejestracji'!$C$2202)</f>
        <v>0</v>
      </c>
      <c r="G2195" s="7">
        <f>IF(Zarejestrowane!$C$2202="","",Zarejestrowane!$C$2202)</f>
        <v>0</v>
      </c>
      <c r="H2195" s="9">
        <f>IF(AND($F2195&lt;&gt;"",ISNUMBER(SEARCH('Nr rejestracyjny'!$F$5,$F2195))),COUNT($H$1:H2194)+1,"")</f>
        <v>0</v>
      </c>
      <c r="I2195" s="9">
        <f>IF(AND($G2195&lt;&gt;"",ISNUMBER(SEARCH('Nr rejestracyjny'!$F$5,$G2195))),COUNT($I$1:I2194)+1,"")</f>
        <v>0</v>
      </c>
    </row>
    <row r="2196" spans="6:9">
      <c r="F2196" s="7">
        <f>IF('W rejestracji'!$C$2203="","",'W rejestracji'!$C$2203)</f>
        <v>0</v>
      </c>
      <c r="G2196" s="7">
        <f>IF(Zarejestrowane!$C$2203="","",Zarejestrowane!$C$2203)</f>
        <v>0</v>
      </c>
      <c r="H2196" s="9">
        <f>IF(AND($F2196&lt;&gt;"",ISNUMBER(SEARCH('Nr rejestracyjny'!$F$5,$F2196))),COUNT($H$1:H2195)+1,"")</f>
        <v>0</v>
      </c>
      <c r="I2196" s="9">
        <f>IF(AND($G2196&lt;&gt;"",ISNUMBER(SEARCH('Nr rejestracyjny'!$F$5,$G2196))),COUNT($I$1:I2195)+1,"")</f>
        <v>0</v>
      </c>
    </row>
    <row r="2197" spans="6:9">
      <c r="F2197" s="7">
        <f>IF('W rejestracji'!$C$2204="","",'W rejestracji'!$C$2204)</f>
        <v>0</v>
      </c>
      <c r="G2197" s="7">
        <f>IF(Zarejestrowane!$C$2204="","",Zarejestrowane!$C$2204)</f>
        <v>0</v>
      </c>
      <c r="H2197" s="9">
        <f>IF(AND($F2197&lt;&gt;"",ISNUMBER(SEARCH('Nr rejestracyjny'!$F$5,$F2197))),COUNT($H$1:H2196)+1,"")</f>
        <v>0</v>
      </c>
      <c r="I2197" s="9">
        <f>IF(AND($G2197&lt;&gt;"",ISNUMBER(SEARCH('Nr rejestracyjny'!$F$5,$G2197))),COUNT($I$1:I2196)+1,"")</f>
        <v>0</v>
      </c>
    </row>
    <row r="2198" spans="6:9">
      <c r="F2198" s="7">
        <f>IF('W rejestracji'!$C$2205="","",'W rejestracji'!$C$2205)</f>
        <v>0</v>
      </c>
      <c r="G2198" s="7">
        <f>IF(Zarejestrowane!$C$2205="","",Zarejestrowane!$C$2205)</f>
        <v>0</v>
      </c>
      <c r="H2198" s="9">
        <f>IF(AND($F2198&lt;&gt;"",ISNUMBER(SEARCH('Nr rejestracyjny'!$F$5,$F2198))),COUNT($H$1:H2197)+1,"")</f>
        <v>0</v>
      </c>
      <c r="I2198" s="9">
        <f>IF(AND($G2198&lt;&gt;"",ISNUMBER(SEARCH('Nr rejestracyjny'!$F$5,$G2198))),COUNT($I$1:I2197)+1,"")</f>
        <v>0</v>
      </c>
    </row>
    <row r="2199" spans="6:9">
      <c r="F2199" s="7">
        <f>IF('W rejestracji'!$C$2206="","",'W rejestracji'!$C$2206)</f>
        <v>0</v>
      </c>
      <c r="G2199" s="7">
        <f>IF(Zarejestrowane!$C$2206="","",Zarejestrowane!$C$2206)</f>
        <v>0</v>
      </c>
      <c r="H2199" s="9">
        <f>IF(AND($F2199&lt;&gt;"",ISNUMBER(SEARCH('Nr rejestracyjny'!$F$5,$F2199))),COUNT($H$1:H2198)+1,"")</f>
        <v>0</v>
      </c>
      <c r="I2199" s="9">
        <f>IF(AND($G2199&lt;&gt;"",ISNUMBER(SEARCH('Nr rejestracyjny'!$F$5,$G2199))),COUNT($I$1:I2198)+1,"")</f>
        <v>0</v>
      </c>
    </row>
    <row r="2200" spans="6:9">
      <c r="F2200" s="7">
        <f>IF('W rejestracji'!$C$2207="","",'W rejestracji'!$C$2207)</f>
        <v>0</v>
      </c>
      <c r="G2200" s="7">
        <f>IF(Zarejestrowane!$C$2207="","",Zarejestrowane!$C$2207)</f>
        <v>0</v>
      </c>
      <c r="H2200" s="9">
        <f>IF(AND($F2200&lt;&gt;"",ISNUMBER(SEARCH('Nr rejestracyjny'!$F$5,$F2200))),COUNT($H$1:H2199)+1,"")</f>
        <v>0</v>
      </c>
      <c r="I2200" s="9">
        <f>IF(AND($G2200&lt;&gt;"",ISNUMBER(SEARCH('Nr rejestracyjny'!$F$5,$G2200))),COUNT($I$1:I2199)+1,"")</f>
        <v>0</v>
      </c>
    </row>
    <row r="2201" spans="6:9">
      <c r="F2201" s="7">
        <f>IF('W rejestracji'!$C$2208="","",'W rejestracji'!$C$2208)</f>
        <v>0</v>
      </c>
      <c r="G2201" s="7">
        <f>IF(Zarejestrowane!$C$2208="","",Zarejestrowane!$C$2208)</f>
        <v>0</v>
      </c>
      <c r="H2201" s="9">
        <f>IF(AND($F2201&lt;&gt;"",ISNUMBER(SEARCH('Nr rejestracyjny'!$F$5,$F2201))),COUNT($H$1:H2200)+1,"")</f>
        <v>0</v>
      </c>
      <c r="I2201" s="9">
        <f>IF(AND($G2201&lt;&gt;"",ISNUMBER(SEARCH('Nr rejestracyjny'!$F$5,$G2201))),COUNT($I$1:I2200)+1,"")</f>
        <v>0</v>
      </c>
    </row>
    <row r="2202" spans="6:9">
      <c r="F2202" s="7">
        <f>IF('W rejestracji'!$C$2209="","",'W rejestracji'!$C$2209)</f>
        <v>0</v>
      </c>
      <c r="G2202" s="7">
        <f>IF(Zarejestrowane!$C$2209="","",Zarejestrowane!$C$2209)</f>
        <v>0</v>
      </c>
      <c r="H2202" s="9">
        <f>IF(AND($F2202&lt;&gt;"",ISNUMBER(SEARCH('Nr rejestracyjny'!$F$5,$F2202))),COUNT($H$1:H2201)+1,"")</f>
        <v>0</v>
      </c>
      <c r="I2202" s="9">
        <f>IF(AND($G2202&lt;&gt;"",ISNUMBER(SEARCH('Nr rejestracyjny'!$F$5,$G2202))),COUNT($I$1:I2201)+1,"")</f>
        <v>0</v>
      </c>
    </row>
    <row r="2203" spans="6:9">
      <c r="F2203" s="7">
        <f>IF('W rejestracji'!$C$2210="","",'W rejestracji'!$C$2210)</f>
        <v>0</v>
      </c>
      <c r="G2203" s="7">
        <f>IF(Zarejestrowane!$C$2210="","",Zarejestrowane!$C$2210)</f>
        <v>0</v>
      </c>
      <c r="H2203" s="9">
        <f>IF(AND($F2203&lt;&gt;"",ISNUMBER(SEARCH('Nr rejestracyjny'!$F$5,$F2203))),COUNT($H$1:H2202)+1,"")</f>
        <v>0</v>
      </c>
      <c r="I2203" s="9">
        <f>IF(AND($G2203&lt;&gt;"",ISNUMBER(SEARCH('Nr rejestracyjny'!$F$5,$G2203))),COUNT($I$1:I2202)+1,"")</f>
        <v>0</v>
      </c>
    </row>
    <row r="2204" spans="6:9">
      <c r="F2204" s="7">
        <f>IF('W rejestracji'!$C$2211="","",'W rejestracji'!$C$2211)</f>
        <v>0</v>
      </c>
      <c r="G2204" s="7">
        <f>IF(Zarejestrowane!$C$2211="","",Zarejestrowane!$C$2211)</f>
        <v>0</v>
      </c>
      <c r="H2204" s="9">
        <f>IF(AND($F2204&lt;&gt;"",ISNUMBER(SEARCH('Nr rejestracyjny'!$F$5,$F2204))),COUNT($H$1:H2203)+1,"")</f>
        <v>0</v>
      </c>
      <c r="I2204" s="9">
        <f>IF(AND($G2204&lt;&gt;"",ISNUMBER(SEARCH('Nr rejestracyjny'!$F$5,$G2204))),COUNT($I$1:I2203)+1,"")</f>
        <v>0</v>
      </c>
    </row>
    <row r="2205" spans="6:9">
      <c r="F2205" s="7">
        <f>IF('W rejestracji'!$C$2212="","",'W rejestracji'!$C$2212)</f>
        <v>0</v>
      </c>
      <c r="G2205" s="7">
        <f>IF(Zarejestrowane!$C$2212="","",Zarejestrowane!$C$2212)</f>
        <v>0</v>
      </c>
      <c r="H2205" s="9">
        <f>IF(AND($F2205&lt;&gt;"",ISNUMBER(SEARCH('Nr rejestracyjny'!$F$5,$F2205))),COUNT($H$1:H2204)+1,"")</f>
        <v>0</v>
      </c>
      <c r="I2205" s="9">
        <f>IF(AND($G2205&lt;&gt;"",ISNUMBER(SEARCH('Nr rejestracyjny'!$F$5,$G2205))),COUNT($I$1:I2204)+1,"")</f>
        <v>0</v>
      </c>
    </row>
    <row r="2206" spans="6:9">
      <c r="F2206" s="7">
        <f>IF('W rejestracji'!$C$2213="","",'W rejestracji'!$C$2213)</f>
        <v>0</v>
      </c>
      <c r="G2206" s="7">
        <f>IF(Zarejestrowane!$C$2213="","",Zarejestrowane!$C$2213)</f>
        <v>0</v>
      </c>
      <c r="H2206" s="9">
        <f>IF(AND($F2206&lt;&gt;"",ISNUMBER(SEARCH('Nr rejestracyjny'!$F$5,$F2206))),COUNT($H$1:H2205)+1,"")</f>
        <v>0</v>
      </c>
      <c r="I2206" s="9">
        <f>IF(AND($G2206&lt;&gt;"",ISNUMBER(SEARCH('Nr rejestracyjny'!$F$5,$G2206))),COUNT($I$1:I2205)+1,"")</f>
        <v>0</v>
      </c>
    </row>
    <row r="2207" spans="6:9">
      <c r="F2207" s="7">
        <f>IF('W rejestracji'!$C$2214="","",'W rejestracji'!$C$2214)</f>
        <v>0</v>
      </c>
      <c r="G2207" s="7">
        <f>IF(Zarejestrowane!$C$2214="","",Zarejestrowane!$C$2214)</f>
        <v>0</v>
      </c>
      <c r="H2207" s="9">
        <f>IF(AND($F2207&lt;&gt;"",ISNUMBER(SEARCH('Nr rejestracyjny'!$F$5,$F2207))),COUNT($H$1:H2206)+1,"")</f>
        <v>0</v>
      </c>
      <c r="I2207" s="9">
        <f>IF(AND($G2207&lt;&gt;"",ISNUMBER(SEARCH('Nr rejestracyjny'!$F$5,$G2207))),COUNT($I$1:I2206)+1,"")</f>
        <v>0</v>
      </c>
    </row>
    <row r="2208" spans="6:9">
      <c r="F2208" s="7">
        <f>IF('W rejestracji'!$C$2215="","",'W rejestracji'!$C$2215)</f>
        <v>0</v>
      </c>
      <c r="G2208" s="7">
        <f>IF(Zarejestrowane!$C$2215="","",Zarejestrowane!$C$2215)</f>
        <v>0</v>
      </c>
      <c r="H2208" s="9">
        <f>IF(AND($F2208&lt;&gt;"",ISNUMBER(SEARCH('Nr rejestracyjny'!$F$5,$F2208))),COUNT($H$1:H2207)+1,"")</f>
        <v>0</v>
      </c>
      <c r="I2208" s="9">
        <f>IF(AND($G2208&lt;&gt;"",ISNUMBER(SEARCH('Nr rejestracyjny'!$F$5,$G2208))),COUNT($I$1:I2207)+1,"")</f>
        <v>0</v>
      </c>
    </row>
    <row r="2209" spans="6:9">
      <c r="F2209" s="7">
        <f>IF('W rejestracji'!$C$2216="","",'W rejestracji'!$C$2216)</f>
        <v>0</v>
      </c>
      <c r="G2209" s="7">
        <f>IF(Zarejestrowane!$C$2216="","",Zarejestrowane!$C$2216)</f>
        <v>0</v>
      </c>
      <c r="H2209" s="9">
        <f>IF(AND($F2209&lt;&gt;"",ISNUMBER(SEARCH('Nr rejestracyjny'!$F$5,$F2209))),COUNT($H$1:H2208)+1,"")</f>
        <v>0</v>
      </c>
      <c r="I2209" s="9">
        <f>IF(AND($G2209&lt;&gt;"",ISNUMBER(SEARCH('Nr rejestracyjny'!$F$5,$G2209))),COUNT($I$1:I2208)+1,"")</f>
        <v>0</v>
      </c>
    </row>
    <row r="2210" spans="6:9">
      <c r="F2210" s="7">
        <f>IF('W rejestracji'!$C$2217="","",'W rejestracji'!$C$2217)</f>
        <v>0</v>
      </c>
      <c r="G2210" s="7">
        <f>IF(Zarejestrowane!$C$2217="","",Zarejestrowane!$C$2217)</f>
        <v>0</v>
      </c>
      <c r="H2210" s="9">
        <f>IF(AND($F2210&lt;&gt;"",ISNUMBER(SEARCH('Nr rejestracyjny'!$F$5,$F2210))),COUNT($H$1:H2209)+1,"")</f>
        <v>0</v>
      </c>
      <c r="I2210" s="9">
        <f>IF(AND($G2210&lt;&gt;"",ISNUMBER(SEARCH('Nr rejestracyjny'!$F$5,$G2210))),COUNT($I$1:I2209)+1,"")</f>
        <v>0</v>
      </c>
    </row>
    <row r="2211" spans="6:9">
      <c r="F2211" s="7">
        <f>IF('W rejestracji'!$C$2218="","",'W rejestracji'!$C$2218)</f>
        <v>0</v>
      </c>
      <c r="G2211" s="7">
        <f>IF(Zarejestrowane!$C$2218="","",Zarejestrowane!$C$2218)</f>
        <v>0</v>
      </c>
      <c r="H2211" s="9">
        <f>IF(AND($F2211&lt;&gt;"",ISNUMBER(SEARCH('Nr rejestracyjny'!$F$5,$F2211))),COUNT($H$1:H2210)+1,"")</f>
        <v>0</v>
      </c>
      <c r="I2211" s="9">
        <f>IF(AND($G2211&lt;&gt;"",ISNUMBER(SEARCH('Nr rejestracyjny'!$F$5,$G2211))),COUNT($I$1:I2210)+1,"")</f>
        <v>0</v>
      </c>
    </row>
    <row r="2212" spans="6:9">
      <c r="F2212" s="7">
        <f>IF('W rejestracji'!$C$2219="","",'W rejestracji'!$C$2219)</f>
        <v>0</v>
      </c>
      <c r="G2212" s="7">
        <f>IF(Zarejestrowane!$C$2219="","",Zarejestrowane!$C$2219)</f>
        <v>0</v>
      </c>
      <c r="H2212" s="9">
        <f>IF(AND($F2212&lt;&gt;"",ISNUMBER(SEARCH('Nr rejestracyjny'!$F$5,$F2212))),COUNT($H$1:H2211)+1,"")</f>
        <v>0</v>
      </c>
      <c r="I2212" s="9">
        <f>IF(AND($G2212&lt;&gt;"",ISNUMBER(SEARCH('Nr rejestracyjny'!$F$5,$G2212))),COUNT($I$1:I2211)+1,"")</f>
        <v>0</v>
      </c>
    </row>
    <row r="2213" spans="6:9">
      <c r="F2213" s="7">
        <f>IF('W rejestracji'!$C$2220="","",'W rejestracji'!$C$2220)</f>
        <v>0</v>
      </c>
      <c r="G2213" s="7">
        <f>IF(Zarejestrowane!$C$2220="","",Zarejestrowane!$C$2220)</f>
        <v>0</v>
      </c>
      <c r="H2213" s="9">
        <f>IF(AND($F2213&lt;&gt;"",ISNUMBER(SEARCH('Nr rejestracyjny'!$F$5,$F2213))),COUNT($H$1:H2212)+1,"")</f>
        <v>0</v>
      </c>
      <c r="I2213" s="9">
        <f>IF(AND($G2213&lt;&gt;"",ISNUMBER(SEARCH('Nr rejestracyjny'!$F$5,$G2213))),COUNT($I$1:I2212)+1,"")</f>
        <v>0</v>
      </c>
    </row>
    <row r="2214" spans="6:9">
      <c r="F2214" s="7">
        <f>IF('W rejestracji'!$C$2221="","",'W rejestracji'!$C$2221)</f>
        <v>0</v>
      </c>
      <c r="G2214" s="7">
        <f>IF(Zarejestrowane!$C$2221="","",Zarejestrowane!$C$2221)</f>
        <v>0</v>
      </c>
      <c r="H2214" s="9">
        <f>IF(AND($F2214&lt;&gt;"",ISNUMBER(SEARCH('Nr rejestracyjny'!$F$5,$F2214))),COUNT($H$1:H2213)+1,"")</f>
        <v>0</v>
      </c>
      <c r="I2214" s="9">
        <f>IF(AND($G2214&lt;&gt;"",ISNUMBER(SEARCH('Nr rejestracyjny'!$F$5,$G2214))),COUNT($I$1:I2213)+1,"")</f>
        <v>0</v>
      </c>
    </row>
    <row r="2215" spans="6:9">
      <c r="F2215" s="7">
        <f>IF('W rejestracji'!$C$2222="","",'W rejestracji'!$C$2222)</f>
        <v>0</v>
      </c>
      <c r="G2215" s="7">
        <f>IF(Zarejestrowane!$C$2222="","",Zarejestrowane!$C$2222)</f>
        <v>0</v>
      </c>
      <c r="H2215" s="9">
        <f>IF(AND($F2215&lt;&gt;"",ISNUMBER(SEARCH('Nr rejestracyjny'!$F$5,$F2215))),COUNT($H$1:H2214)+1,"")</f>
        <v>0</v>
      </c>
      <c r="I2215" s="9">
        <f>IF(AND($G2215&lt;&gt;"",ISNUMBER(SEARCH('Nr rejestracyjny'!$F$5,$G2215))),COUNT($I$1:I2214)+1,"")</f>
        <v>0</v>
      </c>
    </row>
    <row r="2216" spans="6:9">
      <c r="F2216" s="7">
        <f>IF('W rejestracji'!$C$2223="","",'W rejestracji'!$C$2223)</f>
        <v>0</v>
      </c>
      <c r="G2216" s="7">
        <f>IF(Zarejestrowane!$C$2223="","",Zarejestrowane!$C$2223)</f>
        <v>0</v>
      </c>
      <c r="H2216" s="9">
        <f>IF(AND($F2216&lt;&gt;"",ISNUMBER(SEARCH('Nr rejestracyjny'!$F$5,$F2216))),COUNT($H$1:H2215)+1,"")</f>
        <v>0</v>
      </c>
      <c r="I2216" s="9">
        <f>IF(AND($G2216&lt;&gt;"",ISNUMBER(SEARCH('Nr rejestracyjny'!$F$5,$G2216))),COUNT($I$1:I2215)+1,"")</f>
        <v>0</v>
      </c>
    </row>
    <row r="2217" spans="6:9">
      <c r="F2217" s="7">
        <f>IF('W rejestracji'!$C$2224="","",'W rejestracji'!$C$2224)</f>
        <v>0</v>
      </c>
      <c r="G2217" s="7">
        <f>IF(Zarejestrowane!$C$2224="","",Zarejestrowane!$C$2224)</f>
        <v>0</v>
      </c>
      <c r="H2217" s="9">
        <f>IF(AND($F2217&lt;&gt;"",ISNUMBER(SEARCH('Nr rejestracyjny'!$F$5,$F2217))),COUNT($H$1:H2216)+1,"")</f>
        <v>0</v>
      </c>
      <c r="I2217" s="9">
        <f>IF(AND($G2217&lt;&gt;"",ISNUMBER(SEARCH('Nr rejestracyjny'!$F$5,$G2217))),COUNT($I$1:I2216)+1,"")</f>
        <v>0</v>
      </c>
    </row>
    <row r="2218" spans="6:9">
      <c r="F2218" s="7">
        <f>IF('W rejestracji'!$C$2225="","",'W rejestracji'!$C$2225)</f>
        <v>0</v>
      </c>
      <c r="G2218" s="7">
        <f>IF(Zarejestrowane!$C$2225="","",Zarejestrowane!$C$2225)</f>
        <v>0</v>
      </c>
      <c r="H2218" s="9">
        <f>IF(AND($F2218&lt;&gt;"",ISNUMBER(SEARCH('Nr rejestracyjny'!$F$5,$F2218))),COUNT($H$1:H2217)+1,"")</f>
        <v>0</v>
      </c>
      <c r="I2218" s="9">
        <f>IF(AND($G2218&lt;&gt;"",ISNUMBER(SEARCH('Nr rejestracyjny'!$F$5,$G2218))),COUNT($I$1:I2217)+1,"")</f>
        <v>0</v>
      </c>
    </row>
    <row r="2219" spans="6:9">
      <c r="F2219" s="7">
        <f>IF('W rejestracji'!$C$2226="","",'W rejestracji'!$C$2226)</f>
        <v>0</v>
      </c>
      <c r="G2219" s="7">
        <f>IF(Zarejestrowane!$C$2226="","",Zarejestrowane!$C$2226)</f>
        <v>0</v>
      </c>
      <c r="H2219" s="9">
        <f>IF(AND($F2219&lt;&gt;"",ISNUMBER(SEARCH('Nr rejestracyjny'!$F$5,$F2219))),COUNT($H$1:H2218)+1,"")</f>
        <v>0</v>
      </c>
      <c r="I2219" s="9">
        <f>IF(AND($G2219&lt;&gt;"",ISNUMBER(SEARCH('Nr rejestracyjny'!$F$5,$G2219))),COUNT($I$1:I2218)+1,"")</f>
        <v>0</v>
      </c>
    </row>
    <row r="2220" spans="6:9">
      <c r="F2220" s="7">
        <f>IF('W rejestracji'!$C$2227="","",'W rejestracji'!$C$2227)</f>
        <v>0</v>
      </c>
      <c r="G2220" s="7">
        <f>IF(Zarejestrowane!$C$2227="","",Zarejestrowane!$C$2227)</f>
        <v>0</v>
      </c>
      <c r="H2220" s="9">
        <f>IF(AND($F2220&lt;&gt;"",ISNUMBER(SEARCH('Nr rejestracyjny'!$F$5,$F2220))),COUNT($H$1:H2219)+1,"")</f>
        <v>0</v>
      </c>
      <c r="I2220" s="9">
        <f>IF(AND($G2220&lt;&gt;"",ISNUMBER(SEARCH('Nr rejestracyjny'!$F$5,$G2220))),COUNT($I$1:I2219)+1,"")</f>
        <v>0</v>
      </c>
    </row>
    <row r="2221" spans="6:9">
      <c r="F2221" s="7">
        <f>IF('W rejestracji'!$C$2228="","",'W rejestracji'!$C$2228)</f>
        <v>0</v>
      </c>
      <c r="G2221" s="7">
        <f>IF(Zarejestrowane!$C$2228="","",Zarejestrowane!$C$2228)</f>
        <v>0</v>
      </c>
      <c r="H2221" s="9">
        <f>IF(AND($F2221&lt;&gt;"",ISNUMBER(SEARCH('Nr rejestracyjny'!$F$5,$F2221))),COUNT($H$1:H2220)+1,"")</f>
        <v>0</v>
      </c>
      <c r="I2221" s="9">
        <f>IF(AND($G2221&lt;&gt;"",ISNUMBER(SEARCH('Nr rejestracyjny'!$F$5,$G2221))),COUNT($I$1:I2220)+1,"")</f>
        <v>0</v>
      </c>
    </row>
    <row r="2222" spans="6:9">
      <c r="F2222" s="7">
        <f>IF('W rejestracji'!$C$2229="","",'W rejestracji'!$C$2229)</f>
        <v>0</v>
      </c>
      <c r="G2222" s="7">
        <f>IF(Zarejestrowane!$C$2229="","",Zarejestrowane!$C$2229)</f>
        <v>0</v>
      </c>
      <c r="H2222" s="9">
        <f>IF(AND($F2222&lt;&gt;"",ISNUMBER(SEARCH('Nr rejestracyjny'!$F$5,$F2222))),COUNT($H$1:H2221)+1,"")</f>
        <v>0</v>
      </c>
      <c r="I2222" s="9">
        <f>IF(AND($G2222&lt;&gt;"",ISNUMBER(SEARCH('Nr rejestracyjny'!$F$5,$G2222))),COUNT($I$1:I2221)+1,"")</f>
        <v>0</v>
      </c>
    </row>
    <row r="2223" spans="6:9">
      <c r="F2223" s="7">
        <f>IF('W rejestracji'!$C$2230="","",'W rejestracji'!$C$2230)</f>
        <v>0</v>
      </c>
      <c r="G2223" s="7">
        <f>IF(Zarejestrowane!$C$2230="","",Zarejestrowane!$C$2230)</f>
        <v>0</v>
      </c>
      <c r="H2223" s="9">
        <f>IF(AND($F2223&lt;&gt;"",ISNUMBER(SEARCH('Nr rejestracyjny'!$F$5,$F2223))),COUNT($H$1:H2222)+1,"")</f>
        <v>0</v>
      </c>
      <c r="I2223" s="9">
        <f>IF(AND($G2223&lt;&gt;"",ISNUMBER(SEARCH('Nr rejestracyjny'!$F$5,$G2223))),COUNT($I$1:I2222)+1,"")</f>
        <v>0</v>
      </c>
    </row>
    <row r="2224" spans="6:9">
      <c r="F2224" s="7">
        <f>IF('W rejestracji'!$C$2231="","",'W rejestracji'!$C$2231)</f>
        <v>0</v>
      </c>
      <c r="G2224" s="7">
        <f>IF(Zarejestrowane!$C$2231="","",Zarejestrowane!$C$2231)</f>
        <v>0</v>
      </c>
      <c r="H2224" s="9">
        <f>IF(AND($F2224&lt;&gt;"",ISNUMBER(SEARCH('Nr rejestracyjny'!$F$5,$F2224))),COUNT($H$1:H2223)+1,"")</f>
        <v>0</v>
      </c>
      <c r="I2224" s="9">
        <f>IF(AND($G2224&lt;&gt;"",ISNUMBER(SEARCH('Nr rejestracyjny'!$F$5,$G2224))),COUNT($I$1:I2223)+1,"")</f>
        <v>0</v>
      </c>
    </row>
    <row r="2225" spans="6:9">
      <c r="F2225" s="7">
        <f>IF('W rejestracji'!$C$2232="","",'W rejestracji'!$C$2232)</f>
        <v>0</v>
      </c>
      <c r="G2225" s="7">
        <f>IF(Zarejestrowane!$C$2232="","",Zarejestrowane!$C$2232)</f>
        <v>0</v>
      </c>
      <c r="H2225" s="9">
        <f>IF(AND($F2225&lt;&gt;"",ISNUMBER(SEARCH('Nr rejestracyjny'!$F$5,$F2225))),COUNT($H$1:H2224)+1,"")</f>
        <v>0</v>
      </c>
      <c r="I2225" s="9">
        <f>IF(AND($G2225&lt;&gt;"",ISNUMBER(SEARCH('Nr rejestracyjny'!$F$5,$G2225))),COUNT($I$1:I2224)+1,"")</f>
        <v>0</v>
      </c>
    </row>
    <row r="2226" spans="6:9">
      <c r="F2226" s="7">
        <f>IF('W rejestracji'!$C$2233="","",'W rejestracji'!$C$2233)</f>
        <v>0</v>
      </c>
      <c r="G2226" s="7">
        <f>IF(Zarejestrowane!$C$2233="","",Zarejestrowane!$C$2233)</f>
        <v>0</v>
      </c>
      <c r="H2226" s="9">
        <f>IF(AND($F2226&lt;&gt;"",ISNUMBER(SEARCH('Nr rejestracyjny'!$F$5,$F2226))),COUNT($H$1:H2225)+1,"")</f>
        <v>0</v>
      </c>
      <c r="I2226" s="9">
        <f>IF(AND($G2226&lt;&gt;"",ISNUMBER(SEARCH('Nr rejestracyjny'!$F$5,$G2226))),COUNT($I$1:I2225)+1,"")</f>
        <v>0</v>
      </c>
    </row>
    <row r="2227" spans="6:9">
      <c r="F2227" s="7">
        <f>IF('W rejestracji'!$C$2234="","",'W rejestracji'!$C$2234)</f>
        <v>0</v>
      </c>
      <c r="G2227" s="7">
        <f>IF(Zarejestrowane!$C$2234="","",Zarejestrowane!$C$2234)</f>
        <v>0</v>
      </c>
      <c r="H2227" s="9">
        <f>IF(AND($F2227&lt;&gt;"",ISNUMBER(SEARCH('Nr rejestracyjny'!$F$5,$F2227))),COUNT($H$1:H2226)+1,"")</f>
        <v>0</v>
      </c>
      <c r="I2227" s="9">
        <f>IF(AND($G2227&lt;&gt;"",ISNUMBER(SEARCH('Nr rejestracyjny'!$F$5,$G2227))),COUNT($I$1:I2226)+1,"")</f>
        <v>0</v>
      </c>
    </row>
    <row r="2228" spans="6:9">
      <c r="F2228" s="7">
        <f>IF('W rejestracji'!$C$2235="","",'W rejestracji'!$C$2235)</f>
        <v>0</v>
      </c>
      <c r="G2228" s="7">
        <f>IF(Zarejestrowane!$C$2235="","",Zarejestrowane!$C$2235)</f>
        <v>0</v>
      </c>
      <c r="H2228" s="9">
        <f>IF(AND($F2228&lt;&gt;"",ISNUMBER(SEARCH('Nr rejestracyjny'!$F$5,$F2228))),COUNT($H$1:H2227)+1,"")</f>
        <v>0</v>
      </c>
      <c r="I2228" s="9">
        <f>IF(AND($G2228&lt;&gt;"",ISNUMBER(SEARCH('Nr rejestracyjny'!$F$5,$G2228))),COUNT($I$1:I2227)+1,"")</f>
        <v>0</v>
      </c>
    </row>
    <row r="2229" spans="6:9">
      <c r="F2229" s="7">
        <f>IF('W rejestracji'!$C$2236="","",'W rejestracji'!$C$2236)</f>
        <v>0</v>
      </c>
      <c r="G2229" s="7">
        <f>IF(Zarejestrowane!$C$2236="","",Zarejestrowane!$C$2236)</f>
        <v>0</v>
      </c>
      <c r="H2229" s="9">
        <f>IF(AND($F2229&lt;&gt;"",ISNUMBER(SEARCH('Nr rejestracyjny'!$F$5,$F2229))),COUNT($H$1:H2228)+1,"")</f>
        <v>0</v>
      </c>
      <c r="I2229" s="9">
        <f>IF(AND($G2229&lt;&gt;"",ISNUMBER(SEARCH('Nr rejestracyjny'!$F$5,$G2229))),COUNT($I$1:I2228)+1,"")</f>
        <v>0</v>
      </c>
    </row>
    <row r="2230" spans="6:9">
      <c r="F2230" s="7">
        <f>IF('W rejestracji'!$C$2237="","",'W rejestracji'!$C$2237)</f>
        <v>0</v>
      </c>
      <c r="G2230" s="7">
        <f>IF(Zarejestrowane!$C$2237="","",Zarejestrowane!$C$2237)</f>
        <v>0</v>
      </c>
      <c r="H2230" s="9">
        <f>IF(AND($F2230&lt;&gt;"",ISNUMBER(SEARCH('Nr rejestracyjny'!$F$5,$F2230))),COUNT($H$1:H2229)+1,"")</f>
        <v>0</v>
      </c>
      <c r="I2230" s="9">
        <f>IF(AND($G2230&lt;&gt;"",ISNUMBER(SEARCH('Nr rejestracyjny'!$F$5,$G2230))),COUNT($I$1:I2229)+1,"")</f>
        <v>0</v>
      </c>
    </row>
    <row r="2231" spans="6:9">
      <c r="F2231" s="7">
        <f>IF('W rejestracji'!$C$2238="","",'W rejestracji'!$C$2238)</f>
        <v>0</v>
      </c>
      <c r="G2231" s="7">
        <f>IF(Zarejestrowane!$C$2238="","",Zarejestrowane!$C$2238)</f>
        <v>0</v>
      </c>
      <c r="H2231" s="9">
        <f>IF(AND($F2231&lt;&gt;"",ISNUMBER(SEARCH('Nr rejestracyjny'!$F$5,$F2231))),COUNT($H$1:H2230)+1,"")</f>
        <v>0</v>
      </c>
      <c r="I2231" s="9">
        <f>IF(AND($G2231&lt;&gt;"",ISNUMBER(SEARCH('Nr rejestracyjny'!$F$5,$G2231))),COUNT($I$1:I2230)+1,"")</f>
        <v>0</v>
      </c>
    </row>
    <row r="2232" spans="6:9">
      <c r="F2232" s="7">
        <f>IF('W rejestracji'!$C$2239="","",'W rejestracji'!$C$2239)</f>
        <v>0</v>
      </c>
      <c r="G2232" s="7">
        <f>IF(Zarejestrowane!$C$2239="","",Zarejestrowane!$C$2239)</f>
        <v>0</v>
      </c>
      <c r="H2232" s="9">
        <f>IF(AND($F2232&lt;&gt;"",ISNUMBER(SEARCH('Nr rejestracyjny'!$F$5,$F2232))),COUNT($H$1:H2231)+1,"")</f>
        <v>0</v>
      </c>
      <c r="I2232" s="9">
        <f>IF(AND($G2232&lt;&gt;"",ISNUMBER(SEARCH('Nr rejestracyjny'!$F$5,$G2232))),COUNT($I$1:I2231)+1,"")</f>
        <v>0</v>
      </c>
    </row>
    <row r="2233" spans="6:9">
      <c r="F2233" s="7">
        <f>IF('W rejestracji'!$C$2240="","",'W rejestracji'!$C$2240)</f>
        <v>0</v>
      </c>
      <c r="G2233" s="7">
        <f>IF(Zarejestrowane!$C$2240="","",Zarejestrowane!$C$2240)</f>
        <v>0</v>
      </c>
      <c r="H2233" s="9">
        <f>IF(AND($F2233&lt;&gt;"",ISNUMBER(SEARCH('Nr rejestracyjny'!$F$5,$F2233))),COUNT($H$1:H2232)+1,"")</f>
        <v>0</v>
      </c>
      <c r="I2233" s="9">
        <f>IF(AND($G2233&lt;&gt;"",ISNUMBER(SEARCH('Nr rejestracyjny'!$F$5,$G2233))),COUNT($I$1:I2232)+1,"")</f>
        <v>0</v>
      </c>
    </row>
    <row r="2234" spans="6:9">
      <c r="F2234" s="7">
        <f>IF('W rejestracji'!$C$2241="","",'W rejestracji'!$C$2241)</f>
        <v>0</v>
      </c>
      <c r="G2234" s="7">
        <f>IF(Zarejestrowane!$C$2241="","",Zarejestrowane!$C$2241)</f>
        <v>0</v>
      </c>
      <c r="H2234" s="9">
        <f>IF(AND($F2234&lt;&gt;"",ISNUMBER(SEARCH('Nr rejestracyjny'!$F$5,$F2234))),COUNT($H$1:H2233)+1,"")</f>
        <v>0</v>
      </c>
      <c r="I2234" s="9">
        <f>IF(AND($G2234&lt;&gt;"",ISNUMBER(SEARCH('Nr rejestracyjny'!$F$5,$G2234))),COUNT($I$1:I2233)+1,"")</f>
        <v>0</v>
      </c>
    </row>
    <row r="2235" spans="6:9">
      <c r="F2235" s="7">
        <f>IF('W rejestracji'!$C$2242="","",'W rejestracji'!$C$2242)</f>
        <v>0</v>
      </c>
      <c r="G2235" s="7">
        <f>IF(Zarejestrowane!$C$2242="","",Zarejestrowane!$C$2242)</f>
        <v>0</v>
      </c>
      <c r="H2235" s="9">
        <f>IF(AND($F2235&lt;&gt;"",ISNUMBER(SEARCH('Nr rejestracyjny'!$F$5,$F2235))),COUNT($H$1:H2234)+1,"")</f>
        <v>0</v>
      </c>
      <c r="I2235" s="9">
        <f>IF(AND($G2235&lt;&gt;"",ISNUMBER(SEARCH('Nr rejestracyjny'!$F$5,$G2235))),COUNT($I$1:I2234)+1,"")</f>
        <v>0</v>
      </c>
    </row>
    <row r="2236" spans="6:9">
      <c r="F2236" s="7">
        <f>IF('W rejestracji'!$C$2243="","",'W rejestracji'!$C$2243)</f>
        <v>0</v>
      </c>
      <c r="G2236" s="7">
        <f>IF(Zarejestrowane!$C$2243="","",Zarejestrowane!$C$2243)</f>
        <v>0</v>
      </c>
      <c r="H2236" s="9">
        <f>IF(AND($F2236&lt;&gt;"",ISNUMBER(SEARCH('Nr rejestracyjny'!$F$5,$F2236))),COUNT($H$1:H2235)+1,"")</f>
        <v>0</v>
      </c>
      <c r="I2236" s="9">
        <f>IF(AND($G2236&lt;&gt;"",ISNUMBER(SEARCH('Nr rejestracyjny'!$F$5,$G2236))),COUNT($I$1:I2235)+1,"")</f>
        <v>0</v>
      </c>
    </row>
    <row r="2237" spans="6:9">
      <c r="F2237" s="7">
        <f>IF('W rejestracji'!$C$2244="","",'W rejestracji'!$C$2244)</f>
        <v>0</v>
      </c>
      <c r="G2237" s="7">
        <f>IF(Zarejestrowane!$C$2244="","",Zarejestrowane!$C$2244)</f>
        <v>0</v>
      </c>
      <c r="H2237" s="9">
        <f>IF(AND($F2237&lt;&gt;"",ISNUMBER(SEARCH('Nr rejestracyjny'!$F$5,$F2237))),COUNT($H$1:H2236)+1,"")</f>
        <v>0</v>
      </c>
      <c r="I2237" s="9">
        <f>IF(AND($G2237&lt;&gt;"",ISNUMBER(SEARCH('Nr rejestracyjny'!$F$5,$G2237))),COUNT($I$1:I2236)+1,"")</f>
        <v>0</v>
      </c>
    </row>
    <row r="2238" spans="6:9">
      <c r="F2238" s="7">
        <f>IF('W rejestracji'!$C$2245="","",'W rejestracji'!$C$2245)</f>
        <v>0</v>
      </c>
      <c r="G2238" s="7">
        <f>IF(Zarejestrowane!$C$2245="","",Zarejestrowane!$C$2245)</f>
        <v>0</v>
      </c>
      <c r="H2238" s="9">
        <f>IF(AND($F2238&lt;&gt;"",ISNUMBER(SEARCH('Nr rejestracyjny'!$F$5,$F2238))),COUNT($H$1:H2237)+1,"")</f>
        <v>0</v>
      </c>
      <c r="I2238" s="9">
        <f>IF(AND($G2238&lt;&gt;"",ISNUMBER(SEARCH('Nr rejestracyjny'!$F$5,$G2238))),COUNT($I$1:I2237)+1,"")</f>
        <v>0</v>
      </c>
    </row>
    <row r="2239" spans="6:9">
      <c r="F2239" s="7">
        <f>IF('W rejestracji'!$C$2246="","",'W rejestracji'!$C$2246)</f>
        <v>0</v>
      </c>
      <c r="G2239" s="7">
        <f>IF(Zarejestrowane!$C$2246="","",Zarejestrowane!$C$2246)</f>
        <v>0</v>
      </c>
      <c r="H2239" s="9">
        <f>IF(AND($F2239&lt;&gt;"",ISNUMBER(SEARCH('Nr rejestracyjny'!$F$5,$F2239))),COUNT($H$1:H2238)+1,"")</f>
        <v>0</v>
      </c>
      <c r="I2239" s="9">
        <f>IF(AND($G2239&lt;&gt;"",ISNUMBER(SEARCH('Nr rejestracyjny'!$F$5,$G2239))),COUNT($I$1:I2238)+1,"")</f>
        <v>0</v>
      </c>
    </row>
    <row r="2240" spans="6:9">
      <c r="F2240" s="7">
        <f>IF('W rejestracji'!$C$2247="","",'W rejestracji'!$C$2247)</f>
        <v>0</v>
      </c>
      <c r="G2240" s="7">
        <f>IF(Zarejestrowane!$C$2247="","",Zarejestrowane!$C$2247)</f>
        <v>0</v>
      </c>
      <c r="H2240" s="9">
        <f>IF(AND($F2240&lt;&gt;"",ISNUMBER(SEARCH('Nr rejestracyjny'!$F$5,$F2240))),COUNT($H$1:H2239)+1,"")</f>
        <v>0</v>
      </c>
      <c r="I2240" s="9">
        <f>IF(AND($G2240&lt;&gt;"",ISNUMBER(SEARCH('Nr rejestracyjny'!$F$5,$G2240))),COUNT($I$1:I2239)+1,"")</f>
        <v>0</v>
      </c>
    </row>
    <row r="2241" spans="6:9">
      <c r="F2241" s="7">
        <f>IF('W rejestracji'!$C$2248="","",'W rejestracji'!$C$2248)</f>
        <v>0</v>
      </c>
      <c r="G2241" s="7">
        <f>IF(Zarejestrowane!$C$2248="","",Zarejestrowane!$C$2248)</f>
        <v>0</v>
      </c>
      <c r="H2241" s="9">
        <f>IF(AND($F2241&lt;&gt;"",ISNUMBER(SEARCH('Nr rejestracyjny'!$F$5,$F2241))),COUNT($H$1:H2240)+1,"")</f>
        <v>0</v>
      </c>
      <c r="I2241" s="9">
        <f>IF(AND($G2241&lt;&gt;"",ISNUMBER(SEARCH('Nr rejestracyjny'!$F$5,$G2241))),COUNT($I$1:I2240)+1,"")</f>
        <v>0</v>
      </c>
    </row>
    <row r="2242" spans="6:9">
      <c r="F2242" s="7">
        <f>IF('W rejestracji'!$C$2249="","",'W rejestracji'!$C$2249)</f>
        <v>0</v>
      </c>
      <c r="G2242" s="7">
        <f>IF(Zarejestrowane!$C$2249="","",Zarejestrowane!$C$2249)</f>
        <v>0</v>
      </c>
      <c r="H2242" s="9">
        <f>IF(AND($F2242&lt;&gt;"",ISNUMBER(SEARCH('Nr rejestracyjny'!$F$5,$F2242))),COUNT($H$1:H2241)+1,"")</f>
        <v>0</v>
      </c>
      <c r="I2242" s="9">
        <f>IF(AND($G2242&lt;&gt;"",ISNUMBER(SEARCH('Nr rejestracyjny'!$F$5,$G2242))),COUNT($I$1:I2241)+1,"")</f>
        <v>0</v>
      </c>
    </row>
    <row r="2243" spans="6:9">
      <c r="F2243" s="7">
        <f>IF('W rejestracji'!$C$2250="","",'W rejestracji'!$C$2250)</f>
        <v>0</v>
      </c>
      <c r="G2243" s="7">
        <f>IF(Zarejestrowane!$C$2250="","",Zarejestrowane!$C$2250)</f>
        <v>0</v>
      </c>
      <c r="H2243" s="9">
        <f>IF(AND($F2243&lt;&gt;"",ISNUMBER(SEARCH('Nr rejestracyjny'!$F$5,$F2243))),COUNT($H$1:H2242)+1,"")</f>
        <v>0</v>
      </c>
      <c r="I2243" s="9">
        <f>IF(AND($G2243&lt;&gt;"",ISNUMBER(SEARCH('Nr rejestracyjny'!$F$5,$G2243))),COUNT($I$1:I2242)+1,"")</f>
        <v>0</v>
      </c>
    </row>
    <row r="2244" spans="6:9">
      <c r="F2244" s="7">
        <f>IF('W rejestracji'!$C$2251="","",'W rejestracji'!$C$2251)</f>
        <v>0</v>
      </c>
      <c r="G2244" s="7">
        <f>IF(Zarejestrowane!$C$2251="","",Zarejestrowane!$C$2251)</f>
        <v>0</v>
      </c>
      <c r="H2244" s="9">
        <f>IF(AND($F2244&lt;&gt;"",ISNUMBER(SEARCH('Nr rejestracyjny'!$F$5,$F2244))),COUNT($H$1:H2243)+1,"")</f>
        <v>0</v>
      </c>
      <c r="I2244" s="9">
        <f>IF(AND($G2244&lt;&gt;"",ISNUMBER(SEARCH('Nr rejestracyjny'!$F$5,$G2244))),COUNT($I$1:I2243)+1,"")</f>
        <v>0</v>
      </c>
    </row>
    <row r="2245" spans="6:9">
      <c r="F2245" s="7">
        <f>IF('W rejestracji'!$C$2252="","",'W rejestracji'!$C$2252)</f>
        <v>0</v>
      </c>
      <c r="G2245" s="7">
        <f>IF(Zarejestrowane!$C$2252="","",Zarejestrowane!$C$2252)</f>
        <v>0</v>
      </c>
      <c r="H2245" s="9">
        <f>IF(AND($F2245&lt;&gt;"",ISNUMBER(SEARCH('Nr rejestracyjny'!$F$5,$F2245))),COUNT($H$1:H2244)+1,"")</f>
        <v>0</v>
      </c>
      <c r="I2245" s="9">
        <f>IF(AND($G2245&lt;&gt;"",ISNUMBER(SEARCH('Nr rejestracyjny'!$F$5,$G2245))),COUNT($I$1:I2244)+1,"")</f>
        <v>0</v>
      </c>
    </row>
    <row r="2246" spans="6:9">
      <c r="F2246" s="7">
        <f>IF('W rejestracji'!$C$2253="","",'W rejestracji'!$C$2253)</f>
        <v>0</v>
      </c>
      <c r="G2246" s="7">
        <f>IF(Zarejestrowane!$C$2253="","",Zarejestrowane!$C$2253)</f>
        <v>0</v>
      </c>
      <c r="H2246" s="9">
        <f>IF(AND($F2246&lt;&gt;"",ISNUMBER(SEARCH('Nr rejestracyjny'!$F$5,$F2246))),COUNT($H$1:H2245)+1,"")</f>
        <v>0</v>
      </c>
      <c r="I2246" s="9">
        <f>IF(AND($G2246&lt;&gt;"",ISNUMBER(SEARCH('Nr rejestracyjny'!$F$5,$G2246))),COUNT($I$1:I2245)+1,"")</f>
        <v>0</v>
      </c>
    </row>
    <row r="2247" spans="6:9">
      <c r="F2247" s="7">
        <f>IF('W rejestracji'!$C$2254="","",'W rejestracji'!$C$2254)</f>
        <v>0</v>
      </c>
      <c r="G2247" s="7">
        <f>IF(Zarejestrowane!$C$2254="","",Zarejestrowane!$C$2254)</f>
        <v>0</v>
      </c>
      <c r="H2247" s="9">
        <f>IF(AND($F2247&lt;&gt;"",ISNUMBER(SEARCH('Nr rejestracyjny'!$F$5,$F2247))),COUNT($H$1:H2246)+1,"")</f>
        <v>0</v>
      </c>
      <c r="I2247" s="9">
        <f>IF(AND($G2247&lt;&gt;"",ISNUMBER(SEARCH('Nr rejestracyjny'!$F$5,$G2247))),COUNT($I$1:I2246)+1,"")</f>
        <v>0</v>
      </c>
    </row>
    <row r="2248" spans="6:9">
      <c r="F2248" s="7">
        <f>IF('W rejestracji'!$C$2255="","",'W rejestracji'!$C$2255)</f>
        <v>0</v>
      </c>
      <c r="G2248" s="7">
        <f>IF(Zarejestrowane!$C$2255="","",Zarejestrowane!$C$2255)</f>
        <v>0</v>
      </c>
      <c r="H2248" s="9">
        <f>IF(AND($F2248&lt;&gt;"",ISNUMBER(SEARCH('Nr rejestracyjny'!$F$5,$F2248))),COUNT($H$1:H2247)+1,"")</f>
        <v>0</v>
      </c>
      <c r="I2248" s="9">
        <f>IF(AND($G2248&lt;&gt;"",ISNUMBER(SEARCH('Nr rejestracyjny'!$F$5,$G2248))),COUNT($I$1:I2247)+1,"")</f>
        <v>0</v>
      </c>
    </row>
    <row r="2249" spans="6:9">
      <c r="F2249" s="7">
        <f>IF('W rejestracji'!$C$2256="","",'W rejestracji'!$C$2256)</f>
        <v>0</v>
      </c>
      <c r="G2249" s="7">
        <f>IF(Zarejestrowane!$C$2256="","",Zarejestrowane!$C$2256)</f>
        <v>0</v>
      </c>
      <c r="H2249" s="9">
        <f>IF(AND($F2249&lt;&gt;"",ISNUMBER(SEARCH('Nr rejestracyjny'!$F$5,$F2249))),COUNT($H$1:H2248)+1,"")</f>
        <v>0</v>
      </c>
      <c r="I2249" s="9">
        <f>IF(AND($G2249&lt;&gt;"",ISNUMBER(SEARCH('Nr rejestracyjny'!$F$5,$G2249))),COUNT($I$1:I2248)+1,"")</f>
        <v>0</v>
      </c>
    </row>
    <row r="2250" spans="6:9">
      <c r="F2250" s="7">
        <f>IF('W rejestracji'!$C$2257="","",'W rejestracji'!$C$2257)</f>
        <v>0</v>
      </c>
      <c r="G2250" s="7">
        <f>IF(Zarejestrowane!$C$2257="","",Zarejestrowane!$C$2257)</f>
        <v>0</v>
      </c>
      <c r="H2250" s="9">
        <f>IF(AND($F2250&lt;&gt;"",ISNUMBER(SEARCH('Nr rejestracyjny'!$F$5,$F2250))),COUNT($H$1:H2249)+1,"")</f>
        <v>0</v>
      </c>
      <c r="I2250" s="9">
        <f>IF(AND($G2250&lt;&gt;"",ISNUMBER(SEARCH('Nr rejestracyjny'!$F$5,$G2250))),COUNT($I$1:I2249)+1,"")</f>
        <v>0</v>
      </c>
    </row>
    <row r="2251" spans="6:9">
      <c r="F2251" s="7">
        <f>IF('W rejestracji'!$C$2258="","",'W rejestracji'!$C$2258)</f>
        <v>0</v>
      </c>
      <c r="G2251" s="7">
        <f>IF(Zarejestrowane!$C$2258="","",Zarejestrowane!$C$2258)</f>
        <v>0</v>
      </c>
      <c r="H2251" s="9">
        <f>IF(AND($F2251&lt;&gt;"",ISNUMBER(SEARCH('Nr rejestracyjny'!$F$5,$F2251))),COUNT($H$1:H2250)+1,"")</f>
        <v>0</v>
      </c>
      <c r="I2251" s="9">
        <f>IF(AND($G2251&lt;&gt;"",ISNUMBER(SEARCH('Nr rejestracyjny'!$F$5,$G2251))),COUNT($I$1:I2250)+1,"")</f>
        <v>0</v>
      </c>
    </row>
    <row r="2252" spans="6:9">
      <c r="F2252" s="7">
        <f>IF('W rejestracji'!$C$2259="","",'W rejestracji'!$C$2259)</f>
        <v>0</v>
      </c>
      <c r="G2252" s="7">
        <f>IF(Zarejestrowane!$C$2259="","",Zarejestrowane!$C$2259)</f>
        <v>0</v>
      </c>
      <c r="H2252" s="9">
        <f>IF(AND($F2252&lt;&gt;"",ISNUMBER(SEARCH('Nr rejestracyjny'!$F$5,$F2252))),COUNT($H$1:H2251)+1,"")</f>
        <v>0</v>
      </c>
      <c r="I2252" s="9">
        <f>IF(AND($G2252&lt;&gt;"",ISNUMBER(SEARCH('Nr rejestracyjny'!$F$5,$G2252))),COUNT($I$1:I2251)+1,"")</f>
        <v>0</v>
      </c>
    </row>
    <row r="2253" spans="6:9">
      <c r="F2253" s="7">
        <f>IF('W rejestracji'!$C$2260="","",'W rejestracji'!$C$2260)</f>
        <v>0</v>
      </c>
      <c r="G2253" s="7">
        <f>IF(Zarejestrowane!$C$2260="","",Zarejestrowane!$C$2260)</f>
        <v>0</v>
      </c>
      <c r="H2253" s="9">
        <f>IF(AND($F2253&lt;&gt;"",ISNUMBER(SEARCH('Nr rejestracyjny'!$F$5,$F2253))),COUNT($H$1:H2252)+1,"")</f>
        <v>0</v>
      </c>
      <c r="I2253" s="9">
        <f>IF(AND($G2253&lt;&gt;"",ISNUMBER(SEARCH('Nr rejestracyjny'!$F$5,$G2253))),COUNT($I$1:I2252)+1,"")</f>
        <v>0</v>
      </c>
    </row>
    <row r="2254" spans="6:9">
      <c r="F2254" s="7">
        <f>IF('W rejestracji'!$C$2261="","",'W rejestracji'!$C$2261)</f>
        <v>0</v>
      </c>
      <c r="G2254" s="7">
        <f>IF(Zarejestrowane!$C$2261="","",Zarejestrowane!$C$2261)</f>
        <v>0</v>
      </c>
      <c r="H2254" s="9">
        <f>IF(AND($F2254&lt;&gt;"",ISNUMBER(SEARCH('Nr rejestracyjny'!$F$5,$F2254))),COUNT($H$1:H2253)+1,"")</f>
        <v>0</v>
      </c>
      <c r="I2254" s="9">
        <f>IF(AND($G2254&lt;&gt;"",ISNUMBER(SEARCH('Nr rejestracyjny'!$F$5,$G2254))),COUNT($I$1:I2253)+1,"")</f>
        <v>0</v>
      </c>
    </row>
    <row r="2255" spans="6:9">
      <c r="F2255" s="7">
        <f>IF('W rejestracji'!$C$2262="","",'W rejestracji'!$C$2262)</f>
        <v>0</v>
      </c>
      <c r="G2255" s="7">
        <f>IF(Zarejestrowane!$C$2262="","",Zarejestrowane!$C$2262)</f>
        <v>0</v>
      </c>
      <c r="H2255" s="9">
        <f>IF(AND($F2255&lt;&gt;"",ISNUMBER(SEARCH('Nr rejestracyjny'!$F$5,$F2255))),COUNT($H$1:H2254)+1,"")</f>
        <v>0</v>
      </c>
      <c r="I2255" s="9">
        <f>IF(AND($G2255&lt;&gt;"",ISNUMBER(SEARCH('Nr rejestracyjny'!$F$5,$G2255))),COUNT($I$1:I2254)+1,"")</f>
        <v>0</v>
      </c>
    </row>
    <row r="2256" spans="6:9">
      <c r="F2256" s="7">
        <f>IF('W rejestracji'!$C$2263="","",'W rejestracji'!$C$2263)</f>
        <v>0</v>
      </c>
      <c r="G2256" s="7">
        <f>IF(Zarejestrowane!$C$2263="","",Zarejestrowane!$C$2263)</f>
        <v>0</v>
      </c>
      <c r="H2256" s="9">
        <f>IF(AND($F2256&lt;&gt;"",ISNUMBER(SEARCH('Nr rejestracyjny'!$F$5,$F2256))),COUNT($H$1:H2255)+1,"")</f>
        <v>0</v>
      </c>
      <c r="I2256" s="9">
        <f>IF(AND($G2256&lt;&gt;"",ISNUMBER(SEARCH('Nr rejestracyjny'!$F$5,$G2256))),COUNT($I$1:I2255)+1,"")</f>
        <v>0</v>
      </c>
    </row>
    <row r="2257" spans="6:9">
      <c r="F2257" s="7">
        <f>IF('W rejestracji'!$C$2264="","",'W rejestracji'!$C$2264)</f>
        <v>0</v>
      </c>
      <c r="G2257" s="7">
        <f>IF(Zarejestrowane!$C$2264="","",Zarejestrowane!$C$2264)</f>
        <v>0</v>
      </c>
      <c r="H2257" s="9">
        <f>IF(AND($F2257&lt;&gt;"",ISNUMBER(SEARCH('Nr rejestracyjny'!$F$5,$F2257))),COUNT($H$1:H2256)+1,"")</f>
        <v>0</v>
      </c>
      <c r="I2257" s="9">
        <f>IF(AND($G2257&lt;&gt;"",ISNUMBER(SEARCH('Nr rejestracyjny'!$F$5,$G2257))),COUNT($I$1:I2256)+1,"")</f>
        <v>0</v>
      </c>
    </row>
    <row r="2258" spans="6:9">
      <c r="F2258" s="7">
        <f>IF('W rejestracji'!$C$2265="","",'W rejestracji'!$C$2265)</f>
        <v>0</v>
      </c>
      <c r="G2258" s="7">
        <f>IF(Zarejestrowane!$C$2265="","",Zarejestrowane!$C$2265)</f>
        <v>0</v>
      </c>
      <c r="H2258" s="9">
        <f>IF(AND($F2258&lt;&gt;"",ISNUMBER(SEARCH('Nr rejestracyjny'!$F$5,$F2258))),COUNT($H$1:H2257)+1,"")</f>
        <v>0</v>
      </c>
      <c r="I2258" s="9">
        <f>IF(AND($G2258&lt;&gt;"",ISNUMBER(SEARCH('Nr rejestracyjny'!$F$5,$G2258))),COUNT($I$1:I2257)+1,"")</f>
        <v>0</v>
      </c>
    </row>
    <row r="2259" spans="6:9">
      <c r="F2259" s="7">
        <f>IF('W rejestracji'!$C$2266="","",'W rejestracji'!$C$2266)</f>
        <v>0</v>
      </c>
      <c r="G2259" s="7">
        <f>IF(Zarejestrowane!$C$2266="","",Zarejestrowane!$C$2266)</f>
        <v>0</v>
      </c>
      <c r="H2259" s="9">
        <f>IF(AND($F2259&lt;&gt;"",ISNUMBER(SEARCH('Nr rejestracyjny'!$F$5,$F2259))),COUNT($H$1:H2258)+1,"")</f>
        <v>0</v>
      </c>
      <c r="I2259" s="9">
        <f>IF(AND($G2259&lt;&gt;"",ISNUMBER(SEARCH('Nr rejestracyjny'!$F$5,$G2259))),COUNT($I$1:I2258)+1,"")</f>
        <v>0</v>
      </c>
    </row>
    <row r="2260" spans="6:9">
      <c r="F2260" s="7">
        <f>IF('W rejestracji'!$C$2267="","",'W rejestracji'!$C$2267)</f>
        <v>0</v>
      </c>
      <c r="G2260" s="7">
        <f>IF(Zarejestrowane!$C$2267="","",Zarejestrowane!$C$2267)</f>
        <v>0</v>
      </c>
      <c r="H2260" s="9">
        <f>IF(AND($F2260&lt;&gt;"",ISNUMBER(SEARCH('Nr rejestracyjny'!$F$5,$F2260))),COUNT($H$1:H2259)+1,"")</f>
        <v>0</v>
      </c>
      <c r="I2260" s="9">
        <f>IF(AND($G2260&lt;&gt;"",ISNUMBER(SEARCH('Nr rejestracyjny'!$F$5,$G2260))),COUNT($I$1:I2259)+1,"")</f>
        <v>0</v>
      </c>
    </row>
    <row r="2261" spans="6:9">
      <c r="F2261" s="7">
        <f>IF('W rejestracji'!$C$2268="","",'W rejestracji'!$C$2268)</f>
        <v>0</v>
      </c>
      <c r="G2261" s="7">
        <f>IF(Zarejestrowane!$C$2268="","",Zarejestrowane!$C$2268)</f>
        <v>0</v>
      </c>
      <c r="H2261" s="9">
        <f>IF(AND($F2261&lt;&gt;"",ISNUMBER(SEARCH('Nr rejestracyjny'!$F$5,$F2261))),COUNT($H$1:H2260)+1,"")</f>
        <v>0</v>
      </c>
      <c r="I2261" s="9">
        <f>IF(AND($G2261&lt;&gt;"",ISNUMBER(SEARCH('Nr rejestracyjny'!$F$5,$G2261))),COUNT($I$1:I2260)+1,"")</f>
        <v>0</v>
      </c>
    </row>
    <row r="2262" spans="6:9">
      <c r="F2262" s="7">
        <f>IF('W rejestracji'!$C$2269="","",'W rejestracji'!$C$2269)</f>
        <v>0</v>
      </c>
      <c r="G2262" s="7">
        <f>IF(Zarejestrowane!$C$2269="","",Zarejestrowane!$C$2269)</f>
        <v>0</v>
      </c>
      <c r="H2262" s="9">
        <f>IF(AND($F2262&lt;&gt;"",ISNUMBER(SEARCH('Nr rejestracyjny'!$F$5,$F2262))),COUNT($H$1:H2261)+1,"")</f>
        <v>0</v>
      </c>
      <c r="I2262" s="9">
        <f>IF(AND($G2262&lt;&gt;"",ISNUMBER(SEARCH('Nr rejestracyjny'!$F$5,$G2262))),COUNT($I$1:I2261)+1,"")</f>
        <v>0</v>
      </c>
    </row>
    <row r="2263" spans="6:9">
      <c r="F2263" s="7">
        <f>IF('W rejestracji'!$C$2270="","",'W rejestracji'!$C$2270)</f>
        <v>0</v>
      </c>
      <c r="G2263" s="7">
        <f>IF(Zarejestrowane!$C$2270="","",Zarejestrowane!$C$2270)</f>
        <v>0</v>
      </c>
      <c r="H2263" s="9">
        <f>IF(AND($F2263&lt;&gt;"",ISNUMBER(SEARCH('Nr rejestracyjny'!$F$5,$F2263))),COUNT($H$1:H2262)+1,"")</f>
        <v>0</v>
      </c>
      <c r="I2263" s="9">
        <f>IF(AND($G2263&lt;&gt;"",ISNUMBER(SEARCH('Nr rejestracyjny'!$F$5,$G2263))),COUNT($I$1:I2262)+1,"")</f>
        <v>0</v>
      </c>
    </row>
    <row r="2264" spans="6:9">
      <c r="F2264" s="7">
        <f>IF('W rejestracji'!$C$2271="","",'W rejestracji'!$C$2271)</f>
        <v>0</v>
      </c>
      <c r="G2264" s="7">
        <f>IF(Zarejestrowane!$C$2271="","",Zarejestrowane!$C$2271)</f>
        <v>0</v>
      </c>
      <c r="H2264" s="9">
        <f>IF(AND($F2264&lt;&gt;"",ISNUMBER(SEARCH('Nr rejestracyjny'!$F$5,$F2264))),COUNT($H$1:H2263)+1,"")</f>
        <v>0</v>
      </c>
      <c r="I2264" s="9">
        <f>IF(AND($G2264&lt;&gt;"",ISNUMBER(SEARCH('Nr rejestracyjny'!$F$5,$G2264))),COUNT($I$1:I2263)+1,"")</f>
        <v>0</v>
      </c>
    </row>
    <row r="2265" spans="6:9">
      <c r="F2265" s="7">
        <f>IF('W rejestracji'!$C$2272="","",'W rejestracji'!$C$2272)</f>
        <v>0</v>
      </c>
      <c r="G2265" s="7">
        <f>IF(Zarejestrowane!$C$2272="","",Zarejestrowane!$C$2272)</f>
        <v>0</v>
      </c>
      <c r="H2265" s="9">
        <f>IF(AND($F2265&lt;&gt;"",ISNUMBER(SEARCH('Nr rejestracyjny'!$F$5,$F2265))),COUNT($H$1:H2264)+1,"")</f>
        <v>0</v>
      </c>
      <c r="I2265" s="9">
        <f>IF(AND($G2265&lt;&gt;"",ISNUMBER(SEARCH('Nr rejestracyjny'!$F$5,$G2265))),COUNT($I$1:I2264)+1,"")</f>
        <v>0</v>
      </c>
    </row>
    <row r="2266" spans="6:9">
      <c r="F2266" s="7">
        <f>IF('W rejestracji'!$C$2273="","",'W rejestracji'!$C$2273)</f>
        <v>0</v>
      </c>
      <c r="G2266" s="7">
        <f>IF(Zarejestrowane!$C$2273="","",Zarejestrowane!$C$2273)</f>
        <v>0</v>
      </c>
      <c r="H2266" s="9">
        <f>IF(AND($F2266&lt;&gt;"",ISNUMBER(SEARCH('Nr rejestracyjny'!$F$5,$F2266))),COUNT($H$1:H2265)+1,"")</f>
        <v>0</v>
      </c>
      <c r="I2266" s="9">
        <f>IF(AND($G2266&lt;&gt;"",ISNUMBER(SEARCH('Nr rejestracyjny'!$F$5,$G2266))),COUNT($I$1:I2265)+1,"")</f>
        <v>0</v>
      </c>
    </row>
    <row r="2267" spans="6:9">
      <c r="F2267" s="7">
        <f>IF('W rejestracji'!$C$2274="","",'W rejestracji'!$C$2274)</f>
        <v>0</v>
      </c>
      <c r="G2267" s="7">
        <f>IF(Zarejestrowane!$C$2274="","",Zarejestrowane!$C$2274)</f>
        <v>0</v>
      </c>
      <c r="H2267" s="9">
        <f>IF(AND($F2267&lt;&gt;"",ISNUMBER(SEARCH('Nr rejestracyjny'!$F$5,$F2267))),COUNT($H$1:H2266)+1,"")</f>
        <v>0</v>
      </c>
      <c r="I2267" s="9">
        <f>IF(AND($G2267&lt;&gt;"",ISNUMBER(SEARCH('Nr rejestracyjny'!$F$5,$G2267))),COUNT($I$1:I2266)+1,"")</f>
        <v>0</v>
      </c>
    </row>
    <row r="2268" spans="6:9">
      <c r="F2268" s="7">
        <f>IF('W rejestracji'!$C$2275="","",'W rejestracji'!$C$2275)</f>
        <v>0</v>
      </c>
      <c r="G2268" s="7">
        <f>IF(Zarejestrowane!$C$2275="","",Zarejestrowane!$C$2275)</f>
        <v>0</v>
      </c>
      <c r="H2268" s="9">
        <f>IF(AND($F2268&lt;&gt;"",ISNUMBER(SEARCH('Nr rejestracyjny'!$F$5,$F2268))),COUNT($H$1:H2267)+1,"")</f>
        <v>0</v>
      </c>
      <c r="I2268" s="9">
        <f>IF(AND($G2268&lt;&gt;"",ISNUMBER(SEARCH('Nr rejestracyjny'!$F$5,$G2268))),COUNT($I$1:I2267)+1,"")</f>
        <v>0</v>
      </c>
    </row>
    <row r="2269" spans="6:9">
      <c r="F2269" s="7">
        <f>IF('W rejestracji'!$C$2276="","",'W rejestracji'!$C$2276)</f>
        <v>0</v>
      </c>
      <c r="G2269" s="7">
        <f>IF(Zarejestrowane!$C$2276="","",Zarejestrowane!$C$2276)</f>
        <v>0</v>
      </c>
      <c r="H2269" s="9">
        <f>IF(AND($F2269&lt;&gt;"",ISNUMBER(SEARCH('Nr rejestracyjny'!$F$5,$F2269))),COUNT($H$1:H2268)+1,"")</f>
        <v>0</v>
      </c>
      <c r="I2269" s="9">
        <f>IF(AND($G2269&lt;&gt;"",ISNUMBER(SEARCH('Nr rejestracyjny'!$F$5,$G2269))),COUNT($I$1:I2268)+1,"")</f>
        <v>0</v>
      </c>
    </row>
    <row r="2270" spans="6:9">
      <c r="F2270" s="7">
        <f>IF('W rejestracji'!$C$2277="","",'W rejestracji'!$C$2277)</f>
        <v>0</v>
      </c>
      <c r="G2270" s="7">
        <f>IF(Zarejestrowane!$C$2277="","",Zarejestrowane!$C$2277)</f>
        <v>0</v>
      </c>
      <c r="H2270" s="9">
        <f>IF(AND($F2270&lt;&gt;"",ISNUMBER(SEARCH('Nr rejestracyjny'!$F$5,$F2270))),COUNT($H$1:H2269)+1,"")</f>
        <v>0</v>
      </c>
      <c r="I2270" s="9">
        <f>IF(AND($G2270&lt;&gt;"",ISNUMBER(SEARCH('Nr rejestracyjny'!$F$5,$G2270))),COUNT($I$1:I2269)+1,"")</f>
        <v>0</v>
      </c>
    </row>
    <row r="2271" spans="6:9">
      <c r="F2271" s="7">
        <f>IF('W rejestracji'!$C$2278="","",'W rejestracji'!$C$2278)</f>
        <v>0</v>
      </c>
      <c r="G2271" s="7">
        <f>IF(Zarejestrowane!$C$2278="","",Zarejestrowane!$C$2278)</f>
        <v>0</v>
      </c>
      <c r="H2271" s="9">
        <f>IF(AND($F2271&lt;&gt;"",ISNUMBER(SEARCH('Nr rejestracyjny'!$F$5,$F2271))),COUNT($H$1:H2270)+1,"")</f>
        <v>0</v>
      </c>
      <c r="I2271" s="9">
        <f>IF(AND($G2271&lt;&gt;"",ISNUMBER(SEARCH('Nr rejestracyjny'!$F$5,$G2271))),COUNT($I$1:I2270)+1,"")</f>
        <v>0</v>
      </c>
    </row>
    <row r="2272" spans="6:9">
      <c r="F2272" s="7">
        <f>IF('W rejestracji'!$C$2279="","",'W rejestracji'!$C$2279)</f>
        <v>0</v>
      </c>
      <c r="G2272" s="7">
        <f>IF(Zarejestrowane!$C$2279="","",Zarejestrowane!$C$2279)</f>
        <v>0</v>
      </c>
      <c r="H2272" s="9">
        <f>IF(AND($F2272&lt;&gt;"",ISNUMBER(SEARCH('Nr rejestracyjny'!$F$5,$F2272))),COUNT($H$1:H2271)+1,"")</f>
        <v>0</v>
      </c>
      <c r="I2272" s="9">
        <f>IF(AND($G2272&lt;&gt;"",ISNUMBER(SEARCH('Nr rejestracyjny'!$F$5,$G2272))),COUNT($I$1:I2271)+1,"")</f>
        <v>0</v>
      </c>
    </row>
    <row r="2273" spans="6:9">
      <c r="F2273" s="7">
        <f>IF('W rejestracji'!$C$2280="","",'W rejestracji'!$C$2280)</f>
        <v>0</v>
      </c>
      <c r="G2273" s="7">
        <f>IF(Zarejestrowane!$C$2280="","",Zarejestrowane!$C$2280)</f>
        <v>0</v>
      </c>
      <c r="H2273" s="9">
        <f>IF(AND($F2273&lt;&gt;"",ISNUMBER(SEARCH('Nr rejestracyjny'!$F$5,$F2273))),COUNT($H$1:H2272)+1,"")</f>
        <v>0</v>
      </c>
      <c r="I2273" s="9">
        <f>IF(AND($G2273&lt;&gt;"",ISNUMBER(SEARCH('Nr rejestracyjny'!$F$5,$G2273))),COUNT($I$1:I2272)+1,"")</f>
        <v>0</v>
      </c>
    </row>
    <row r="2274" spans="6:9">
      <c r="F2274" s="7">
        <f>IF('W rejestracji'!$C$2281="","",'W rejestracji'!$C$2281)</f>
        <v>0</v>
      </c>
      <c r="G2274" s="7">
        <f>IF(Zarejestrowane!$C$2281="","",Zarejestrowane!$C$2281)</f>
        <v>0</v>
      </c>
      <c r="H2274" s="9">
        <f>IF(AND($F2274&lt;&gt;"",ISNUMBER(SEARCH('Nr rejestracyjny'!$F$5,$F2274))),COUNT($H$1:H2273)+1,"")</f>
        <v>0</v>
      </c>
      <c r="I2274" s="9">
        <f>IF(AND($G2274&lt;&gt;"",ISNUMBER(SEARCH('Nr rejestracyjny'!$F$5,$G2274))),COUNT($I$1:I2273)+1,"")</f>
        <v>0</v>
      </c>
    </row>
    <row r="2275" spans="6:9">
      <c r="F2275" s="7">
        <f>IF('W rejestracji'!$C$2282="","",'W rejestracji'!$C$2282)</f>
        <v>0</v>
      </c>
      <c r="G2275" s="7">
        <f>IF(Zarejestrowane!$C$2282="","",Zarejestrowane!$C$2282)</f>
        <v>0</v>
      </c>
      <c r="H2275" s="9">
        <f>IF(AND($F2275&lt;&gt;"",ISNUMBER(SEARCH('Nr rejestracyjny'!$F$5,$F2275))),COUNT($H$1:H2274)+1,"")</f>
        <v>0</v>
      </c>
      <c r="I2275" s="9">
        <f>IF(AND($G2275&lt;&gt;"",ISNUMBER(SEARCH('Nr rejestracyjny'!$F$5,$G2275))),COUNT($I$1:I2274)+1,"")</f>
        <v>0</v>
      </c>
    </row>
    <row r="2276" spans="6:9">
      <c r="F2276" s="7">
        <f>IF('W rejestracji'!$C$2283="","",'W rejestracji'!$C$2283)</f>
        <v>0</v>
      </c>
      <c r="G2276" s="7">
        <f>IF(Zarejestrowane!$C$2283="","",Zarejestrowane!$C$2283)</f>
        <v>0</v>
      </c>
      <c r="H2276" s="9">
        <f>IF(AND($F2276&lt;&gt;"",ISNUMBER(SEARCH('Nr rejestracyjny'!$F$5,$F2276))),COUNT($H$1:H2275)+1,"")</f>
        <v>0</v>
      </c>
      <c r="I2276" s="9">
        <f>IF(AND($G2276&lt;&gt;"",ISNUMBER(SEARCH('Nr rejestracyjny'!$F$5,$G2276))),COUNT($I$1:I2275)+1,"")</f>
        <v>0</v>
      </c>
    </row>
    <row r="2277" spans="6:9">
      <c r="F2277" s="7">
        <f>IF('W rejestracji'!$C$2284="","",'W rejestracji'!$C$2284)</f>
        <v>0</v>
      </c>
      <c r="G2277" s="7">
        <f>IF(Zarejestrowane!$C$2284="","",Zarejestrowane!$C$2284)</f>
        <v>0</v>
      </c>
      <c r="H2277" s="9">
        <f>IF(AND($F2277&lt;&gt;"",ISNUMBER(SEARCH('Nr rejestracyjny'!$F$5,$F2277))),COUNT($H$1:H2276)+1,"")</f>
        <v>0</v>
      </c>
      <c r="I2277" s="9">
        <f>IF(AND($G2277&lt;&gt;"",ISNUMBER(SEARCH('Nr rejestracyjny'!$F$5,$G2277))),COUNT($I$1:I2276)+1,"")</f>
        <v>0</v>
      </c>
    </row>
    <row r="2278" spans="6:9">
      <c r="F2278" s="7">
        <f>IF('W rejestracji'!$C$2285="","",'W rejestracji'!$C$2285)</f>
        <v>0</v>
      </c>
      <c r="G2278" s="7">
        <f>IF(Zarejestrowane!$C$2285="","",Zarejestrowane!$C$2285)</f>
        <v>0</v>
      </c>
      <c r="H2278" s="9">
        <f>IF(AND($F2278&lt;&gt;"",ISNUMBER(SEARCH('Nr rejestracyjny'!$F$5,$F2278))),COUNT($H$1:H2277)+1,"")</f>
        <v>0</v>
      </c>
      <c r="I2278" s="9">
        <f>IF(AND($G2278&lt;&gt;"",ISNUMBER(SEARCH('Nr rejestracyjny'!$F$5,$G2278))),COUNT($I$1:I2277)+1,"")</f>
        <v>0</v>
      </c>
    </row>
    <row r="2279" spans="6:9">
      <c r="F2279" s="7">
        <f>IF('W rejestracji'!$C$2286="","",'W rejestracji'!$C$2286)</f>
        <v>0</v>
      </c>
      <c r="G2279" s="7">
        <f>IF(Zarejestrowane!$C$2286="","",Zarejestrowane!$C$2286)</f>
        <v>0</v>
      </c>
      <c r="H2279" s="9">
        <f>IF(AND($F2279&lt;&gt;"",ISNUMBER(SEARCH('Nr rejestracyjny'!$F$5,$F2279))),COUNT($H$1:H2278)+1,"")</f>
        <v>0</v>
      </c>
      <c r="I2279" s="9">
        <f>IF(AND($G2279&lt;&gt;"",ISNUMBER(SEARCH('Nr rejestracyjny'!$F$5,$G2279))),COUNT($I$1:I2278)+1,"")</f>
        <v>0</v>
      </c>
    </row>
    <row r="2280" spans="6:9">
      <c r="F2280" s="7">
        <f>IF('W rejestracji'!$C$2287="","",'W rejestracji'!$C$2287)</f>
        <v>0</v>
      </c>
      <c r="G2280" s="7">
        <f>IF(Zarejestrowane!$C$2287="","",Zarejestrowane!$C$2287)</f>
        <v>0</v>
      </c>
      <c r="H2280" s="9">
        <f>IF(AND($F2280&lt;&gt;"",ISNUMBER(SEARCH('Nr rejestracyjny'!$F$5,$F2280))),COUNT($H$1:H2279)+1,"")</f>
        <v>0</v>
      </c>
      <c r="I2280" s="9">
        <f>IF(AND($G2280&lt;&gt;"",ISNUMBER(SEARCH('Nr rejestracyjny'!$F$5,$G2280))),COUNT($I$1:I2279)+1,"")</f>
        <v>0</v>
      </c>
    </row>
    <row r="2281" spans="6:9">
      <c r="F2281" s="7">
        <f>IF('W rejestracji'!$C$2288="","",'W rejestracji'!$C$2288)</f>
        <v>0</v>
      </c>
      <c r="G2281" s="7">
        <f>IF(Zarejestrowane!$C$2288="","",Zarejestrowane!$C$2288)</f>
        <v>0</v>
      </c>
      <c r="H2281" s="9">
        <f>IF(AND($F2281&lt;&gt;"",ISNUMBER(SEARCH('Nr rejestracyjny'!$F$5,$F2281))),COUNT($H$1:H2280)+1,"")</f>
        <v>0</v>
      </c>
      <c r="I2281" s="9">
        <f>IF(AND($G2281&lt;&gt;"",ISNUMBER(SEARCH('Nr rejestracyjny'!$F$5,$G2281))),COUNT($I$1:I2280)+1,"")</f>
        <v>0</v>
      </c>
    </row>
    <row r="2282" spans="6:9">
      <c r="F2282" s="7">
        <f>IF('W rejestracji'!$C$2289="","",'W rejestracji'!$C$2289)</f>
        <v>0</v>
      </c>
      <c r="G2282" s="7">
        <f>IF(Zarejestrowane!$C$2289="","",Zarejestrowane!$C$2289)</f>
        <v>0</v>
      </c>
      <c r="H2282" s="9">
        <f>IF(AND($F2282&lt;&gt;"",ISNUMBER(SEARCH('Nr rejestracyjny'!$F$5,$F2282))),COUNT($H$1:H2281)+1,"")</f>
        <v>0</v>
      </c>
      <c r="I2282" s="9">
        <f>IF(AND($G2282&lt;&gt;"",ISNUMBER(SEARCH('Nr rejestracyjny'!$F$5,$G2282))),COUNT($I$1:I2281)+1,"")</f>
        <v>0</v>
      </c>
    </row>
    <row r="2283" spans="6:9">
      <c r="F2283" s="7">
        <f>IF('W rejestracji'!$C$2290="","",'W rejestracji'!$C$2290)</f>
        <v>0</v>
      </c>
      <c r="G2283" s="7">
        <f>IF(Zarejestrowane!$C$2290="","",Zarejestrowane!$C$2290)</f>
        <v>0</v>
      </c>
      <c r="H2283" s="9">
        <f>IF(AND($F2283&lt;&gt;"",ISNUMBER(SEARCH('Nr rejestracyjny'!$F$5,$F2283))),COUNT($H$1:H2282)+1,"")</f>
        <v>0</v>
      </c>
      <c r="I2283" s="9">
        <f>IF(AND($G2283&lt;&gt;"",ISNUMBER(SEARCH('Nr rejestracyjny'!$F$5,$G2283))),COUNT($I$1:I2282)+1,"")</f>
        <v>0</v>
      </c>
    </row>
    <row r="2284" spans="6:9">
      <c r="F2284" s="7">
        <f>IF('W rejestracji'!$C$2291="","",'W rejestracji'!$C$2291)</f>
        <v>0</v>
      </c>
      <c r="G2284" s="7">
        <f>IF(Zarejestrowane!$C$2291="","",Zarejestrowane!$C$2291)</f>
        <v>0</v>
      </c>
      <c r="H2284" s="9">
        <f>IF(AND($F2284&lt;&gt;"",ISNUMBER(SEARCH('Nr rejestracyjny'!$F$5,$F2284))),COUNT($H$1:H2283)+1,"")</f>
        <v>0</v>
      </c>
      <c r="I2284" s="9">
        <f>IF(AND($G2284&lt;&gt;"",ISNUMBER(SEARCH('Nr rejestracyjny'!$F$5,$G2284))),COUNT($I$1:I2283)+1,"")</f>
        <v>0</v>
      </c>
    </row>
    <row r="2285" spans="6:9">
      <c r="F2285" s="7">
        <f>IF('W rejestracji'!$C$2292="","",'W rejestracji'!$C$2292)</f>
        <v>0</v>
      </c>
      <c r="G2285" s="7">
        <f>IF(Zarejestrowane!$C$2292="","",Zarejestrowane!$C$2292)</f>
        <v>0</v>
      </c>
      <c r="H2285" s="9">
        <f>IF(AND($F2285&lt;&gt;"",ISNUMBER(SEARCH('Nr rejestracyjny'!$F$5,$F2285))),COUNT($H$1:H2284)+1,"")</f>
        <v>0</v>
      </c>
      <c r="I2285" s="9">
        <f>IF(AND($G2285&lt;&gt;"",ISNUMBER(SEARCH('Nr rejestracyjny'!$F$5,$G2285))),COUNT($I$1:I2284)+1,"")</f>
        <v>0</v>
      </c>
    </row>
    <row r="2286" spans="6:9">
      <c r="F2286" s="7">
        <f>IF('W rejestracji'!$C$2293="","",'W rejestracji'!$C$2293)</f>
        <v>0</v>
      </c>
      <c r="G2286" s="7">
        <f>IF(Zarejestrowane!$C$2293="","",Zarejestrowane!$C$2293)</f>
        <v>0</v>
      </c>
      <c r="H2286" s="9">
        <f>IF(AND($F2286&lt;&gt;"",ISNUMBER(SEARCH('Nr rejestracyjny'!$F$5,$F2286))),COUNT($H$1:H2285)+1,"")</f>
        <v>0</v>
      </c>
      <c r="I2286" s="9">
        <f>IF(AND($G2286&lt;&gt;"",ISNUMBER(SEARCH('Nr rejestracyjny'!$F$5,$G2286))),COUNT($I$1:I2285)+1,"")</f>
        <v>0</v>
      </c>
    </row>
    <row r="2287" spans="6:9">
      <c r="F2287" s="7">
        <f>IF('W rejestracji'!$C$2294="","",'W rejestracji'!$C$2294)</f>
        <v>0</v>
      </c>
      <c r="G2287" s="7">
        <f>IF(Zarejestrowane!$C$2294="","",Zarejestrowane!$C$2294)</f>
        <v>0</v>
      </c>
      <c r="H2287" s="9">
        <f>IF(AND($F2287&lt;&gt;"",ISNUMBER(SEARCH('Nr rejestracyjny'!$F$5,$F2287))),COUNT($H$1:H2286)+1,"")</f>
        <v>0</v>
      </c>
      <c r="I2287" s="9">
        <f>IF(AND($G2287&lt;&gt;"",ISNUMBER(SEARCH('Nr rejestracyjny'!$F$5,$G2287))),COUNT($I$1:I2286)+1,"")</f>
        <v>0</v>
      </c>
    </row>
    <row r="2288" spans="6:9">
      <c r="F2288" s="7">
        <f>IF('W rejestracji'!$C$2295="","",'W rejestracji'!$C$2295)</f>
        <v>0</v>
      </c>
      <c r="G2288" s="7">
        <f>IF(Zarejestrowane!$C$2295="","",Zarejestrowane!$C$2295)</f>
        <v>0</v>
      </c>
      <c r="H2288" s="9">
        <f>IF(AND($F2288&lt;&gt;"",ISNUMBER(SEARCH('Nr rejestracyjny'!$F$5,$F2288))),COUNT($H$1:H2287)+1,"")</f>
        <v>0</v>
      </c>
      <c r="I2288" s="9">
        <f>IF(AND($G2288&lt;&gt;"",ISNUMBER(SEARCH('Nr rejestracyjny'!$F$5,$G2288))),COUNT($I$1:I2287)+1,"")</f>
        <v>0</v>
      </c>
    </row>
    <row r="2289" spans="6:9">
      <c r="F2289" s="7">
        <f>IF('W rejestracji'!$C$2296="","",'W rejestracji'!$C$2296)</f>
        <v>0</v>
      </c>
      <c r="G2289" s="7">
        <f>IF(Zarejestrowane!$C$2296="","",Zarejestrowane!$C$2296)</f>
        <v>0</v>
      </c>
      <c r="H2289" s="9">
        <f>IF(AND($F2289&lt;&gt;"",ISNUMBER(SEARCH('Nr rejestracyjny'!$F$5,$F2289))),COUNT($H$1:H2288)+1,"")</f>
        <v>0</v>
      </c>
      <c r="I2289" s="9">
        <f>IF(AND($G2289&lt;&gt;"",ISNUMBER(SEARCH('Nr rejestracyjny'!$F$5,$G2289))),COUNT($I$1:I2288)+1,"")</f>
        <v>0</v>
      </c>
    </row>
    <row r="2290" spans="6:9">
      <c r="F2290" s="7">
        <f>IF('W rejestracji'!$C$2297="","",'W rejestracji'!$C$2297)</f>
        <v>0</v>
      </c>
      <c r="G2290" s="7">
        <f>IF(Zarejestrowane!$C$2297="","",Zarejestrowane!$C$2297)</f>
        <v>0</v>
      </c>
      <c r="H2290" s="9">
        <f>IF(AND($F2290&lt;&gt;"",ISNUMBER(SEARCH('Nr rejestracyjny'!$F$5,$F2290))),COUNT($H$1:H2289)+1,"")</f>
        <v>0</v>
      </c>
      <c r="I2290" s="9">
        <f>IF(AND($G2290&lt;&gt;"",ISNUMBER(SEARCH('Nr rejestracyjny'!$F$5,$G2290))),COUNT($I$1:I2289)+1,"")</f>
        <v>0</v>
      </c>
    </row>
    <row r="2291" spans="6:9">
      <c r="F2291" s="7">
        <f>IF('W rejestracji'!$C$2298="","",'W rejestracji'!$C$2298)</f>
        <v>0</v>
      </c>
      <c r="G2291" s="7">
        <f>IF(Zarejestrowane!$C$2298="","",Zarejestrowane!$C$2298)</f>
        <v>0</v>
      </c>
      <c r="H2291" s="9">
        <f>IF(AND($F2291&lt;&gt;"",ISNUMBER(SEARCH('Nr rejestracyjny'!$F$5,$F2291))),COUNT($H$1:H2290)+1,"")</f>
        <v>0</v>
      </c>
      <c r="I2291" s="9">
        <f>IF(AND($G2291&lt;&gt;"",ISNUMBER(SEARCH('Nr rejestracyjny'!$F$5,$G2291))),COUNT($I$1:I2290)+1,"")</f>
        <v>0</v>
      </c>
    </row>
    <row r="2292" spans="6:9">
      <c r="F2292" s="7">
        <f>IF('W rejestracji'!$C$2299="","",'W rejestracji'!$C$2299)</f>
        <v>0</v>
      </c>
      <c r="G2292" s="7">
        <f>IF(Zarejestrowane!$C$2299="","",Zarejestrowane!$C$2299)</f>
        <v>0</v>
      </c>
      <c r="H2292" s="9">
        <f>IF(AND($F2292&lt;&gt;"",ISNUMBER(SEARCH('Nr rejestracyjny'!$F$5,$F2292))),COUNT($H$1:H2291)+1,"")</f>
        <v>0</v>
      </c>
      <c r="I2292" s="9">
        <f>IF(AND($G2292&lt;&gt;"",ISNUMBER(SEARCH('Nr rejestracyjny'!$F$5,$G2292))),COUNT($I$1:I2291)+1,"")</f>
        <v>0</v>
      </c>
    </row>
    <row r="2293" spans="6:9">
      <c r="F2293" s="7">
        <f>IF('W rejestracji'!$C$2300="","",'W rejestracji'!$C$2300)</f>
        <v>0</v>
      </c>
      <c r="G2293" s="7">
        <f>IF(Zarejestrowane!$C$2300="","",Zarejestrowane!$C$2300)</f>
        <v>0</v>
      </c>
      <c r="H2293" s="9">
        <f>IF(AND($F2293&lt;&gt;"",ISNUMBER(SEARCH('Nr rejestracyjny'!$F$5,$F2293))),COUNT($H$1:H2292)+1,"")</f>
        <v>0</v>
      </c>
      <c r="I2293" s="9">
        <f>IF(AND($G2293&lt;&gt;"",ISNUMBER(SEARCH('Nr rejestracyjny'!$F$5,$G2293))),COUNT($I$1:I2292)+1,"")</f>
        <v>0</v>
      </c>
    </row>
    <row r="2294" spans="6:9">
      <c r="F2294" s="7">
        <f>IF('W rejestracji'!$C$2301="","",'W rejestracji'!$C$2301)</f>
        <v>0</v>
      </c>
      <c r="G2294" s="7">
        <f>IF(Zarejestrowane!$C$2301="","",Zarejestrowane!$C$2301)</f>
        <v>0</v>
      </c>
      <c r="H2294" s="9">
        <f>IF(AND($F2294&lt;&gt;"",ISNUMBER(SEARCH('Nr rejestracyjny'!$F$5,$F2294))),COUNT($H$1:H2293)+1,"")</f>
        <v>0</v>
      </c>
      <c r="I2294" s="9">
        <f>IF(AND($G2294&lt;&gt;"",ISNUMBER(SEARCH('Nr rejestracyjny'!$F$5,$G2294))),COUNT($I$1:I2293)+1,"")</f>
        <v>0</v>
      </c>
    </row>
    <row r="2295" spans="6:9">
      <c r="F2295" s="7">
        <f>IF('W rejestracji'!$C$2302="","",'W rejestracji'!$C$2302)</f>
        <v>0</v>
      </c>
      <c r="G2295" s="7">
        <f>IF(Zarejestrowane!$C$2302="","",Zarejestrowane!$C$2302)</f>
        <v>0</v>
      </c>
      <c r="H2295" s="9">
        <f>IF(AND($F2295&lt;&gt;"",ISNUMBER(SEARCH('Nr rejestracyjny'!$F$5,$F2295))),COUNT($H$1:H2294)+1,"")</f>
        <v>0</v>
      </c>
      <c r="I2295" s="9">
        <f>IF(AND($G2295&lt;&gt;"",ISNUMBER(SEARCH('Nr rejestracyjny'!$F$5,$G2295))),COUNT($I$1:I2294)+1,"")</f>
        <v>0</v>
      </c>
    </row>
    <row r="2296" spans="6:9">
      <c r="F2296" s="7">
        <f>IF('W rejestracji'!$C$2303="","",'W rejestracji'!$C$2303)</f>
        <v>0</v>
      </c>
      <c r="G2296" s="7">
        <f>IF(Zarejestrowane!$C$2303="","",Zarejestrowane!$C$2303)</f>
        <v>0</v>
      </c>
      <c r="H2296" s="9">
        <f>IF(AND($F2296&lt;&gt;"",ISNUMBER(SEARCH('Nr rejestracyjny'!$F$5,$F2296))),COUNT($H$1:H2295)+1,"")</f>
        <v>0</v>
      </c>
      <c r="I2296" s="9">
        <f>IF(AND($G2296&lt;&gt;"",ISNUMBER(SEARCH('Nr rejestracyjny'!$F$5,$G2296))),COUNT($I$1:I2295)+1,"")</f>
        <v>0</v>
      </c>
    </row>
    <row r="2297" spans="6:9">
      <c r="F2297" s="7">
        <f>IF('W rejestracji'!$C$2304="","",'W rejestracji'!$C$2304)</f>
        <v>0</v>
      </c>
      <c r="G2297" s="7">
        <f>IF(Zarejestrowane!$C$2304="","",Zarejestrowane!$C$2304)</f>
        <v>0</v>
      </c>
      <c r="H2297" s="9">
        <f>IF(AND($F2297&lt;&gt;"",ISNUMBER(SEARCH('Nr rejestracyjny'!$F$5,$F2297))),COUNT($H$1:H2296)+1,"")</f>
        <v>0</v>
      </c>
      <c r="I2297" s="9">
        <f>IF(AND($G2297&lt;&gt;"",ISNUMBER(SEARCH('Nr rejestracyjny'!$F$5,$G2297))),COUNT($I$1:I2296)+1,"")</f>
        <v>0</v>
      </c>
    </row>
    <row r="2298" spans="6:9">
      <c r="F2298" s="7">
        <f>IF('W rejestracji'!$C$2305="","",'W rejestracji'!$C$2305)</f>
        <v>0</v>
      </c>
      <c r="G2298" s="7">
        <f>IF(Zarejestrowane!$C$2305="","",Zarejestrowane!$C$2305)</f>
        <v>0</v>
      </c>
      <c r="H2298" s="9">
        <f>IF(AND($F2298&lt;&gt;"",ISNUMBER(SEARCH('Nr rejestracyjny'!$F$5,$F2298))),COUNT($H$1:H2297)+1,"")</f>
        <v>0</v>
      </c>
      <c r="I2298" s="9">
        <f>IF(AND($G2298&lt;&gt;"",ISNUMBER(SEARCH('Nr rejestracyjny'!$F$5,$G2298))),COUNT($I$1:I2297)+1,"")</f>
        <v>0</v>
      </c>
    </row>
    <row r="2299" spans="6:9">
      <c r="F2299" s="7">
        <f>IF('W rejestracji'!$C$2306="","",'W rejestracji'!$C$2306)</f>
        <v>0</v>
      </c>
      <c r="G2299" s="7">
        <f>IF(Zarejestrowane!$C$2306="","",Zarejestrowane!$C$2306)</f>
        <v>0</v>
      </c>
      <c r="H2299" s="9">
        <f>IF(AND($F2299&lt;&gt;"",ISNUMBER(SEARCH('Nr rejestracyjny'!$F$5,$F2299))),COUNT($H$1:H2298)+1,"")</f>
        <v>0</v>
      </c>
      <c r="I2299" s="9">
        <f>IF(AND($G2299&lt;&gt;"",ISNUMBER(SEARCH('Nr rejestracyjny'!$F$5,$G2299))),COUNT($I$1:I2298)+1,"")</f>
        <v>0</v>
      </c>
    </row>
    <row r="2300" spans="6:9">
      <c r="F2300" s="7">
        <f>IF('W rejestracji'!$C$2307="","",'W rejestracji'!$C$2307)</f>
        <v>0</v>
      </c>
      <c r="G2300" s="7">
        <f>IF(Zarejestrowane!$C$2307="","",Zarejestrowane!$C$2307)</f>
        <v>0</v>
      </c>
      <c r="H2300" s="9">
        <f>IF(AND($F2300&lt;&gt;"",ISNUMBER(SEARCH('Nr rejestracyjny'!$F$5,$F2300))),COUNT($H$1:H2299)+1,"")</f>
        <v>0</v>
      </c>
      <c r="I2300" s="9">
        <f>IF(AND($G2300&lt;&gt;"",ISNUMBER(SEARCH('Nr rejestracyjny'!$F$5,$G2300))),COUNT($I$1:I2299)+1,"")</f>
        <v>0</v>
      </c>
    </row>
    <row r="2301" spans="6:9">
      <c r="F2301" s="7">
        <f>IF('W rejestracji'!$C$2308="","",'W rejestracji'!$C$2308)</f>
        <v>0</v>
      </c>
      <c r="G2301" s="7">
        <f>IF(Zarejestrowane!$C$2308="","",Zarejestrowane!$C$2308)</f>
        <v>0</v>
      </c>
      <c r="H2301" s="9">
        <f>IF(AND($F2301&lt;&gt;"",ISNUMBER(SEARCH('Nr rejestracyjny'!$F$5,$F2301))),COUNT($H$1:H2300)+1,"")</f>
        <v>0</v>
      </c>
      <c r="I2301" s="9">
        <f>IF(AND($G2301&lt;&gt;"",ISNUMBER(SEARCH('Nr rejestracyjny'!$F$5,$G2301))),COUNT($I$1:I2300)+1,"")</f>
        <v>0</v>
      </c>
    </row>
    <row r="2302" spans="6:9">
      <c r="F2302" s="7">
        <f>IF('W rejestracji'!$C$2309="","",'W rejestracji'!$C$2309)</f>
        <v>0</v>
      </c>
      <c r="G2302" s="7">
        <f>IF(Zarejestrowane!$C$2309="","",Zarejestrowane!$C$2309)</f>
        <v>0</v>
      </c>
      <c r="H2302" s="9">
        <f>IF(AND($F2302&lt;&gt;"",ISNUMBER(SEARCH('Nr rejestracyjny'!$F$5,$F2302))),COUNT($H$1:H2301)+1,"")</f>
        <v>0</v>
      </c>
      <c r="I2302" s="9">
        <f>IF(AND($G2302&lt;&gt;"",ISNUMBER(SEARCH('Nr rejestracyjny'!$F$5,$G2302))),COUNT($I$1:I2301)+1,"")</f>
        <v>0</v>
      </c>
    </row>
    <row r="2303" spans="6:9">
      <c r="F2303" s="7">
        <f>IF('W rejestracji'!$C$2310="","",'W rejestracji'!$C$2310)</f>
        <v>0</v>
      </c>
      <c r="G2303" s="7">
        <f>IF(Zarejestrowane!$C$2310="","",Zarejestrowane!$C$2310)</f>
        <v>0</v>
      </c>
      <c r="H2303" s="9">
        <f>IF(AND($F2303&lt;&gt;"",ISNUMBER(SEARCH('Nr rejestracyjny'!$F$5,$F2303))),COUNT($H$1:H2302)+1,"")</f>
        <v>0</v>
      </c>
      <c r="I2303" s="9">
        <f>IF(AND($G2303&lt;&gt;"",ISNUMBER(SEARCH('Nr rejestracyjny'!$F$5,$G2303))),COUNT($I$1:I2302)+1,"")</f>
        <v>0</v>
      </c>
    </row>
    <row r="2304" spans="6:9">
      <c r="F2304" s="7">
        <f>IF('W rejestracji'!$C$2311="","",'W rejestracji'!$C$2311)</f>
        <v>0</v>
      </c>
      <c r="G2304" s="7">
        <f>IF(Zarejestrowane!$C$2311="","",Zarejestrowane!$C$2311)</f>
        <v>0</v>
      </c>
      <c r="H2304" s="9">
        <f>IF(AND($F2304&lt;&gt;"",ISNUMBER(SEARCH('Nr rejestracyjny'!$F$5,$F2304))),COUNT($H$1:H2303)+1,"")</f>
        <v>0</v>
      </c>
      <c r="I2304" s="9">
        <f>IF(AND($G2304&lt;&gt;"",ISNUMBER(SEARCH('Nr rejestracyjny'!$F$5,$G2304))),COUNT($I$1:I2303)+1,"")</f>
        <v>0</v>
      </c>
    </row>
    <row r="2305" spans="6:9">
      <c r="F2305" s="7">
        <f>IF('W rejestracji'!$C$2312="","",'W rejestracji'!$C$2312)</f>
        <v>0</v>
      </c>
      <c r="G2305" s="7">
        <f>IF(Zarejestrowane!$C$2312="","",Zarejestrowane!$C$2312)</f>
        <v>0</v>
      </c>
      <c r="H2305" s="9">
        <f>IF(AND($F2305&lt;&gt;"",ISNUMBER(SEARCH('Nr rejestracyjny'!$F$5,$F2305))),COUNT($H$1:H2304)+1,"")</f>
        <v>0</v>
      </c>
      <c r="I2305" s="9">
        <f>IF(AND($G2305&lt;&gt;"",ISNUMBER(SEARCH('Nr rejestracyjny'!$F$5,$G2305))),COUNT($I$1:I2304)+1,"")</f>
        <v>0</v>
      </c>
    </row>
    <row r="2306" spans="6:9">
      <c r="F2306" s="7">
        <f>IF('W rejestracji'!$C$2313="","",'W rejestracji'!$C$2313)</f>
        <v>0</v>
      </c>
      <c r="G2306" s="7">
        <f>IF(Zarejestrowane!$C$2313="","",Zarejestrowane!$C$2313)</f>
        <v>0</v>
      </c>
      <c r="H2306" s="9">
        <f>IF(AND($F2306&lt;&gt;"",ISNUMBER(SEARCH('Nr rejestracyjny'!$F$5,$F2306))),COUNT($H$1:H2305)+1,"")</f>
        <v>0</v>
      </c>
      <c r="I2306" s="9">
        <f>IF(AND($G2306&lt;&gt;"",ISNUMBER(SEARCH('Nr rejestracyjny'!$F$5,$G2306))),COUNT($I$1:I2305)+1,"")</f>
        <v>0</v>
      </c>
    </row>
    <row r="2307" spans="6:9">
      <c r="F2307" s="7">
        <f>IF('W rejestracji'!$C$2314="","",'W rejestracji'!$C$2314)</f>
        <v>0</v>
      </c>
      <c r="G2307" s="7">
        <f>IF(Zarejestrowane!$C$2314="","",Zarejestrowane!$C$2314)</f>
        <v>0</v>
      </c>
      <c r="H2307" s="9">
        <f>IF(AND($F2307&lt;&gt;"",ISNUMBER(SEARCH('Nr rejestracyjny'!$F$5,$F2307))),COUNT($H$1:H2306)+1,"")</f>
        <v>0</v>
      </c>
      <c r="I2307" s="9">
        <f>IF(AND($G2307&lt;&gt;"",ISNUMBER(SEARCH('Nr rejestracyjny'!$F$5,$G2307))),COUNT($I$1:I2306)+1,"")</f>
        <v>0</v>
      </c>
    </row>
    <row r="2308" spans="6:9">
      <c r="F2308" s="7">
        <f>IF('W rejestracji'!$C$2315="","",'W rejestracji'!$C$2315)</f>
        <v>0</v>
      </c>
      <c r="G2308" s="7">
        <f>IF(Zarejestrowane!$C$2315="","",Zarejestrowane!$C$2315)</f>
        <v>0</v>
      </c>
      <c r="H2308" s="9">
        <f>IF(AND($F2308&lt;&gt;"",ISNUMBER(SEARCH('Nr rejestracyjny'!$F$5,$F2308))),COUNT($H$1:H2307)+1,"")</f>
        <v>0</v>
      </c>
      <c r="I2308" s="9">
        <f>IF(AND($G2308&lt;&gt;"",ISNUMBER(SEARCH('Nr rejestracyjny'!$F$5,$G2308))),COUNT($I$1:I2307)+1,"")</f>
        <v>0</v>
      </c>
    </row>
    <row r="2309" spans="6:9">
      <c r="F2309" s="7">
        <f>IF('W rejestracji'!$C$2316="","",'W rejestracji'!$C$2316)</f>
        <v>0</v>
      </c>
      <c r="G2309" s="7">
        <f>IF(Zarejestrowane!$C$2316="","",Zarejestrowane!$C$2316)</f>
        <v>0</v>
      </c>
      <c r="H2309" s="9">
        <f>IF(AND($F2309&lt;&gt;"",ISNUMBER(SEARCH('Nr rejestracyjny'!$F$5,$F2309))),COUNT($H$1:H2308)+1,"")</f>
        <v>0</v>
      </c>
      <c r="I2309" s="9">
        <f>IF(AND($G2309&lt;&gt;"",ISNUMBER(SEARCH('Nr rejestracyjny'!$F$5,$G2309))),COUNT($I$1:I2308)+1,"")</f>
        <v>0</v>
      </c>
    </row>
    <row r="2310" spans="6:9">
      <c r="F2310" s="7">
        <f>IF('W rejestracji'!$C$2317="","",'W rejestracji'!$C$2317)</f>
        <v>0</v>
      </c>
      <c r="G2310" s="7">
        <f>IF(Zarejestrowane!$C$2317="","",Zarejestrowane!$C$2317)</f>
        <v>0</v>
      </c>
      <c r="H2310" s="9">
        <f>IF(AND($F2310&lt;&gt;"",ISNUMBER(SEARCH('Nr rejestracyjny'!$F$5,$F2310))),COUNT($H$1:H2309)+1,"")</f>
        <v>0</v>
      </c>
      <c r="I2310" s="9">
        <f>IF(AND($G2310&lt;&gt;"",ISNUMBER(SEARCH('Nr rejestracyjny'!$F$5,$G2310))),COUNT($I$1:I2309)+1,"")</f>
        <v>0</v>
      </c>
    </row>
    <row r="2311" spans="6:9">
      <c r="F2311" s="7">
        <f>IF('W rejestracji'!$C$2318="","",'W rejestracji'!$C$2318)</f>
        <v>0</v>
      </c>
      <c r="G2311" s="7">
        <f>IF(Zarejestrowane!$C$2318="","",Zarejestrowane!$C$2318)</f>
        <v>0</v>
      </c>
      <c r="H2311" s="9">
        <f>IF(AND($F2311&lt;&gt;"",ISNUMBER(SEARCH('Nr rejestracyjny'!$F$5,$F2311))),COUNT($H$1:H2310)+1,"")</f>
        <v>0</v>
      </c>
      <c r="I2311" s="9">
        <f>IF(AND($G2311&lt;&gt;"",ISNUMBER(SEARCH('Nr rejestracyjny'!$F$5,$G2311))),COUNT($I$1:I2310)+1,"")</f>
        <v>0</v>
      </c>
    </row>
    <row r="2312" spans="6:9">
      <c r="F2312" s="7">
        <f>IF('W rejestracji'!$C$2319="","",'W rejestracji'!$C$2319)</f>
        <v>0</v>
      </c>
      <c r="G2312" s="7">
        <f>IF(Zarejestrowane!$C$2319="","",Zarejestrowane!$C$2319)</f>
        <v>0</v>
      </c>
      <c r="H2312" s="9">
        <f>IF(AND($F2312&lt;&gt;"",ISNUMBER(SEARCH('Nr rejestracyjny'!$F$5,$F2312))),COUNT($H$1:H2311)+1,"")</f>
        <v>0</v>
      </c>
      <c r="I2312" s="9">
        <f>IF(AND($G2312&lt;&gt;"",ISNUMBER(SEARCH('Nr rejestracyjny'!$F$5,$G2312))),COUNT($I$1:I2311)+1,"")</f>
        <v>0</v>
      </c>
    </row>
    <row r="2313" spans="6:9">
      <c r="F2313" s="7">
        <f>IF('W rejestracji'!$C$2320="","",'W rejestracji'!$C$2320)</f>
        <v>0</v>
      </c>
      <c r="G2313" s="7">
        <f>IF(Zarejestrowane!$C$2320="","",Zarejestrowane!$C$2320)</f>
        <v>0</v>
      </c>
      <c r="H2313" s="9">
        <f>IF(AND($F2313&lt;&gt;"",ISNUMBER(SEARCH('Nr rejestracyjny'!$F$5,$F2313))),COUNT($H$1:H2312)+1,"")</f>
        <v>0</v>
      </c>
      <c r="I2313" s="9">
        <f>IF(AND($G2313&lt;&gt;"",ISNUMBER(SEARCH('Nr rejestracyjny'!$F$5,$G2313))),COUNT($I$1:I2312)+1,"")</f>
        <v>0</v>
      </c>
    </row>
    <row r="2314" spans="6:9">
      <c r="F2314" s="7">
        <f>IF('W rejestracji'!$C$2321="","",'W rejestracji'!$C$2321)</f>
        <v>0</v>
      </c>
      <c r="G2314" s="7">
        <f>IF(Zarejestrowane!$C$2321="","",Zarejestrowane!$C$2321)</f>
        <v>0</v>
      </c>
      <c r="H2314" s="9">
        <f>IF(AND($F2314&lt;&gt;"",ISNUMBER(SEARCH('Nr rejestracyjny'!$F$5,$F2314))),COUNT($H$1:H2313)+1,"")</f>
        <v>0</v>
      </c>
      <c r="I2314" s="9">
        <f>IF(AND($G2314&lt;&gt;"",ISNUMBER(SEARCH('Nr rejestracyjny'!$F$5,$G2314))),COUNT($I$1:I2313)+1,"")</f>
        <v>0</v>
      </c>
    </row>
    <row r="2315" spans="6:9">
      <c r="F2315" s="7">
        <f>IF('W rejestracji'!$C$2322="","",'W rejestracji'!$C$2322)</f>
        <v>0</v>
      </c>
      <c r="G2315" s="7">
        <f>IF(Zarejestrowane!$C$2322="","",Zarejestrowane!$C$2322)</f>
        <v>0</v>
      </c>
      <c r="H2315" s="9">
        <f>IF(AND($F2315&lt;&gt;"",ISNUMBER(SEARCH('Nr rejestracyjny'!$F$5,$F2315))),COUNT($H$1:H2314)+1,"")</f>
        <v>0</v>
      </c>
      <c r="I2315" s="9">
        <f>IF(AND($G2315&lt;&gt;"",ISNUMBER(SEARCH('Nr rejestracyjny'!$F$5,$G2315))),COUNT($I$1:I2314)+1,"")</f>
        <v>0</v>
      </c>
    </row>
    <row r="2316" spans="6:9">
      <c r="F2316" s="7">
        <f>IF('W rejestracji'!$C$2323="","",'W rejestracji'!$C$2323)</f>
        <v>0</v>
      </c>
      <c r="G2316" s="7">
        <f>IF(Zarejestrowane!$C$2323="","",Zarejestrowane!$C$2323)</f>
        <v>0</v>
      </c>
      <c r="H2316" s="9">
        <f>IF(AND($F2316&lt;&gt;"",ISNUMBER(SEARCH('Nr rejestracyjny'!$F$5,$F2316))),COUNT($H$1:H2315)+1,"")</f>
        <v>0</v>
      </c>
      <c r="I2316" s="9">
        <f>IF(AND($G2316&lt;&gt;"",ISNUMBER(SEARCH('Nr rejestracyjny'!$F$5,$G2316))),COUNT($I$1:I2315)+1,"")</f>
        <v>0</v>
      </c>
    </row>
    <row r="2317" spans="6:9">
      <c r="F2317" s="7">
        <f>IF('W rejestracji'!$C$2324="","",'W rejestracji'!$C$2324)</f>
        <v>0</v>
      </c>
      <c r="G2317" s="7">
        <f>IF(Zarejestrowane!$C$2324="","",Zarejestrowane!$C$2324)</f>
        <v>0</v>
      </c>
      <c r="H2317" s="9">
        <f>IF(AND($F2317&lt;&gt;"",ISNUMBER(SEARCH('Nr rejestracyjny'!$F$5,$F2317))),COUNT($H$1:H2316)+1,"")</f>
        <v>0</v>
      </c>
      <c r="I2317" s="9">
        <f>IF(AND($G2317&lt;&gt;"",ISNUMBER(SEARCH('Nr rejestracyjny'!$F$5,$G2317))),COUNT($I$1:I2316)+1,"")</f>
        <v>0</v>
      </c>
    </row>
    <row r="2318" spans="6:9">
      <c r="F2318" s="7">
        <f>IF('W rejestracji'!$C$2325="","",'W rejestracji'!$C$2325)</f>
        <v>0</v>
      </c>
      <c r="G2318" s="7">
        <f>IF(Zarejestrowane!$C$2325="","",Zarejestrowane!$C$2325)</f>
        <v>0</v>
      </c>
      <c r="H2318" s="9">
        <f>IF(AND($F2318&lt;&gt;"",ISNUMBER(SEARCH('Nr rejestracyjny'!$F$5,$F2318))),COUNT($H$1:H2317)+1,"")</f>
        <v>0</v>
      </c>
      <c r="I2318" s="9">
        <f>IF(AND($G2318&lt;&gt;"",ISNUMBER(SEARCH('Nr rejestracyjny'!$F$5,$G2318))),COUNT($I$1:I2317)+1,"")</f>
        <v>0</v>
      </c>
    </row>
    <row r="2319" spans="6:9">
      <c r="F2319" s="7">
        <f>IF('W rejestracji'!$C$2326="","",'W rejestracji'!$C$2326)</f>
        <v>0</v>
      </c>
      <c r="G2319" s="7">
        <f>IF(Zarejestrowane!$C$2326="","",Zarejestrowane!$C$2326)</f>
        <v>0</v>
      </c>
      <c r="H2319" s="9">
        <f>IF(AND($F2319&lt;&gt;"",ISNUMBER(SEARCH('Nr rejestracyjny'!$F$5,$F2319))),COUNT($H$1:H2318)+1,"")</f>
        <v>0</v>
      </c>
      <c r="I2319" s="9">
        <f>IF(AND($G2319&lt;&gt;"",ISNUMBER(SEARCH('Nr rejestracyjny'!$F$5,$G2319))),COUNT($I$1:I2318)+1,"")</f>
        <v>0</v>
      </c>
    </row>
    <row r="2320" spans="6:9">
      <c r="F2320" s="7">
        <f>IF('W rejestracji'!$C$2327="","",'W rejestracji'!$C$2327)</f>
        <v>0</v>
      </c>
      <c r="G2320" s="7">
        <f>IF(Zarejestrowane!$C$2327="","",Zarejestrowane!$C$2327)</f>
        <v>0</v>
      </c>
      <c r="H2320" s="9">
        <f>IF(AND($F2320&lt;&gt;"",ISNUMBER(SEARCH('Nr rejestracyjny'!$F$5,$F2320))),COUNT($H$1:H2319)+1,"")</f>
        <v>0</v>
      </c>
      <c r="I2320" s="9">
        <f>IF(AND($G2320&lt;&gt;"",ISNUMBER(SEARCH('Nr rejestracyjny'!$F$5,$G2320))),COUNT($I$1:I2319)+1,"")</f>
        <v>0</v>
      </c>
    </row>
    <row r="2321" spans="6:9">
      <c r="F2321" s="7">
        <f>IF('W rejestracji'!$C$2328="","",'W rejestracji'!$C$2328)</f>
        <v>0</v>
      </c>
      <c r="G2321" s="7">
        <f>IF(Zarejestrowane!$C$2328="","",Zarejestrowane!$C$2328)</f>
        <v>0</v>
      </c>
      <c r="H2321" s="9">
        <f>IF(AND($F2321&lt;&gt;"",ISNUMBER(SEARCH('Nr rejestracyjny'!$F$5,$F2321))),COUNT($H$1:H2320)+1,"")</f>
        <v>0</v>
      </c>
      <c r="I2321" s="9">
        <f>IF(AND($G2321&lt;&gt;"",ISNUMBER(SEARCH('Nr rejestracyjny'!$F$5,$G2321))),COUNT($I$1:I2320)+1,"")</f>
        <v>0</v>
      </c>
    </row>
    <row r="2322" spans="6:9">
      <c r="F2322" s="7">
        <f>IF('W rejestracji'!$C$2329="","",'W rejestracji'!$C$2329)</f>
        <v>0</v>
      </c>
      <c r="G2322" s="7">
        <f>IF(Zarejestrowane!$C$2329="","",Zarejestrowane!$C$2329)</f>
        <v>0</v>
      </c>
      <c r="H2322" s="9">
        <f>IF(AND($F2322&lt;&gt;"",ISNUMBER(SEARCH('Nr rejestracyjny'!$F$5,$F2322))),COUNT($H$1:H2321)+1,"")</f>
        <v>0</v>
      </c>
      <c r="I2322" s="9">
        <f>IF(AND($G2322&lt;&gt;"",ISNUMBER(SEARCH('Nr rejestracyjny'!$F$5,$G2322))),COUNT($I$1:I2321)+1,"")</f>
        <v>0</v>
      </c>
    </row>
    <row r="2323" spans="6:9">
      <c r="F2323" s="7">
        <f>IF('W rejestracji'!$C$2330="","",'W rejestracji'!$C$2330)</f>
        <v>0</v>
      </c>
      <c r="G2323" s="7">
        <f>IF(Zarejestrowane!$C$2330="","",Zarejestrowane!$C$2330)</f>
        <v>0</v>
      </c>
      <c r="H2323" s="9">
        <f>IF(AND($F2323&lt;&gt;"",ISNUMBER(SEARCH('Nr rejestracyjny'!$F$5,$F2323))),COUNT($H$1:H2322)+1,"")</f>
        <v>0</v>
      </c>
      <c r="I2323" s="9">
        <f>IF(AND($G2323&lt;&gt;"",ISNUMBER(SEARCH('Nr rejestracyjny'!$F$5,$G2323))),COUNT($I$1:I2322)+1,"")</f>
        <v>0</v>
      </c>
    </row>
    <row r="2324" spans="6:9">
      <c r="F2324" s="7">
        <f>IF('W rejestracji'!$C$2331="","",'W rejestracji'!$C$2331)</f>
        <v>0</v>
      </c>
      <c r="G2324" s="7">
        <f>IF(Zarejestrowane!$C$2331="","",Zarejestrowane!$C$2331)</f>
        <v>0</v>
      </c>
      <c r="H2324" s="9">
        <f>IF(AND($F2324&lt;&gt;"",ISNUMBER(SEARCH('Nr rejestracyjny'!$F$5,$F2324))),COUNT($H$1:H2323)+1,"")</f>
        <v>0</v>
      </c>
      <c r="I2324" s="9">
        <f>IF(AND($G2324&lt;&gt;"",ISNUMBER(SEARCH('Nr rejestracyjny'!$F$5,$G2324))),COUNT($I$1:I2323)+1,"")</f>
        <v>0</v>
      </c>
    </row>
    <row r="2325" spans="6:9">
      <c r="F2325" s="7">
        <f>IF('W rejestracji'!$C$2332="","",'W rejestracji'!$C$2332)</f>
        <v>0</v>
      </c>
      <c r="G2325" s="7">
        <f>IF(Zarejestrowane!$C$2332="","",Zarejestrowane!$C$2332)</f>
        <v>0</v>
      </c>
      <c r="H2325" s="9">
        <f>IF(AND($F2325&lt;&gt;"",ISNUMBER(SEARCH('Nr rejestracyjny'!$F$5,$F2325))),COUNT($H$1:H2324)+1,"")</f>
        <v>0</v>
      </c>
      <c r="I2325" s="9">
        <f>IF(AND($G2325&lt;&gt;"",ISNUMBER(SEARCH('Nr rejestracyjny'!$F$5,$G2325))),COUNT($I$1:I2324)+1,"")</f>
        <v>0</v>
      </c>
    </row>
    <row r="2326" spans="6:9">
      <c r="F2326" s="7">
        <f>IF('W rejestracji'!$C$2333="","",'W rejestracji'!$C$2333)</f>
        <v>0</v>
      </c>
      <c r="G2326" s="7">
        <f>IF(Zarejestrowane!$C$2333="","",Zarejestrowane!$C$2333)</f>
        <v>0</v>
      </c>
      <c r="H2326" s="9">
        <f>IF(AND($F2326&lt;&gt;"",ISNUMBER(SEARCH('Nr rejestracyjny'!$F$5,$F2326))),COUNT($H$1:H2325)+1,"")</f>
        <v>0</v>
      </c>
      <c r="I2326" s="9">
        <f>IF(AND($G2326&lt;&gt;"",ISNUMBER(SEARCH('Nr rejestracyjny'!$F$5,$G2326))),COUNT($I$1:I2325)+1,"")</f>
        <v>0</v>
      </c>
    </row>
    <row r="2327" spans="6:9">
      <c r="F2327" s="7">
        <f>IF('W rejestracji'!$C$2334="","",'W rejestracji'!$C$2334)</f>
        <v>0</v>
      </c>
      <c r="G2327" s="7">
        <f>IF(Zarejestrowane!$C$2334="","",Zarejestrowane!$C$2334)</f>
        <v>0</v>
      </c>
      <c r="H2327" s="9">
        <f>IF(AND($F2327&lt;&gt;"",ISNUMBER(SEARCH('Nr rejestracyjny'!$F$5,$F2327))),COUNT($H$1:H2326)+1,"")</f>
        <v>0</v>
      </c>
      <c r="I2327" s="9">
        <f>IF(AND($G2327&lt;&gt;"",ISNUMBER(SEARCH('Nr rejestracyjny'!$F$5,$G2327))),COUNT($I$1:I2326)+1,"")</f>
        <v>0</v>
      </c>
    </row>
    <row r="2328" spans="6:9">
      <c r="F2328" s="7">
        <f>IF('W rejestracji'!$C$2335="","",'W rejestracji'!$C$2335)</f>
        <v>0</v>
      </c>
      <c r="G2328" s="7">
        <f>IF(Zarejestrowane!$C$2335="","",Zarejestrowane!$C$2335)</f>
        <v>0</v>
      </c>
      <c r="H2328" s="9">
        <f>IF(AND($F2328&lt;&gt;"",ISNUMBER(SEARCH('Nr rejestracyjny'!$F$5,$F2328))),COUNT($H$1:H2327)+1,"")</f>
        <v>0</v>
      </c>
      <c r="I2328" s="9">
        <f>IF(AND($G2328&lt;&gt;"",ISNUMBER(SEARCH('Nr rejestracyjny'!$F$5,$G2328))),COUNT($I$1:I2327)+1,"")</f>
        <v>0</v>
      </c>
    </row>
    <row r="2329" spans="6:9">
      <c r="F2329" s="7">
        <f>IF('W rejestracji'!$C$2336="","",'W rejestracji'!$C$2336)</f>
        <v>0</v>
      </c>
      <c r="G2329" s="7">
        <f>IF(Zarejestrowane!$C$2336="","",Zarejestrowane!$C$2336)</f>
        <v>0</v>
      </c>
      <c r="H2329" s="9">
        <f>IF(AND($F2329&lt;&gt;"",ISNUMBER(SEARCH('Nr rejestracyjny'!$F$5,$F2329))),COUNT($H$1:H2328)+1,"")</f>
        <v>0</v>
      </c>
      <c r="I2329" s="9">
        <f>IF(AND($G2329&lt;&gt;"",ISNUMBER(SEARCH('Nr rejestracyjny'!$F$5,$G2329))),COUNT($I$1:I2328)+1,"")</f>
        <v>0</v>
      </c>
    </row>
    <row r="2330" spans="6:9">
      <c r="F2330" s="7">
        <f>IF('W rejestracji'!$C$2337="","",'W rejestracji'!$C$2337)</f>
        <v>0</v>
      </c>
      <c r="G2330" s="7">
        <f>IF(Zarejestrowane!$C$2337="","",Zarejestrowane!$C$2337)</f>
        <v>0</v>
      </c>
      <c r="H2330" s="9">
        <f>IF(AND($F2330&lt;&gt;"",ISNUMBER(SEARCH('Nr rejestracyjny'!$F$5,$F2330))),COUNT($H$1:H2329)+1,"")</f>
        <v>0</v>
      </c>
      <c r="I2330" s="9">
        <f>IF(AND($G2330&lt;&gt;"",ISNUMBER(SEARCH('Nr rejestracyjny'!$F$5,$G2330))),COUNT($I$1:I2329)+1,"")</f>
        <v>0</v>
      </c>
    </row>
    <row r="2331" spans="6:9">
      <c r="F2331" s="7">
        <f>IF('W rejestracji'!$C$2338="","",'W rejestracji'!$C$2338)</f>
        <v>0</v>
      </c>
      <c r="G2331" s="7">
        <f>IF(Zarejestrowane!$C$2338="","",Zarejestrowane!$C$2338)</f>
        <v>0</v>
      </c>
      <c r="H2331" s="9">
        <f>IF(AND($F2331&lt;&gt;"",ISNUMBER(SEARCH('Nr rejestracyjny'!$F$5,$F2331))),COUNT($H$1:H2330)+1,"")</f>
        <v>0</v>
      </c>
      <c r="I2331" s="9">
        <f>IF(AND($G2331&lt;&gt;"",ISNUMBER(SEARCH('Nr rejestracyjny'!$F$5,$G2331))),COUNT($I$1:I2330)+1,"")</f>
        <v>0</v>
      </c>
    </row>
    <row r="2332" spans="6:9">
      <c r="F2332" s="7">
        <f>IF('W rejestracji'!$C$2339="","",'W rejestracji'!$C$2339)</f>
        <v>0</v>
      </c>
      <c r="G2332" s="7">
        <f>IF(Zarejestrowane!$C$2339="","",Zarejestrowane!$C$2339)</f>
        <v>0</v>
      </c>
      <c r="H2332" s="9">
        <f>IF(AND($F2332&lt;&gt;"",ISNUMBER(SEARCH('Nr rejestracyjny'!$F$5,$F2332))),COUNT($H$1:H2331)+1,"")</f>
        <v>0</v>
      </c>
      <c r="I2332" s="9">
        <f>IF(AND($G2332&lt;&gt;"",ISNUMBER(SEARCH('Nr rejestracyjny'!$F$5,$G2332))),COUNT($I$1:I2331)+1,"")</f>
        <v>0</v>
      </c>
    </row>
    <row r="2333" spans="6:9">
      <c r="F2333" s="7">
        <f>IF('W rejestracji'!$C$2340="","",'W rejestracji'!$C$2340)</f>
        <v>0</v>
      </c>
      <c r="G2333" s="7">
        <f>IF(Zarejestrowane!$C$2340="","",Zarejestrowane!$C$2340)</f>
        <v>0</v>
      </c>
      <c r="H2333" s="9">
        <f>IF(AND($F2333&lt;&gt;"",ISNUMBER(SEARCH('Nr rejestracyjny'!$F$5,$F2333))),COUNT($H$1:H2332)+1,"")</f>
        <v>0</v>
      </c>
      <c r="I2333" s="9">
        <f>IF(AND($G2333&lt;&gt;"",ISNUMBER(SEARCH('Nr rejestracyjny'!$F$5,$G2333))),COUNT($I$1:I2332)+1,"")</f>
        <v>0</v>
      </c>
    </row>
    <row r="2334" spans="6:9">
      <c r="F2334" s="7">
        <f>IF('W rejestracji'!$C$2341="","",'W rejestracji'!$C$2341)</f>
        <v>0</v>
      </c>
      <c r="G2334" s="7">
        <f>IF(Zarejestrowane!$C$2341="","",Zarejestrowane!$C$2341)</f>
        <v>0</v>
      </c>
      <c r="H2334" s="9">
        <f>IF(AND($F2334&lt;&gt;"",ISNUMBER(SEARCH('Nr rejestracyjny'!$F$5,$F2334))),COUNT($H$1:H2333)+1,"")</f>
        <v>0</v>
      </c>
      <c r="I2334" s="9">
        <f>IF(AND($G2334&lt;&gt;"",ISNUMBER(SEARCH('Nr rejestracyjny'!$F$5,$G2334))),COUNT($I$1:I2333)+1,"")</f>
        <v>0</v>
      </c>
    </row>
    <row r="2335" spans="6:9">
      <c r="F2335" s="7">
        <f>IF('W rejestracji'!$C$2342="","",'W rejestracji'!$C$2342)</f>
        <v>0</v>
      </c>
      <c r="G2335" s="7">
        <f>IF(Zarejestrowane!$C$2342="","",Zarejestrowane!$C$2342)</f>
        <v>0</v>
      </c>
      <c r="H2335" s="9">
        <f>IF(AND($F2335&lt;&gt;"",ISNUMBER(SEARCH('Nr rejestracyjny'!$F$5,$F2335))),COUNT($H$1:H2334)+1,"")</f>
        <v>0</v>
      </c>
      <c r="I2335" s="9">
        <f>IF(AND($G2335&lt;&gt;"",ISNUMBER(SEARCH('Nr rejestracyjny'!$F$5,$G2335))),COUNT($I$1:I2334)+1,"")</f>
        <v>0</v>
      </c>
    </row>
    <row r="2336" spans="6:9">
      <c r="F2336" s="7">
        <f>IF('W rejestracji'!$C$2343="","",'W rejestracji'!$C$2343)</f>
        <v>0</v>
      </c>
      <c r="G2336" s="7">
        <f>IF(Zarejestrowane!$C$2343="","",Zarejestrowane!$C$2343)</f>
        <v>0</v>
      </c>
      <c r="H2336" s="9">
        <f>IF(AND($F2336&lt;&gt;"",ISNUMBER(SEARCH('Nr rejestracyjny'!$F$5,$F2336))),COUNT($H$1:H2335)+1,"")</f>
        <v>0</v>
      </c>
      <c r="I2336" s="9">
        <f>IF(AND($G2336&lt;&gt;"",ISNUMBER(SEARCH('Nr rejestracyjny'!$F$5,$G2336))),COUNT($I$1:I2335)+1,"")</f>
        <v>0</v>
      </c>
    </row>
    <row r="2337" spans="6:9">
      <c r="F2337" s="7">
        <f>IF('W rejestracji'!$C$2344="","",'W rejestracji'!$C$2344)</f>
        <v>0</v>
      </c>
      <c r="G2337" s="7">
        <f>IF(Zarejestrowane!$C$2344="","",Zarejestrowane!$C$2344)</f>
        <v>0</v>
      </c>
      <c r="H2337" s="9">
        <f>IF(AND($F2337&lt;&gt;"",ISNUMBER(SEARCH('Nr rejestracyjny'!$F$5,$F2337))),COUNT($H$1:H2336)+1,"")</f>
        <v>0</v>
      </c>
      <c r="I2337" s="9">
        <f>IF(AND($G2337&lt;&gt;"",ISNUMBER(SEARCH('Nr rejestracyjny'!$F$5,$G2337))),COUNT($I$1:I2336)+1,"")</f>
        <v>0</v>
      </c>
    </row>
    <row r="2338" spans="6:9">
      <c r="F2338" s="7">
        <f>IF('W rejestracji'!$C$2345="","",'W rejestracji'!$C$2345)</f>
        <v>0</v>
      </c>
      <c r="G2338" s="7">
        <f>IF(Zarejestrowane!$C$2345="","",Zarejestrowane!$C$2345)</f>
        <v>0</v>
      </c>
      <c r="H2338" s="9">
        <f>IF(AND($F2338&lt;&gt;"",ISNUMBER(SEARCH('Nr rejestracyjny'!$F$5,$F2338))),COUNT($H$1:H2337)+1,"")</f>
        <v>0</v>
      </c>
      <c r="I2338" s="9">
        <f>IF(AND($G2338&lt;&gt;"",ISNUMBER(SEARCH('Nr rejestracyjny'!$F$5,$G2338))),COUNT($I$1:I2337)+1,"")</f>
        <v>0</v>
      </c>
    </row>
    <row r="2339" spans="6:9">
      <c r="F2339" s="7">
        <f>IF('W rejestracji'!$C$2346="","",'W rejestracji'!$C$2346)</f>
        <v>0</v>
      </c>
      <c r="G2339" s="7">
        <f>IF(Zarejestrowane!$C$2346="","",Zarejestrowane!$C$2346)</f>
        <v>0</v>
      </c>
      <c r="H2339" s="9">
        <f>IF(AND($F2339&lt;&gt;"",ISNUMBER(SEARCH('Nr rejestracyjny'!$F$5,$F2339))),COUNT($H$1:H2338)+1,"")</f>
        <v>0</v>
      </c>
      <c r="I2339" s="9">
        <f>IF(AND($G2339&lt;&gt;"",ISNUMBER(SEARCH('Nr rejestracyjny'!$F$5,$G2339))),COUNT($I$1:I2338)+1,"")</f>
        <v>0</v>
      </c>
    </row>
    <row r="2340" spans="6:9">
      <c r="F2340" s="7">
        <f>IF('W rejestracji'!$C$2347="","",'W rejestracji'!$C$2347)</f>
        <v>0</v>
      </c>
      <c r="G2340" s="7">
        <f>IF(Zarejestrowane!$C$2347="","",Zarejestrowane!$C$2347)</f>
        <v>0</v>
      </c>
      <c r="H2340" s="9">
        <f>IF(AND($F2340&lt;&gt;"",ISNUMBER(SEARCH('Nr rejestracyjny'!$F$5,$F2340))),COUNT($H$1:H2339)+1,"")</f>
        <v>0</v>
      </c>
      <c r="I2340" s="9">
        <f>IF(AND($G2340&lt;&gt;"",ISNUMBER(SEARCH('Nr rejestracyjny'!$F$5,$G2340))),COUNT($I$1:I2339)+1,"")</f>
        <v>0</v>
      </c>
    </row>
    <row r="2341" spans="6:9">
      <c r="F2341" s="7">
        <f>IF('W rejestracji'!$C$2348="","",'W rejestracji'!$C$2348)</f>
        <v>0</v>
      </c>
      <c r="G2341" s="7">
        <f>IF(Zarejestrowane!$C$2348="","",Zarejestrowane!$C$2348)</f>
        <v>0</v>
      </c>
      <c r="H2341" s="9">
        <f>IF(AND($F2341&lt;&gt;"",ISNUMBER(SEARCH('Nr rejestracyjny'!$F$5,$F2341))),COUNT($H$1:H2340)+1,"")</f>
        <v>0</v>
      </c>
      <c r="I2341" s="9">
        <f>IF(AND($G2341&lt;&gt;"",ISNUMBER(SEARCH('Nr rejestracyjny'!$F$5,$G2341))),COUNT($I$1:I2340)+1,"")</f>
        <v>0</v>
      </c>
    </row>
    <row r="2342" spans="6:9">
      <c r="F2342" s="7">
        <f>IF('W rejestracji'!$C$2349="","",'W rejestracji'!$C$2349)</f>
        <v>0</v>
      </c>
      <c r="G2342" s="7">
        <f>IF(Zarejestrowane!$C$2349="","",Zarejestrowane!$C$2349)</f>
        <v>0</v>
      </c>
      <c r="H2342" s="9">
        <f>IF(AND($F2342&lt;&gt;"",ISNUMBER(SEARCH('Nr rejestracyjny'!$F$5,$F2342))),COUNT($H$1:H2341)+1,"")</f>
        <v>0</v>
      </c>
      <c r="I2342" s="9">
        <f>IF(AND($G2342&lt;&gt;"",ISNUMBER(SEARCH('Nr rejestracyjny'!$F$5,$G2342))),COUNT($I$1:I2341)+1,"")</f>
        <v>0</v>
      </c>
    </row>
    <row r="2343" spans="6:9">
      <c r="F2343" s="7">
        <f>IF('W rejestracji'!$C$2350="","",'W rejestracji'!$C$2350)</f>
        <v>0</v>
      </c>
      <c r="G2343" s="7">
        <f>IF(Zarejestrowane!$C$2350="","",Zarejestrowane!$C$2350)</f>
        <v>0</v>
      </c>
      <c r="H2343" s="9">
        <f>IF(AND($F2343&lt;&gt;"",ISNUMBER(SEARCH('Nr rejestracyjny'!$F$5,$F2343))),COUNT($H$1:H2342)+1,"")</f>
        <v>0</v>
      </c>
      <c r="I2343" s="9">
        <f>IF(AND($G2343&lt;&gt;"",ISNUMBER(SEARCH('Nr rejestracyjny'!$F$5,$G2343))),COUNT($I$1:I2342)+1,"")</f>
        <v>0</v>
      </c>
    </row>
    <row r="2344" spans="6:9">
      <c r="F2344" s="7">
        <f>IF('W rejestracji'!$C$2351="","",'W rejestracji'!$C$2351)</f>
        <v>0</v>
      </c>
      <c r="G2344" s="7">
        <f>IF(Zarejestrowane!$C$2351="","",Zarejestrowane!$C$2351)</f>
        <v>0</v>
      </c>
      <c r="H2344" s="9">
        <f>IF(AND($F2344&lt;&gt;"",ISNUMBER(SEARCH('Nr rejestracyjny'!$F$5,$F2344))),COUNT($H$1:H2343)+1,"")</f>
        <v>0</v>
      </c>
      <c r="I2344" s="9">
        <f>IF(AND($G2344&lt;&gt;"",ISNUMBER(SEARCH('Nr rejestracyjny'!$F$5,$G2344))),COUNT($I$1:I2343)+1,"")</f>
        <v>0</v>
      </c>
    </row>
    <row r="2345" spans="6:9">
      <c r="F2345" s="7">
        <f>IF('W rejestracji'!$C$2352="","",'W rejestracji'!$C$2352)</f>
        <v>0</v>
      </c>
      <c r="G2345" s="7">
        <f>IF(Zarejestrowane!$C$2352="","",Zarejestrowane!$C$2352)</f>
        <v>0</v>
      </c>
      <c r="H2345" s="9">
        <f>IF(AND($F2345&lt;&gt;"",ISNUMBER(SEARCH('Nr rejestracyjny'!$F$5,$F2345))),COUNT($H$1:H2344)+1,"")</f>
        <v>0</v>
      </c>
      <c r="I2345" s="9">
        <f>IF(AND($G2345&lt;&gt;"",ISNUMBER(SEARCH('Nr rejestracyjny'!$F$5,$G2345))),COUNT($I$1:I2344)+1,"")</f>
        <v>0</v>
      </c>
    </row>
    <row r="2346" spans="6:9">
      <c r="F2346" s="7">
        <f>IF('W rejestracji'!$C$2353="","",'W rejestracji'!$C$2353)</f>
        <v>0</v>
      </c>
      <c r="G2346" s="7">
        <f>IF(Zarejestrowane!$C$2353="","",Zarejestrowane!$C$2353)</f>
        <v>0</v>
      </c>
      <c r="H2346" s="9">
        <f>IF(AND($F2346&lt;&gt;"",ISNUMBER(SEARCH('Nr rejestracyjny'!$F$5,$F2346))),COUNT($H$1:H2345)+1,"")</f>
        <v>0</v>
      </c>
      <c r="I2346" s="9">
        <f>IF(AND($G2346&lt;&gt;"",ISNUMBER(SEARCH('Nr rejestracyjny'!$F$5,$G2346))),COUNT($I$1:I2345)+1,"")</f>
        <v>0</v>
      </c>
    </row>
    <row r="2347" spans="6:9">
      <c r="F2347" s="7">
        <f>IF('W rejestracji'!$C$2354="","",'W rejestracji'!$C$2354)</f>
        <v>0</v>
      </c>
      <c r="G2347" s="7">
        <f>IF(Zarejestrowane!$C$2354="","",Zarejestrowane!$C$2354)</f>
        <v>0</v>
      </c>
      <c r="H2347" s="9">
        <f>IF(AND($F2347&lt;&gt;"",ISNUMBER(SEARCH('Nr rejestracyjny'!$F$5,$F2347))),COUNT($H$1:H2346)+1,"")</f>
        <v>0</v>
      </c>
      <c r="I2347" s="9">
        <f>IF(AND($G2347&lt;&gt;"",ISNUMBER(SEARCH('Nr rejestracyjny'!$F$5,$G2347))),COUNT($I$1:I2346)+1,"")</f>
        <v>0</v>
      </c>
    </row>
    <row r="2348" spans="6:9">
      <c r="F2348" s="7">
        <f>IF('W rejestracji'!$C$2355="","",'W rejestracji'!$C$2355)</f>
        <v>0</v>
      </c>
      <c r="G2348" s="7">
        <f>IF(Zarejestrowane!$C$2355="","",Zarejestrowane!$C$2355)</f>
        <v>0</v>
      </c>
      <c r="H2348" s="9">
        <f>IF(AND($F2348&lt;&gt;"",ISNUMBER(SEARCH('Nr rejestracyjny'!$F$5,$F2348))),COUNT($H$1:H2347)+1,"")</f>
        <v>0</v>
      </c>
      <c r="I2348" s="9">
        <f>IF(AND($G2348&lt;&gt;"",ISNUMBER(SEARCH('Nr rejestracyjny'!$F$5,$G2348))),COUNT($I$1:I2347)+1,"")</f>
        <v>0</v>
      </c>
    </row>
    <row r="2349" spans="6:9">
      <c r="F2349" s="7">
        <f>IF('W rejestracji'!$C$2356="","",'W rejestracji'!$C$2356)</f>
        <v>0</v>
      </c>
      <c r="G2349" s="7">
        <f>IF(Zarejestrowane!$C$2356="","",Zarejestrowane!$C$2356)</f>
        <v>0</v>
      </c>
      <c r="H2349" s="9">
        <f>IF(AND($F2349&lt;&gt;"",ISNUMBER(SEARCH('Nr rejestracyjny'!$F$5,$F2349))),COUNT($H$1:H2348)+1,"")</f>
        <v>0</v>
      </c>
      <c r="I2349" s="9">
        <f>IF(AND($G2349&lt;&gt;"",ISNUMBER(SEARCH('Nr rejestracyjny'!$F$5,$G2349))),COUNT($I$1:I2348)+1,"")</f>
        <v>0</v>
      </c>
    </row>
    <row r="2350" spans="6:9">
      <c r="F2350" s="7">
        <f>IF('W rejestracji'!$C$2357="","",'W rejestracji'!$C$2357)</f>
        <v>0</v>
      </c>
      <c r="G2350" s="7">
        <f>IF(Zarejestrowane!$C$2357="","",Zarejestrowane!$C$2357)</f>
        <v>0</v>
      </c>
      <c r="H2350" s="9">
        <f>IF(AND($F2350&lt;&gt;"",ISNUMBER(SEARCH('Nr rejestracyjny'!$F$5,$F2350))),COUNT($H$1:H2349)+1,"")</f>
        <v>0</v>
      </c>
      <c r="I2350" s="9">
        <f>IF(AND($G2350&lt;&gt;"",ISNUMBER(SEARCH('Nr rejestracyjny'!$F$5,$G2350))),COUNT($I$1:I2349)+1,"")</f>
        <v>0</v>
      </c>
    </row>
    <row r="2351" spans="6:9">
      <c r="F2351" s="7">
        <f>IF('W rejestracji'!$C$2358="","",'W rejestracji'!$C$2358)</f>
        <v>0</v>
      </c>
      <c r="G2351" s="7">
        <f>IF(Zarejestrowane!$C$2358="","",Zarejestrowane!$C$2358)</f>
        <v>0</v>
      </c>
      <c r="H2351" s="9">
        <f>IF(AND($F2351&lt;&gt;"",ISNUMBER(SEARCH('Nr rejestracyjny'!$F$5,$F2351))),COUNT($H$1:H2350)+1,"")</f>
        <v>0</v>
      </c>
      <c r="I2351" s="9">
        <f>IF(AND($G2351&lt;&gt;"",ISNUMBER(SEARCH('Nr rejestracyjny'!$F$5,$G2351))),COUNT($I$1:I2350)+1,"")</f>
        <v>0</v>
      </c>
    </row>
    <row r="2352" spans="6:9">
      <c r="F2352" s="7">
        <f>IF('W rejestracji'!$C$2359="","",'W rejestracji'!$C$2359)</f>
        <v>0</v>
      </c>
      <c r="G2352" s="7">
        <f>IF(Zarejestrowane!$C$2359="","",Zarejestrowane!$C$2359)</f>
        <v>0</v>
      </c>
      <c r="H2352" s="9">
        <f>IF(AND($F2352&lt;&gt;"",ISNUMBER(SEARCH('Nr rejestracyjny'!$F$5,$F2352))),COUNT($H$1:H2351)+1,"")</f>
        <v>0</v>
      </c>
      <c r="I2352" s="9">
        <f>IF(AND($G2352&lt;&gt;"",ISNUMBER(SEARCH('Nr rejestracyjny'!$F$5,$G2352))),COUNT($I$1:I2351)+1,"")</f>
        <v>0</v>
      </c>
    </row>
    <row r="2353" spans="6:9">
      <c r="F2353" s="7">
        <f>IF('W rejestracji'!$C$2360="","",'W rejestracji'!$C$2360)</f>
        <v>0</v>
      </c>
      <c r="G2353" s="7">
        <f>IF(Zarejestrowane!$C$2360="","",Zarejestrowane!$C$2360)</f>
        <v>0</v>
      </c>
      <c r="H2353" s="9">
        <f>IF(AND($F2353&lt;&gt;"",ISNUMBER(SEARCH('Nr rejestracyjny'!$F$5,$F2353))),COUNT($H$1:H2352)+1,"")</f>
        <v>0</v>
      </c>
      <c r="I2353" s="9">
        <f>IF(AND($G2353&lt;&gt;"",ISNUMBER(SEARCH('Nr rejestracyjny'!$F$5,$G2353))),COUNT($I$1:I2352)+1,"")</f>
        <v>0</v>
      </c>
    </row>
    <row r="2354" spans="6:9">
      <c r="F2354" s="7">
        <f>IF('W rejestracji'!$C$2361="","",'W rejestracji'!$C$2361)</f>
        <v>0</v>
      </c>
      <c r="G2354" s="7">
        <f>IF(Zarejestrowane!$C$2361="","",Zarejestrowane!$C$2361)</f>
        <v>0</v>
      </c>
      <c r="H2354" s="9">
        <f>IF(AND($F2354&lt;&gt;"",ISNUMBER(SEARCH('Nr rejestracyjny'!$F$5,$F2354))),COUNT($H$1:H2353)+1,"")</f>
        <v>0</v>
      </c>
      <c r="I2354" s="9">
        <f>IF(AND($G2354&lt;&gt;"",ISNUMBER(SEARCH('Nr rejestracyjny'!$F$5,$G2354))),COUNT($I$1:I2353)+1,"")</f>
        <v>0</v>
      </c>
    </row>
    <row r="2355" spans="6:9">
      <c r="F2355" s="7">
        <f>IF('W rejestracji'!$C$2362="","",'W rejestracji'!$C$2362)</f>
        <v>0</v>
      </c>
      <c r="G2355" s="7">
        <f>IF(Zarejestrowane!$C$2362="","",Zarejestrowane!$C$2362)</f>
        <v>0</v>
      </c>
      <c r="H2355" s="9">
        <f>IF(AND($F2355&lt;&gt;"",ISNUMBER(SEARCH('Nr rejestracyjny'!$F$5,$F2355))),COUNT($H$1:H2354)+1,"")</f>
        <v>0</v>
      </c>
      <c r="I2355" s="9">
        <f>IF(AND($G2355&lt;&gt;"",ISNUMBER(SEARCH('Nr rejestracyjny'!$F$5,$G2355))),COUNT($I$1:I2354)+1,"")</f>
        <v>0</v>
      </c>
    </row>
    <row r="2356" spans="6:9">
      <c r="F2356" s="7">
        <f>IF('W rejestracji'!$C$2363="","",'W rejestracji'!$C$2363)</f>
        <v>0</v>
      </c>
      <c r="G2356" s="7">
        <f>IF(Zarejestrowane!$C$2363="","",Zarejestrowane!$C$2363)</f>
        <v>0</v>
      </c>
      <c r="H2356" s="9">
        <f>IF(AND($F2356&lt;&gt;"",ISNUMBER(SEARCH('Nr rejestracyjny'!$F$5,$F2356))),COUNT($H$1:H2355)+1,"")</f>
        <v>0</v>
      </c>
      <c r="I2356" s="9">
        <f>IF(AND($G2356&lt;&gt;"",ISNUMBER(SEARCH('Nr rejestracyjny'!$F$5,$G2356))),COUNT($I$1:I2355)+1,"")</f>
        <v>0</v>
      </c>
    </row>
    <row r="2357" spans="6:9">
      <c r="F2357" s="7">
        <f>IF('W rejestracji'!$C$2364="","",'W rejestracji'!$C$2364)</f>
        <v>0</v>
      </c>
      <c r="G2357" s="7">
        <f>IF(Zarejestrowane!$C$2364="","",Zarejestrowane!$C$2364)</f>
        <v>0</v>
      </c>
      <c r="H2357" s="9">
        <f>IF(AND($F2357&lt;&gt;"",ISNUMBER(SEARCH('Nr rejestracyjny'!$F$5,$F2357))),COUNT($H$1:H2356)+1,"")</f>
        <v>0</v>
      </c>
      <c r="I2357" s="9">
        <f>IF(AND($G2357&lt;&gt;"",ISNUMBER(SEARCH('Nr rejestracyjny'!$F$5,$G2357))),COUNT($I$1:I2356)+1,"")</f>
        <v>0</v>
      </c>
    </row>
    <row r="2358" spans="6:9">
      <c r="F2358" s="7">
        <f>IF('W rejestracji'!$C$2365="","",'W rejestracji'!$C$2365)</f>
        <v>0</v>
      </c>
      <c r="G2358" s="7">
        <f>IF(Zarejestrowane!$C$2365="","",Zarejestrowane!$C$2365)</f>
        <v>0</v>
      </c>
      <c r="H2358" s="9">
        <f>IF(AND($F2358&lt;&gt;"",ISNUMBER(SEARCH('Nr rejestracyjny'!$F$5,$F2358))),COUNT($H$1:H2357)+1,"")</f>
        <v>0</v>
      </c>
      <c r="I2358" s="9">
        <f>IF(AND($G2358&lt;&gt;"",ISNUMBER(SEARCH('Nr rejestracyjny'!$F$5,$G2358))),COUNT($I$1:I2357)+1,"")</f>
        <v>0</v>
      </c>
    </row>
    <row r="2359" spans="6:9">
      <c r="F2359" s="7">
        <f>IF('W rejestracji'!$C$2366="","",'W rejestracji'!$C$2366)</f>
        <v>0</v>
      </c>
      <c r="G2359" s="7">
        <f>IF(Zarejestrowane!$C$2366="","",Zarejestrowane!$C$2366)</f>
        <v>0</v>
      </c>
      <c r="H2359" s="9">
        <f>IF(AND($F2359&lt;&gt;"",ISNUMBER(SEARCH('Nr rejestracyjny'!$F$5,$F2359))),COUNT($H$1:H2358)+1,"")</f>
        <v>0</v>
      </c>
      <c r="I2359" s="9">
        <f>IF(AND($G2359&lt;&gt;"",ISNUMBER(SEARCH('Nr rejestracyjny'!$F$5,$G2359))),COUNT($I$1:I2358)+1,"")</f>
        <v>0</v>
      </c>
    </row>
    <row r="2360" spans="6:9">
      <c r="F2360" s="7">
        <f>IF('W rejestracji'!$C$2367="","",'W rejestracji'!$C$2367)</f>
        <v>0</v>
      </c>
      <c r="G2360" s="7">
        <f>IF(Zarejestrowane!$C$2367="","",Zarejestrowane!$C$2367)</f>
        <v>0</v>
      </c>
      <c r="H2360" s="9">
        <f>IF(AND($F2360&lt;&gt;"",ISNUMBER(SEARCH('Nr rejestracyjny'!$F$5,$F2360))),COUNT($H$1:H2359)+1,"")</f>
        <v>0</v>
      </c>
      <c r="I2360" s="9">
        <f>IF(AND($G2360&lt;&gt;"",ISNUMBER(SEARCH('Nr rejestracyjny'!$F$5,$G2360))),COUNT($I$1:I2359)+1,"")</f>
        <v>0</v>
      </c>
    </row>
    <row r="2361" spans="6:9">
      <c r="F2361" s="7">
        <f>IF('W rejestracji'!$C$2368="","",'W rejestracji'!$C$2368)</f>
        <v>0</v>
      </c>
      <c r="G2361" s="7">
        <f>IF(Zarejestrowane!$C$2368="","",Zarejestrowane!$C$2368)</f>
        <v>0</v>
      </c>
      <c r="H2361" s="9">
        <f>IF(AND($F2361&lt;&gt;"",ISNUMBER(SEARCH('Nr rejestracyjny'!$F$5,$F2361))),COUNT($H$1:H2360)+1,"")</f>
        <v>0</v>
      </c>
      <c r="I2361" s="9">
        <f>IF(AND($G2361&lt;&gt;"",ISNUMBER(SEARCH('Nr rejestracyjny'!$F$5,$G2361))),COUNT($I$1:I2360)+1,"")</f>
        <v>0</v>
      </c>
    </row>
    <row r="2362" spans="6:9">
      <c r="F2362" s="7">
        <f>IF('W rejestracji'!$C$2369="","",'W rejestracji'!$C$2369)</f>
        <v>0</v>
      </c>
      <c r="G2362" s="7">
        <f>IF(Zarejestrowane!$C$2369="","",Zarejestrowane!$C$2369)</f>
        <v>0</v>
      </c>
      <c r="H2362" s="9">
        <f>IF(AND($F2362&lt;&gt;"",ISNUMBER(SEARCH('Nr rejestracyjny'!$F$5,$F2362))),COUNT($H$1:H2361)+1,"")</f>
        <v>0</v>
      </c>
      <c r="I2362" s="9">
        <f>IF(AND($G2362&lt;&gt;"",ISNUMBER(SEARCH('Nr rejestracyjny'!$F$5,$G2362))),COUNT($I$1:I2361)+1,"")</f>
        <v>0</v>
      </c>
    </row>
    <row r="2363" spans="6:9">
      <c r="F2363" s="7">
        <f>IF('W rejestracji'!$C$2370="","",'W rejestracji'!$C$2370)</f>
        <v>0</v>
      </c>
      <c r="G2363" s="7">
        <f>IF(Zarejestrowane!$C$2370="","",Zarejestrowane!$C$2370)</f>
        <v>0</v>
      </c>
      <c r="H2363" s="9">
        <f>IF(AND($F2363&lt;&gt;"",ISNUMBER(SEARCH('Nr rejestracyjny'!$F$5,$F2363))),COUNT($H$1:H2362)+1,"")</f>
        <v>0</v>
      </c>
      <c r="I2363" s="9">
        <f>IF(AND($G2363&lt;&gt;"",ISNUMBER(SEARCH('Nr rejestracyjny'!$F$5,$G2363))),COUNT($I$1:I2362)+1,"")</f>
        <v>0</v>
      </c>
    </row>
    <row r="2364" spans="6:9">
      <c r="F2364" s="7">
        <f>IF('W rejestracji'!$C$2371="","",'W rejestracji'!$C$2371)</f>
        <v>0</v>
      </c>
      <c r="G2364" s="7">
        <f>IF(Zarejestrowane!$C$2371="","",Zarejestrowane!$C$2371)</f>
        <v>0</v>
      </c>
      <c r="H2364" s="9">
        <f>IF(AND($F2364&lt;&gt;"",ISNUMBER(SEARCH('Nr rejestracyjny'!$F$5,$F2364))),COUNT($H$1:H2363)+1,"")</f>
        <v>0</v>
      </c>
      <c r="I2364" s="9">
        <f>IF(AND($G2364&lt;&gt;"",ISNUMBER(SEARCH('Nr rejestracyjny'!$F$5,$G2364))),COUNT($I$1:I2363)+1,"")</f>
        <v>0</v>
      </c>
    </row>
    <row r="2365" spans="6:9">
      <c r="F2365" s="7">
        <f>IF('W rejestracji'!$C$2372="","",'W rejestracji'!$C$2372)</f>
        <v>0</v>
      </c>
      <c r="G2365" s="7">
        <f>IF(Zarejestrowane!$C$2372="","",Zarejestrowane!$C$2372)</f>
        <v>0</v>
      </c>
      <c r="H2365" s="9">
        <f>IF(AND($F2365&lt;&gt;"",ISNUMBER(SEARCH('Nr rejestracyjny'!$F$5,$F2365))),COUNT($H$1:H2364)+1,"")</f>
        <v>0</v>
      </c>
      <c r="I2365" s="9">
        <f>IF(AND($G2365&lt;&gt;"",ISNUMBER(SEARCH('Nr rejestracyjny'!$F$5,$G2365))),COUNT($I$1:I2364)+1,"")</f>
        <v>0</v>
      </c>
    </row>
    <row r="2366" spans="6:9">
      <c r="F2366" s="7">
        <f>IF('W rejestracji'!$C$2373="","",'W rejestracji'!$C$2373)</f>
        <v>0</v>
      </c>
      <c r="G2366" s="7">
        <f>IF(Zarejestrowane!$C$2373="","",Zarejestrowane!$C$2373)</f>
        <v>0</v>
      </c>
      <c r="H2366" s="9">
        <f>IF(AND($F2366&lt;&gt;"",ISNUMBER(SEARCH('Nr rejestracyjny'!$F$5,$F2366))),COUNT($H$1:H2365)+1,"")</f>
        <v>0</v>
      </c>
      <c r="I2366" s="9">
        <f>IF(AND($G2366&lt;&gt;"",ISNUMBER(SEARCH('Nr rejestracyjny'!$F$5,$G2366))),COUNT($I$1:I2365)+1,"")</f>
        <v>0</v>
      </c>
    </row>
    <row r="2367" spans="6:9">
      <c r="F2367" s="7">
        <f>IF('W rejestracji'!$C$2374="","",'W rejestracji'!$C$2374)</f>
        <v>0</v>
      </c>
      <c r="G2367" s="7">
        <f>IF(Zarejestrowane!$C$2374="","",Zarejestrowane!$C$2374)</f>
        <v>0</v>
      </c>
      <c r="H2367" s="9">
        <f>IF(AND($F2367&lt;&gt;"",ISNUMBER(SEARCH('Nr rejestracyjny'!$F$5,$F2367))),COUNT($H$1:H2366)+1,"")</f>
        <v>0</v>
      </c>
      <c r="I2367" s="9">
        <f>IF(AND($G2367&lt;&gt;"",ISNUMBER(SEARCH('Nr rejestracyjny'!$F$5,$G2367))),COUNT($I$1:I2366)+1,"")</f>
        <v>0</v>
      </c>
    </row>
    <row r="2368" spans="6:9">
      <c r="F2368" s="7">
        <f>IF('W rejestracji'!$C$2375="","",'W rejestracji'!$C$2375)</f>
        <v>0</v>
      </c>
      <c r="G2368" s="7">
        <f>IF(Zarejestrowane!$C$2375="","",Zarejestrowane!$C$2375)</f>
        <v>0</v>
      </c>
      <c r="H2368" s="9">
        <f>IF(AND($F2368&lt;&gt;"",ISNUMBER(SEARCH('Nr rejestracyjny'!$F$5,$F2368))),COUNT($H$1:H2367)+1,"")</f>
        <v>0</v>
      </c>
      <c r="I2368" s="9">
        <f>IF(AND($G2368&lt;&gt;"",ISNUMBER(SEARCH('Nr rejestracyjny'!$F$5,$G2368))),COUNT($I$1:I2367)+1,"")</f>
        <v>0</v>
      </c>
    </row>
    <row r="2369" spans="6:9">
      <c r="F2369" s="7">
        <f>IF('W rejestracji'!$C$2376="","",'W rejestracji'!$C$2376)</f>
        <v>0</v>
      </c>
      <c r="G2369" s="7">
        <f>IF(Zarejestrowane!$C$2376="","",Zarejestrowane!$C$2376)</f>
        <v>0</v>
      </c>
      <c r="H2369" s="9">
        <f>IF(AND($F2369&lt;&gt;"",ISNUMBER(SEARCH('Nr rejestracyjny'!$F$5,$F2369))),COUNT($H$1:H2368)+1,"")</f>
        <v>0</v>
      </c>
      <c r="I2369" s="9">
        <f>IF(AND($G2369&lt;&gt;"",ISNUMBER(SEARCH('Nr rejestracyjny'!$F$5,$G2369))),COUNT($I$1:I2368)+1,"")</f>
        <v>0</v>
      </c>
    </row>
    <row r="2370" spans="6:9">
      <c r="F2370" s="7">
        <f>IF('W rejestracji'!$C$2377="","",'W rejestracji'!$C$2377)</f>
        <v>0</v>
      </c>
      <c r="G2370" s="7">
        <f>IF(Zarejestrowane!$C$2377="","",Zarejestrowane!$C$2377)</f>
        <v>0</v>
      </c>
      <c r="H2370" s="9">
        <f>IF(AND($F2370&lt;&gt;"",ISNUMBER(SEARCH('Nr rejestracyjny'!$F$5,$F2370))),COUNT($H$1:H2369)+1,"")</f>
        <v>0</v>
      </c>
      <c r="I2370" s="9">
        <f>IF(AND($G2370&lt;&gt;"",ISNUMBER(SEARCH('Nr rejestracyjny'!$F$5,$G2370))),COUNT($I$1:I2369)+1,"")</f>
        <v>0</v>
      </c>
    </row>
    <row r="2371" spans="6:9">
      <c r="F2371" s="7">
        <f>IF('W rejestracji'!$C$2378="","",'W rejestracji'!$C$2378)</f>
        <v>0</v>
      </c>
      <c r="G2371" s="7">
        <f>IF(Zarejestrowane!$C$2378="","",Zarejestrowane!$C$2378)</f>
        <v>0</v>
      </c>
      <c r="H2371" s="9">
        <f>IF(AND($F2371&lt;&gt;"",ISNUMBER(SEARCH('Nr rejestracyjny'!$F$5,$F2371))),COUNT($H$1:H2370)+1,"")</f>
        <v>0</v>
      </c>
      <c r="I2371" s="9">
        <f>IF(AND($G2371&lt;&gt;"",ISNUMBER(SEARCH('Nr rejestracyjny'!$F$5,$G2371))),COUNT($I$1:I2370)+1,"")</f>
        <v>0</v>
      </c>
    </row>
    <row r="2372" spans="6:9">
      <c r="F2372" s="7">
        <f>IF('W rejestracji'!$C$2379="","",'W rejestracji'!$C$2379)</f>
        <v>0</v>
      </c>
      <c r="G2372" s="7">
        <f>IF(Zarejestrowane!$C$2379="","",Zarejestrowane!$C$2379)</f>
        <v>0</v>
      </c>
      <c r="H2372" s="9">
        <f>IF(AND($F2372&lt;&gt;"",ISNUMBER(SEARCH('Nr rejestracyjny'!$F$5,$F2372))),COUNT($H$1:H2371)+1,"")</f>
        <v>0</v>
      </c>
      <c r="I2372" s="9">
        <f>IF(AND($G2372&lt;&gt;"",ISNUMBER(SEARCH('Nr rejestracyjny'!$F$5,$G2372))),COUNT($I$1:I2371)+1,"")</f>
        <v>0</v>
      </c>
    </row>
    <row r="2373" spans="6:9">
      <c r="F2373" s="7">
        <f>IF('W rejestracji'!$C$2380="","",'W rejestracji'!$C$2380)</f>
        <v>0</v>
      </c>
      <c r="G2373" s="7">
        <f>IF(Zarejestrowane!$C$2380="","",Zarejestrowane!$C$2380)</f>
        <v>0</v>
      </c>
      <c r="H2373" s="9">
        <f>IF(AND($F2373&lt;&gt;"",ISNUMBER(SEARCH('Nr rejestracyjny'!$F$5,$F2373))),COUNT($H$1:H2372)+1,"")</f>
        <v>0</v>
      </c>
      <c r="I2373" s="9">
        <f>IF(AND($G2373&lt;&gt;"",ISNUMBER(SEARCH('Nr rejestracyjny'!$F$5,$G2373))),COUNT($I$1:I2372)+1,"")</f>
        <v>0</v>
      </c>
    </row>
    <row r="2374" spans="6:9">
      <c r="F2374" s="7">
        <f>IF('W rejestracji'!$C$2381="","",'W rejestracji'!$C$2381)</f>
        <v>0</v>
      </c>
      <c r="G2374" s="7">
        <f>IF(Zarejestrowane!$C$2381="","",Zarejestrowane!$C$2381)</f>
        <v>0</v>
      </c>
      <c r="H2374" s="9">
        <f>IF(AND($F2374&lt;&gt;"",ISNUMBER(SEARCH('Nr rejestracyjny'!$F$5,$F2374))),COUNT($H$1:H2373)+1,"")</f>
        <v>0</v>
      </c>
      <c r="I2374" s="9">
        <f>IF(AND($G2374&lt;&gt;"",ISNUMBER(SEARCH('Nr rejestracyjny'!$F$5,$G2374))),COUNT($I$1:I2373)+1,"")</f>
        <v>0</v>
      </c>
    </row>
    <row r="2375" spans="6:9">
      <c r="F2375" s="7">
        <f>IF('W rejestracji'!$C$2382="","",'W rejestracji'!$C$2382)</f>
        <v>0</v>
      </c>
      <c r="G2375" s="7">
        <f>IF(Zarejestrowane!$C$2382="","",Zarejestrowane!$C$2382)</f>
        <v>0</v>
      </c>
      <c r="H2375" s="9">
        <f>IF(AND($F2375&lt;&gt;"",ISNUMBER(SEARCH('Nr rejestracyjny'!$F$5,$F2375))),COUNT($H$1:H2374)+1,"")</f>
        <v>0</v>
      </c>
      <c r="I2375" s="9">
        <f>IF(AND($G2375&lt;&gt;"",ISNUMBER(SEARCH('Nr rejestracyjny'!$F$5,$G2375))),COUNT($I$1:I2374)+1,"")</f>
        <v>0</v>
      </c>
    </row>
    <row r="2376" spans="6:9">
      <c r="F2376" s="7">
        <f>IF('W rejestracji'!$C$2383="","",'W rejestracji'!$C$2383)</f>
        <v>0</v>
      </c>
      <c r="G2376" s="7">
        <f>IF(Zarejestrowane!$C$2383="","",Zarejestrowane!$C$2383)</f>
        <v>0</v>
      </c>
      <c r="H2376" s="9">
        <f>IF(AND($F2376&lt;&gt;"",ISNUMBER(SEARCH('Nr rejestracyjny'!$F$5,$F2376))),COUNT($H$1:H2375)+1,"")</f>
        <v>0</v>
      </c>
      <c r="I2376" s="9">
        <f>IF(AND($G2376&lt;&gt;"",ISNUMBER(SEARCH('Nr rejestracyjny'!$F$5,$G2376))),COUNT($I$1:I2375)+1,"")</f>
        <v>0</v>
      </c>
    </row>
    <row r="2377" spans="6:9">
      <c r="F2377" s="7">
        <f>IF('W rejestracji'!$C$2384="","",'W rejestracji'!$C$2384)</f>
        <v>0</v>
      </c>
      <c r="G2377" s="7">
        <f>IF(Zarejestrowane!$C$2384="","",Zarejestrowane!$C$2384)</f>
        <v>0</v>
      </c>
      <c r="H2377" s="9">
        <f>IF(AND($F2377&lt;&gt;"",ISNUMBER(SEARCH('Nr rejestracyjny'!$F$5,$F2377))),COUNT($H$1:H2376)+1,"")</f>
        <v>0</v>
      </c>
      <c r="I2377" s="9">
        <f>IF(AND($G2377&lt;&gt;"",ISNUMBER(SEARCH('Nr rejestracyjny'!$F$5,$G2377))),COUNT($I$1:I2376)+1,"")</f>
        <v>0</v>
      </c>
    </row>
    <row r="2378" spans="6:9">
      <c r="F2378" s="7">
        <f>IF('W rejestracji'!$C$2385="","",'W rejestracji'!$C$2385)</f>
        <v>0</v>
      </c>
      <c r="G2378" s="7">
        <f>IF(Zarejestrowane!$C$2385="","",Zarejestrowane!$C$2385)</f>
        <v>0</v>
      </c>
      <c r="H2378" s="9">
        <f>IF(AND($F2378&lt;&gt;"",ISNUMBER(SEARCH('Nr rejestracyjny'!$F$5,$F2378))),COUNT($H$1:H2377)+1,"")</f>
        <v>0</v>
      </c>
      <c r="I2378" s="9">
        <f>IF(AND($G2378&lt;&gt;"",ISNUMBER(SEARCH('Nr rejestracyjny'!$F$5,$G2378))),COUNT($I$1:I2377)+1,"")</f>
        <v>0</v>
      </c>
    </row>
    <row r="2379" spans="6:9">
      <c r="F2379" s="7">
        <f>IF('W rejestracji'!$C$2386="","",'W rejestracji'!$C$2386)</f>
        <v>0</v>
      </c>
      <c r="G2379" s="7">
        <f>IF(Zarejestrowane!$C$2386="","",Zarejestrowane!$C$2386)</f>
        <v>0</v>
      </c>
      <c r="H2379" s="9">
        <f>IF(AND($F2379&lt;&gt;"",ISNUMBER(SEARCH('Nr rejestracyjny'!$F$5,$F2379))),COUNT($H$1:H2378)+1,"")</f>
        <v>0</v>
      </c>
      <c r="I2379" s="9">
        <f>IF(AND($G2379&lt;&gt;"",ISNUMBER(SEARCH('Nr rejestracyjny'!$F$5,$G2379))),COUNT($I$1:I2378)+1,"")</f>
        <v>0</v>
      </c>
    </row>
    <row r="2380" spans="6:9">
      <c r="F2380" s="7">
        <f>IF('W rejestracji'!$C$2387="","",'W rejestracji'!$C$2387)</f>
        <v>0</v>
      </c>
      <c r="G2380" s="7">
        <f>IF(Zarejestrowane!$C$2387="","",Zarejestrowane!$C$2387)</f>
        <v>0</v>
      </c>
      <c r="H2380" s="9">
        <f>IF(AND($F2380&lt;&gt;"",ISNUMBER(SEARCH('Nr rejestracyjny'!$F$5,$F2380))),COUNT($H$1:H2379)+1,"")</f>
        <v>0</v>
      </c>
      <c r="I2380" s="9">
        <f>IF(AND($G2380&lt;&gt;"",ISNUMBER(SEARCH('Nr rejestracyjny'!$F$5,$G2380))),COUNT($I$1:I2379)+1,"")</f>
        <v>0</v>
      </c>
    </row>
    <row r="2381" spans="6:9">
      <c r="F2381" s="7">
        <f>IF('W rejestracji'!$C$2388="","",'W rejestracji'!$C$2388)</f>
        <v>0</v>
      </c>
      <c r="G2381" s="7">
        <f>IF(Zarejestrowane!$C$2388="","",Zarejestrowane!$C$2388)</f>
        <v>0</v>
      </c>
      <c r="H2381" s="9">
        <f>IF(AND($F2381&lt;&gt;"",ISNUMBER(SEARCH('Nr rejestracyjny'!$F$5,$F2381))),COUNT($H$1:H2380)+1,"")</f>
        <v>0</v>
      </c>
      <c r="I2381" s="9">
        <f>IF(AND($G2381&lt;&gt;"",ISNUMBER(SEARCH('Nr rejestracyjny'!$F$5,$G2381))),COUNT($I$1:I2380)+1,"")</f>
        <v>0</v>
      </c>
    </row>
    <row r="2382" spans="6:9">
      <c r="F2382" s="7">
        <f>IF('W rejestracji'!$C$2389="","",'W rejestracji'!$C$2389)</f>
        <v>0</v>
      </c>
      <c r="G2382" s="7">
        <f>IF(Zarejestrowane!$C$2389="","",Zarejestrowane!$C$2389)</f>
        <v>0</v>
      </c>
      <c r="H2382" s="9">
        <f>IF(AND($F2382&lt;&gt;"",ISNUMBER(SEARCH('Nr rejestracyjny'!$F$5,$F2382))),COUNT($H$1:H2381)+1,"")</f>
        <v>0</v>
      </c>
      <c r="I2382" s="9">
        <f>IF(AND($G2382&lt;&gt;"",ISNUMBER(SEARCH('Nr rejestracyjny'!$F$5,$G2382))),COUNT($I$1:I2381)+1,"")</f>
        <v>0</v>
      </c>
    </row>
    <row r="2383" spans="6:9">
      <c r="F2383" s="7">
        <f>IF('W rejestracji'!$C$2390="","",'W rejestracji'!$C$2390)</f>
        <v>0</v>
      </c>
      <c r="G2383" s="7">
        <f>IF(Zarejestrowane!$C$2390="","",Zarejestrowane!$C$2390)</f>
        <v>0</v>
      </c>
      <c r="H2383" s="9">
        <f>IF(AND($F2383&lt;&gt;"",ISNUMBER(SEARCH('Nr rejestracyjny'!$F$5,$F2383))),COUNT($H$1:H2382)+1,"")</f>
        <v>0</v>
      </c>
      <c r="I2383" s="9">
        <f>IF(AND($G2383&lt;&gt;"",ISNUMBER(SEARCH('Nr rejestracyjny'!$F$5,$G2383))),COUNT($I$1:I2382)+1,"")</f>
        <v>0</v>
      </c>
    </row>
    <row r="2384" spans="6:9">
      <c r="F2384" s="7">
        <f>IF('W rejestracji'!$C$2391="","",'W rejestracji'!$C$2391)</f>
        <v>0</v>
      </c>
      <c r="G2384" s="7">
        <f>IF(Zarejestrowane!$C$2391="","",Zarejestrowane!$C$2391)</f>
        <v>0</v>
      </c>
      <c r="H2384" s="9">
        <f>IF(AND($F2384&lt;&gt;"",ISNUMBER(SEARCH('Nr rejestracyjny'!$F$5,$F2384))),COUNT($H$1:H2383)+1,"")</f>
        <v>0</v>
      </c>
      <c r="I2384" s="9">
        <f>IF(AND($G2384&lt;&gt;"",ISNUMBER(SEARCH('Nr rejestracyjny'!$F$5,$G2384))),COUNT($I$1:I2383)+1,"")</f>
        <v>0</v>
      </c>
    </row>
    <row r="2385" spans="6:9">
      <c r="F2385" s="7">
        <f>IF('W rejestracji'!$C$2392="","",'W rejestracji'!$C$2392)</f>
        <v>0</v>
      </c>
      <c r="G2385" s="7">
        <f>IF(Zarejestrowane!$C$2392="","",Zarejestrowane!$C$2392)</f>
        <v>0</v>
      </c>
      <c r="H2385" s="9">
        <f>IF(AND($F2385&lt;&gt;"",ISNUMBER(SEARCH('Nr rejestracyjny'!$F$5,$F2385))),COUNT($H$1:H2384)+1,"")</f>
        <v>0</v>
      </c>
      <c r="I2385" s="9">
        <f>IF(AND($G2385&lt;&gt;"",ISNUMBER(SEARCH('Nr rejestracyjny'!$F$5,$G2385))),COUNT($I$1:I2384)+1,"")</f>
        <v>0</v>
      </c>
    </row>
    <row r="2386" spans="6:9">
      <c r="F2386" s="7">
        <f>IF('W rejestracji'!$C$2393="","",'W rejestracji'!$C$2393)</f>
        <v>0</v>
      </c>
      <c r="G2386" s="7">
        <f>IF(Zarejestrowane!$C$2393="","",Zarejestrowane!$C$2393)</f>
        <v>0</v>
      </c>
      <c r="H2386" s="9">
        <f>IF(AND($F2386&lt;&gt;"",ISNUMBER(SEARCH('Nr rejestracyjny'!$F$5,$F2386))),COUNT($H$1:H2385)+1,"")</f>
        <v>0</v>
      </c>
      <c r="I2386" s="9">
        <f>IF(AND($G2386&lt;&gt;"",ISNUMBER(SEARCH('Nr rejestracyjny'!$F$5,$G2386))),COUNT($I$1:I2385)+1,"")</f>
        <v>0</v>
      </c>
    </row>
    <row r="2387" spans="6:9">
      <c r="F2387" s="7">
        <f>IF('W rejestracji'!$C$2394="","",'W rejestracji'!$C$2394)</f>
        <v>0</v>
      </c>
      <c r="G2387" s="7">
        <f>IF(Zarejestrowane!$C$2394="","",Zarejestrowane!$C$2394)</f>
        <v>0</v>
      </c>
      <c r="H2387" s="9">
        <f>IF(AND($F2387&lt;&gt;"",ISNUMBER(SEARCH('Nr rejestracyjny'!$F$5,$F2387))),COUNT($H$1:H2386)+1,"")</f>
        <v>0</v>
      </c>
      <c r="I2387" s="9">
        <f>IF(AND($G2387&lt;&gt;"",ISNUMBER(SEARCH('Nr rejestracyjny'!$F$5,$G2387))),COUNT($I$1:I2386)+1,"")</f>
        <v>0</v>
      </c>
    </row>
    <row r="2388" spans="6:9">
      <c r="F2388" s="7">
        <f>IF('W rejestracji'!$C$2395="","",'W rejestracji'!$C$2395)</f>
        <v>0</v>
      </c>
      <c r="G2388" s="7">
        <f>IF(Zarejestrowane!$C$2395="","",Zarejestrowane!$C$2395)</f>
        <v>0</v>
      </c>
      <c r="H2388" s="9">
        <f>IF(AND($F2388&lt;&gt;"",ISNUMBER(SEARCH('Nr rejestracyjny'!$F$5,$F2388))),COUNT($H$1:H2387)+1,"")</f>
        <v>0</v>
      </c>
      <c r="I2388" s="9">
        <f>IF(AND($G2388&lt;&gt;"",ISNUMBER(SEARCH('Nr rejestracyjny'!$F$5,$G2388))),COUNT($I$1:I2387)+1,"")</f>
        <v>0</v>
      </c>
    </row>
    <row r="2389" spans="6:9">
      <c r="F2389" s="7">
        <f>IF('W rejestracji'!$C$2396="","",'W rejestracji'!$C$2396)</f>
        <v>0</v>
      </c>
      <c r="G2389" s="7">
        <f>IF(Zarejestrowane!$C$2396="","",Zarejestrowane!$C$2396)</f>
        <v>0</v>
      </c>
      <c r="H2389" s="9">
        <f>IF(AND($F2389&lt;&gt;"",ISNUMBER(SEARCH('Nr rejestracyjny'!$F$5,$F2389))),COUNT($H$1:H2388)+1,"")</f>
        <v>0</v>
      </c>
      <c r="I2389" s="9">
        <f>IF(AND($G2389&lt;&gt;"",ISNUMBER(SEARCH('Nr rejestracyjny'!$F$5,$G2389))),COUNT($I$1:I2388)+1,"")</f>
        <v>0</v>
      </c>
    </row>
    <row r="2390" spans="6:9">
      <c r="F2390" s="7">
        <f>IF('W rejestracji'!$C$2397="","",'W rejestracji'!$C$2397)</f>
        <v>0</v>
      </c>
      <c r="G2390" s="7">
        <f>IF(Zarejestrowane!$C$2397="","",Zarejestrowane!$C$2397)</f>
        <v>0</v>
      </c>
      <c r="H2390" s="9">
        <f>IF(AND($F2390&lt;&gt;"",ISNUMBER(SEARCH('Nr rejestracyjny'!$F$5,$F2390))),COUNT($H$1:H2389)+1,"")</f>
        <v>0</v>
      </c>
      <c r="I2390" s="9">
        <f>IF(AND($G2390&lt;&gt;"",ISNUMBER(SEARCH('Nr rejestracyjny'!$F$5,$G2390))),COUNT($I$1:I2389)+1,"")</f>
        <v>0</v>
      </c>
    </row>
    <row r="2391" spans="6:9">
      <c r="F2391" s="7">
        <f>IF('W rejestracji'!$C$2398="","",'W rejestracji'!$C$2398)</f>
        <v>0</v>
      </c>
      <c r="G2391" s="7">
        <f>IF(Zarejestrowane!$C$2398="","",Zarejestrowane!$C$2398)</f>
        <v>0</v>
      </c>
      <c r="H2391" s="9">
        <f>IF(AND($F2391&lt;&gt;"",ISNUMBER(SEARCH('Nr rejestracyjny'!$F$5,$F2391))),COUNT($H$1:H2390)+1,"")</f>
        <v>0</v>
      </c>
      <c r="I2391" s="9">
        <f>IF(AND($G2391&lt;&gt;"",ISNUMBER(SEARCH('Nr rejestracyjny'!$F$5,$G2391))),COUNT($I$1:I2390)+1,"")</f>
        <v>0</v>
      </c>
    </row>
    <row r="2392" spans="6:9">
      <c r="F2392" s="7">
        <f>IF('W rejestracji'!$C$2399="","",'W rejestracji'!$C$2399)</f>
        <v>0</v>
      </c>
      <c r="G2392" s="7">
        <f>IF(Zarejestrowane!$C$2399="","",Zarejestrowane!$C$2399)</f>
        <v>0</v>
      </c>
      <c r="H2392" s="9">
        <f>IF(AND($F2392&lt;&gt;"",ISNUMBER(SEARCH('Nr rejestracyjny'!$F$5,$F2392))),COUNT($H$1:H2391)+1,"")</f>
        <v>0</v>
      </c>
      <c r="I2392" s="9">
        <f>IF(AND($G2392&lt;&gt;"",ISNUMBER(SEARCH('Nr rejestracyjny'!$F$5,$G2392))),COUNT($I$1:I2391)+1,"")</f>
        <v>0</v>
      </c>
    </row>
    <row r="2393" spans="6:9">
      <c r="F2393" s="7">
        <f>IF('W rejestracji'!$C$2400="","",'W rejestracji'!$C$2400)</f>
        <v>0</v>
      </c>
      <c r="G2393" s="7">
        <f>IF(Zarejestrowane!$C$2400="","",Zarejestrowane!$C$2400)</f>
        <v>0</v>
      </c>
      <c r="H2393" s="9">
        <f>IF(AND($F2393&lt;&gt;"",ISNUMBER(SEARCH('Nr rejestracyjny'!$F$5,$F2393))),COUNT($H$1:H2392)+1,"")</f>
        <v>0</v>
      </c>
      <c r="I2393" s="9">
        <f>IF(AND($G2393&lt;&gt;"",ISNUMBER(SEARCH('Nr rejestracyjny'!$F$5,$G2393))),COUNT($I$1:I2392)+1,"")</f>
        <v>0</v>
      </c>
    </row>
    <row r="2394" spans="6:9">
      <c r="F2394" s="7">
        <f>IF('W rejestracji'!$C$2401="","",'W rejestracji'!$C$2401)</f>
        <v>0</v>
      </c>
      <c r="G2394" s="7">
        <f>IF(Zarejestrowane!$C$2401="","",Zarejestrowane!$C$2401)</f>
        <v>0</v>
      </c>
      <c r="H2394" s="9">
        <f>IF(AND($F2394&lt;&gt;"",ISNUMBER(SEARCH('Nr rejestracyjny'!$F$5,$F2394))),COUNT($H$1:H2393)+1,"")</f>
        <v>0</v>
      </c>
      <c r="I2394" s="9">
        <f>IF(AND($G2394&lt;&gt;"",ISNUMBER(SEARCH('Nr rejestracyjny'!$F$5,$G2394))),COUNT($I$1:I2393)+1,"")</f>
        <v>0</v>
      </c>
    </row>
    <row r="2395" spans="6:9">
      <c r="F2395" s="7">
        <f>IF('W rejestracji'!$C$2402="","",'W rejestracji'!$C$2402)</f>
        <v>0</v>
      </c>
      <c r="G2395" s="7">
        <f>IF(Zarejestrowane!$C$2402="","",Zarejestrowane!$C$2402)</f>
        <v>0</v>
      </c>
      <c r="H2395" s="9">
        <f>IF(AND($F2395&lt;&gt;"",ISNUMBER(SEARCH('Nr rejestracyjny'!$F$5,$F2395))),COUNT($H$1:H2394)+1,"")</f>
        <v>0</v>
      </c>
      <c r="I2395" s="9">
        <f>IF(AND($G2395&lt;&gt;"",ISNUMBER(SEARCH('Nr rejestracyjny'!$F$5,$G2395))),COUNT($I$1:I2394)+1,"")</f>
        <v>0</v>
      </c>
    </row>
    <row r="2396" spans="6:9">
      <c r="F2396" s="7">
        <f>IF('W rejestracji'!$C$2403="","",'W rejestracji'!$C$2403)</f>
        <v>0</v>
      </c>
      <c r="G2396" s="7">
        <f>IF(Zarejestrowane!$C$2403="","",Zarejestrowane!$C$2403)</f>
        <v>0</v>
      </c>
      <c r="H2396" s="9">
        <f>IF(AND($F2396&lt;&gt;"",ISNUMBER(SEARCH('Nr rejestracyjny'!$F$5,$F2396))),COUNT($H$1:H2395)+1,"")</f>
        <v>0</v>
      </c>
      <c r="I2396" s="9">
        <f>IF(AND($G2396&lt;&gt;"",ISNUMBER(SEARCH('Nr rejestracyjny'!$F$5,$G2396))),COUNT($I$1:I2395)+1,"")</f>
        <v>0</v>
      </c>
    </row>
    <row r="2397" spans="6:9">
      <c r="F2397" s="7">
        <f>IF('W rejestracji'!$C$2404="","",'W rejestracji'!$C$2404)</f>
        <v>0</v>
      </c>
      <c r="G2397" s="7">
        <f>IF(Zarejestrowane!$C$2404="","",Zarejestrowane!$C$2404)</f>
        <v>0</v>
      </c>
      <c r="H2397" s="9">
        <f>IF(AND($F2397&lt;&gt;"",ISNUMBER(SEARCH('Nr rejestracyjny'!$F$5,$F2397))),COUNT($H$1:H2396)+1,"")</f>
        <v>0</v>
      </c>
      <c r="I2397" s="9">
        <f>IF(AND($G2397&lt;&gt;"",ISNUMBER(SEARCH('Nr rejestracyjny'!$F$5,$G2397))),COUNT($I$1:I2396)+1,"")</f>
        <v>0</v>
      </c>
    </row>
    <row r="2398" spans="6:9">
      <c r="F2398" s="7">
        <f>IF('W rejestracji'!$C$2405="","",'W rejestracji'!$C$2405)</f>
        <v>0</v>
      </c>
      <c r="G2398" s="7">
        <f>IF(Zarejestrowane!$C$2405="","",Zarejestrowane!$C$2405)</f>
        <v>0</v>
      </c>
      <c r="H2398" s="9">
        <f>IF(AND($F2398&lt;&gt;"",ISNUMBER(SEARCH('Nr rejestracyjny'!$F$5,$F2398))),COUNT($H$1:H2397)+1,"")</f>
        <v>0</v>
      </c>
      <c r="I2398" s="9">
        <f>IF(AND($G2398&lt;&gt;"",ISNUMBER(SEARCH('Nr rejestracyjny'!$F$5,$G2398))),COUNT($I$1:I2397)+1,"")</f>
        <v>0</v>
      </c>
    </row>
    <row r="2399" spans="6:9">
      <c r="F2399" s="7">
        <f>IF('W rejestracji'!$C$2406="","",'W rejestracji'!$C$2406)</f>
        <v>0</v>
      </c>
      <c r="G2399" s="7">
        <f>IF(Zarejestrowane!$C$2406="","",Zarejestrowane!$C$2406)</f>
        <v>0</v>
      </c>
      <c r="H2399" s="9">
        <f>IF(AND($F2399&lt;&gt;"",ISNUMBER(SEARCH('Nr rejestracyjny'!$F$5,$F2399))),COUNT($H$1:H2398)+1,"")</f>
        <v>0</v>
      </c>
      <c r="I2399" s="9">
        <f>IF(AND($G2399&lt;&gt;"",ISNUMBER(SEARCH('Nr rejestracyjny'!$F$5,$G2399))),COUNT($I$1:I2398)+1,"")</f>
        <v>0</v>
      </c>
    </row>
    <row r="2400" spans="6:9">
      <c r="F2400" s="7">
        <f>IF('W rejestracji'!$C$2407="","",'W rejestracji'!$C$2407)</f>
        <v>0</v>
      </c>
      <c r="G2400" s="7">
        <f>IF(Zarejestrowane!$C$2407="","",Zarejestrowane!$C$2407)</f>
        <v>0</v>
      </c>
      <c r="H2400" s="9">
        <f>IF(AND($F2400&lt;&gt;"",ISNUMBER(SEARCH('Nr rejestracyjny'!$F$5,$F2400))),COUNT($H$1:H2399)+1,"")</f>
        <v>0</v>
      </c>
      <c r="I2400" s="9">
        <f>IF(AND($G2400&lt;&gt;"",ISNUMBER(SEARCH('Nr rejestracyjny'!$F$5,$G2400))),COUNT($I$1:I2399)+1,"")</f>
        <v>0</v>
      </c>
    </row>
    <row r="2401" spans="6:9">
      <c r="F2401" s="7">
        <f>IF('W rejestracji'!$C$2408="","",'W rejestracji'!$C$2408)</f>
        <v>0</v>
      </c>
      <c r="G2401" s="7">
        <f>IF(Zarejestrowane!$C$2408="","",Zarejestrowane!$C$2408)</f>
        <v>0</v>
      </c>
      <c r="H2401" s="9">
        <f>IF(AND($F2401&lt;&gt;"",ISNUMBER(SEARCH('Nr rejestracyjny'!$F$5,$F2401))),COUNT($H$1:H2400)+1,"")</f>
        <v>0</v>
      </c>
      <c r="I2401" s="9">
        <f>IF(AND($G2401&lt;&gt;"",ISNUMBER(SEARCH('Nr rejestracyjny'!$F$5,$G2401))),COUNT($I$1:I2400)+1,"")</f>
        <v>0</v>
      </c>
    </row>
    <row r="2402" spans="6:9">
      <c r="F2402" s="7">
        <f>IF('W rejestracji'!$C$2409="","",'W rejestracji'!$C$2409)</f>
        <v>0</v>
      </c>
      <c r="G2402" s="7">
        <f>IF(Zarejestrowane!$C$2409="","",Zarejestrowane!$C$2409)</f>
        <v>0</v>
      </c>
      <c r="H2402" s="9">
        <f>IF(AND($F2402&lt;&gt;"",ISNUMBER(SEARCH('Nr rejestracyjny'!$F$5,$F2402))),COUNT($H$1:H2401)+1,"")</f>
        <v>0</v>
      </c>
      <c r="I2402" s="9">
        <f>IF(AND($G2402&lt;&gt;"",ISNUMBER(SEARCH('Nr rejestracyjny'!$F$5,$G2402))),COUNT($I$1:I2401)+1,"")</f>
        <v>0</v>
      </c>
    </row>
    <row r="2403" spans="6:9">
      <c r="F2403" s="7">
        <f>IF('W rejestracji'!$C$2410="","",'W rejestracji'!$C$2410)</f>
        <v>0</v>
      </c>
      <c r="G2403" s="7">
        <f>IF(Zarejestrowane!$C$2410="","",Zarejestrowane!$C$2410)</f>
        <v>0</v>
      </c>
      <c r="H2403" s="9">
        <f>IF(AND($F2403&lt;&gt;"",ISNUMBER(SEARCH('Nr rejestracyjny'!$F$5,$F2403))),COUNT($H$1:H2402)+1,"")</f>
        <v>0</v>
      </c>
      <c r="I2403" s="9">
        <f>IF(AND($G2403&lt;&gt;"",ISNUMBER(SEARCH('Nr rejestracyjny'!$F$5,$G2403))),COUNT($I$1:I2402)+1,"")</f>
        <v>0</v>
      </c>
    </row>
    <row r="2404" spans="6:9">
      <c r="F2404" s="7">
        <f>IF('W rejestracji'!$C$2411="","",'W rejestracji'!$C$2411)</f>
        <v>0</v>
      </c>
      <c r="G2404" s="7">
        <f>IF(Zarejestrowane!$C$2411="","",Zarejestrowane!$C$2411)</f>
        <v>0</v>
      </c>
      <c r="H2404" s="9">
        <f>IF(AND($F2404&lt;&gt;"",ISNUMBER(SEARCH('Nr rejestracyjny'!$F$5,$F2404))),COUNT($H$1:H2403)+1,"")</f>
        <v>0</v>
      </c>
      <c r="I2404" s="9">
        <f>IF(AND($G2404&lt;&gt;"",ISNUMBER(SEARCH('Nr rejestracyjny'!$F$5,$G2404))),COUNT($I$1:I2403)+1,"")</f>
        <v>0</v>
      </c>
    </row>
    <row r="2405" spans="6:9">
      <c r="F2405" s="7">
        <f>IF('W rejestracji'!$C$2412="","",'W rejestracji'!$C$2412)</f>
        <v>0</v>
      </c>
      <c r="G2405" s="7">
        <f>IF(Zarejestrowane!$C$2412="","",Zarejestrowane!$C$2412)</f>
        <v>0</v>
      </c>
      <c r="H2405" s="9">
        <f>IF(AND($F2405&lt;&gt;"",ISNUMBER(SEARCH('Nr rejestracyjny'!$F$5,$F2405))),COUNT($H$1:H2404)+1,"")</f>
        <v>0</v>
      </c>
      <c r="I2405" s="9">
        <f>IF(AND($G2405&lt;&gt;"",ISNUMBER(SEARCH('Nr rejestracyjny'!$F$5,$G2405))),COUNT($I$1:I2404)+1,"")</f>
        <v>0</v>
      </c>
    </row>
    <row r="2406" spans="6:9">
      <c r="F2406" s="7">
        <f>IF('W rejestracji'!$C$2413="","",'W rejestracji'!$C$2413)</f>
        <v>0</v>
      </c>
      <c r="G2406" s="7">
        <f>IF(Zarejestrowane!$C$2413="","",Zarejestrowane!$C$2413)</f>
        <v>0</v>
      </c>
      <c r="H2406" s="9">
        <f>IF(AND($F2406&lt;&gt;"",ISNUMBER(SEARCH('Nr rejestracyjny'!$F$5,$F2406))),COUNT($H$1:H2405)+1,"")</f>
        <v>0</v>
      </c>
      <c r="I2406" s="9">
        <f>IF(AND($G2406&lt;&gt;"",ISNUMBER(SEARCH('Nr rejestracyjny'!$F$5,$G2406))),COUNT($I$1:I2405)+1,"")</f>
        <v>0</v>
      </c>
    </row>
    <row r="2407" spans="6:9">
      <c r="F2407" s="7">
        <f>IF('W rejestracji'!$C$2414="","",'W rejestracji'!$C$2414)</f>
        <v>0</v>
      </c>
      <c r="G2407" s="7">
        <f>IF(Zarejestrowane!$C$2414="","",Zarejestrowane!$C$2414)</f>
        <v>0</v>
      </c>
      <c r="H2407" s="9">
        <f>IF(AND($F2407&lt;&gt;"",ISNUMBER(SEARCH('Nr rejestracyjny'!$F$5,$F2407))),COUNT($H$1:H2406)+1,"")</f>
        <v>0</v>
      </c>
      <c r="I2407" s="9">
        <f>IF(AND($G2407&lt;&gt;"",ISNUMBER(SEARCH('Nr rejestracyjny'!$F$5,$G2407))),COUNT($I$1:I2406)+1,"")</f>
        <v>0</v>
      </c>
    </row>
    <row r="2408" spans="6:9">
      <c r="F2408" s="7">
        <f>IF('W rejestracji'!$C$2415="","",'W rejestracji'!$C$2415)</f>
        <v>0</v>
      </c>
      <c r="G2408" s="7">
        <f>IF(Zarejestrowane!$C$2415="","",Zarejestrowane!$C$2415)</f>
        <v>0</v>
      </c>
      <c r="H2408" s="9">
        <f>IF(AND($F2408&lt;&gt;"",ISNUMBER(SEARCH('Nr rejestracyjny'!$F$5,$F2408))),COUNT($H$1:H2407)+1,"")</f>
        <v>0</v>
      </c>
      <c r="I2408" s="9">
        <f>IF(AND($G2408&lt;&gt;"",ISNUMBER(SEARCH('Nr rejestracyjny'!$F$5,$G2408))),COUNT($I$1:I2407)+1,"")</f>
        <v>0</v>
      </c>
    </row>
    <row r="2409" spans="6:9">
      <c r="F2409" s="7">
        <f>IF('W rejestracji'!$C$2416="","",'W rejestracji'!$C$2416)</f>
        <v>0</v>
      </c>
      <c r="G2409" s="7">
        <f>IF(Zarejestrowane!$C$2416="","",Zarejestrowane!$C$2416)</f>
        <v>0</v>
      </c>
      <c r="H2409" s="9">
        <f>IF(AND($F2409&lt;&gt;"",ISNUMBER(SEARCH('Nr rejestracyjny'!$F$5,$F2409))),COUNT($H$1:H2408)+1,"")</f>
        <v>0</v>
      </c>
      <c r="I2409" s="9">
        <f>IF(AND($G2409&lt;&gt;"",ISNUMBER(SEARCH('Nr rejestracyjny'!$F$5,$G2409))),COUNT($I$1:I2408)+1,"")</f>
        <v>0</v>
      </c>
    </row>
    <row r="2410" spans="6:9">
      <c r="F2410" s="7">
        <f>IF('W rejestracji'!$C$2417="","",'W rejestracji'!$C$2417)</f>
        <v>0</v>
      </c>
      <c r="G2410" s="7">
        <f>IF(Zarejestrowane!$C$2417="","",Zarejestrowane!$C$2417)</f>
        <v>0</v>
      </c>
      <c r="H2410" s="9">
        <f>IF(AND($F2410&lt;&gt;"",ISNUMBER(SEARCH('Nr rejestracyjny'!$F$5,$F2410))),COUNT($H$1:H2409)+1,"")</f>
        <v>0</v>
      </c>
      <c r="I2410" s="9">
        <f>IF(AND($G2410&lt;&gt;"",ISNUMBER(SEARCH('Nr rejestracyjny'!$F$5,$G2410))),COUNT($I$1:I2409)+1,"")</f>
        <v>0</v>
      </c>
    </row>
    <row r="2411" spans="6:9">
      <c r="F2411" s="7">
        <f>IF('W rejestracji'!$C$2418="","",'W rejestracji'!$C$2418)</f>
        <v>0</v>
      </c>
      <c r="G2411" s="7">
        <f>IF(Zarejestrowane!$C$2418="","",Zarejestrowane!$C$2418)</f>
        <v>0</v>
      </c>
      <c r="H2411" s="9">
        <f>IF(AND($F2411&lt;&gt;"",ISNUMBER(SEARCH('Nr rejestracyjny'!$F$5,$F2411))),COUNT($H$1:H2410)+1,"")</f>
        <v>0</v>
      </c>
      <c r="I2411" s="9">
        <f>IF(AND($G2411&lt;&gt;"",ISNUMBER(SEARCH('Nr rejestracyjny'!$F$5,$G2411))),COUNT($I$1:I2410)+1,"")</f>
        <v>0</v>
      </c>
    </row>
    <row r="2412" spans="6:9">
      <c r="F2412" s="7">
        <f>IF('W rejestracji'!$C$2419="","",'W rejestracji'!$C$2419)</f>
        <v>0</v>
      </c>
      <c r="G2412" s="7">
        <f>IF(Zarejestrowane!$C$2419="","",Zarejestrowane!$C$2419)</f>
        <v>0</v>
      </c>
      <c r="H2412" s="9">
        <f>IF(AND($F2412&lt;&gt;"",ISNUMBER(SEARCH('Nr rejestracyjny'!$F$5,$F2412))),COUNT($H$1:H2411)+1,"")</f>
        <v>0</v>
      </c>
      <c r="I2412" s="9">
        <f>IF(AND($G2412&lt;&gt;"",ISNUMBER(SEARCH('Nr rejestracyjny'!$F$5,$G2412))),COUNT($I$1:I2411)+1,"")</f>
        <v>0</v>
      </c>
    </row>
    <row r="2413" spans="6:9">
      <c r="F2413" s="7">
        <f>IF('W rejestracji'!$C$2420="","",'W rejestracji'!$C$2420)</f>
        <v>0</v>
      </c>
      <c r="G2413" s="7">
        <f>IF(Zarejestrowane!$C$2420="","",Zarejestrowane!$C$2420)</f>
        <v>0</v>
      </c>
      <c r="H2413" s="9">
        <f>IF(AND($F2413&lt;&gt;"",ISNUMBER(SEARCH('Nr rejestracyjny'!$F$5,$F2413))),COUNT($H$1:H2412)+1,"")</f>
        <v>0</v>
      </c>
      <c r="I2413" s="9">
        <f>IF(AND($G2413&lt;&gt;"",ISNUMBER(SEARCH('Nr rejestracyjny'!$F$5,$G2413))),COUNT($I$1:I2412)+1,"")</f>
        <v>0</v>
      </c>
    </row>
    <row r="2414" spans="6:9">
      <c r="F2414" s="7">
        <f>IF('W rejestracji'!$C$2421="","",'W rejestracji'!$C$2421)</f>
        <v>0</v>
      </c>
      <c r="G2414" s="7">
        <f>IF(Zarejestrowane!$C$2421="","",Zarejestrowane!$C$2421)</f>
        <v>0</v>
      </c>
      <c r="H2414" s="9">
        <f>IF(AND($F2414&lt;&gt;"",ISNUMBER(SEARCH('Nr rejestracyjny'!$F$5,$F2414))),COUNT($H$1:H2413)+1,"")</f>
        <v>0</v>
      </c>
      <c r="I2414" s="9">
        <f>IF(AND($G2414&lt;&gt;"",ISNUMBER(SEARCH('Nr rejestracyjny'!$F$5,$G2414))),COUNT($I$1:I2413)+1,"")</f>
        <v>0</v>
      </c>
    </row>
    <row r="2415" spans="6:9">
      <c r="F2415" s="7">
        <f>IF('W rejestracji'!$C$2422="","",'W rejestracji'!$C$2422)</f>
        <v>0</v>
      </c>
      <c r="G2415" s="7">
        <f>IF(Zarejestrowane!$C$2422="","",Zarejestrowane!$C$2422)</f>
        <v>0</v>
      </c>
      <c r="H2415" s="9">
        <f>IF(AND($F2415&lt;&gt;"",ISNUMBER(SEARCH('Nr rejestracyjny'!$F$5,$F2415))),COUNT($H$1:H2414)+1,"")</f>
        <v>0</v>
      </c>
      <c r="I2415" s="9">
        <f>IF(AND($G2415&lt;&gt;"",ISNUMBER(SEARCH('Nr rejestracyjny'!$F$5,$G2415))),COUNT($I$1:I2414)+1,"")</f>
        <v>0</v>
      </c>
    </row>
    <row r="2416" spans="6:9">
      <c r="F2416" s="7">
        <f>IF('W rejestracji'!$C$2423="","",'W rejestracji'!$C$2423)</f>
        <v>0</v>
      </c>
      <c r="G2416" s="7">
        <f>IF(Zarejestrowane!$C$2423="","",Zarejestrowane!$C$2423)</f>
        <v>0</v>
      </c>
      <c r="H2416" s="9">
        <f>IF(AND($F2416&lt;&gt;"",ISNUMBER(SEARCH('Nr rejestracyjny'!$F$5,$F2416))),COUNT($H$1:H2415)+1,"")</f>
        <v>0</v>
      </c>
      <c r="I2416" s="9">
        <f>IF(AND($G2416&lt;&gt;"",ISNUMBER(SEARCH('Nr rejestracyjny'!$F$5,$G2416))),COUNT($I$1:I2415)+1,"")</f>
        <v>0</v>
      </c>
    </row>
    <row r="2417" spans="6:9">
      <c r="F2417" s="7">
        <f>IF('W rejestracji'!$C$2424="","",'W rejestracji'!$C$2424)</f>
        <v>0</v>
      </c>
      <c r="G2417" s="7">
        <f>IF(Zarejestrowane!$C$2424="","",Zarejestrowane!$C$2424)</f>
        <v>0</v>
      </c>
      <c r="H2417" s="9">
        <f>IF(AND($F2417&lt;&gt;"",ISNUMBER(SEARCH('Nr rejestracyjny'!$F$5,$F2417))),COUNT($H$1:H2416)+1,"")</f>
        <v>0</v>
      </c>
      <c r="I2417" s="9">
        <f>IF(AND($G2417&lt;&gt;"",ISNUMBER(SEARCH('Nr rejestracyjny'!$F$5,$G2417))),COUNT($I$1:I2416)+1,"")</f>
        <v>0</v>
      </c>
    </row>
    <row r="2418" spans="6:9">
      <c r="F2418" s="7">
        <f>IF('W rejestracji'!$C$2425="","",'W rejestracji'!$C$2425)</f>
        <v>0</v>
      </c>
      <c r="G2418" s="7">
        <f>IF(Zarejestrowane!$C$2425="","",Zarejestrowane!$C$2425)</f>
        <v>0</v>
      </c>
      <c r="H2418" s="9">
        <f>IF(AND($F2418&lt;&gt;"",ISNUMBER(SEARCH('Nr rejestracyjny'!$F$5,$F2418))),COUNT($H$1:H2417)+1,"")</f>
        <v>0</v>
      </c>
      <c r="I2418" s="9">
        <f>IF(AND($G2418&lt;&gt;"",ISNUMBER(SEARCH('Nr rejestracyjny'!$F$5,$G2418))),COUNT($I$1:I2417)+1,"")</f>
        <v>0</v>
      </c>
    </row>
    <row r="2419" spans="6:9">
      <c r="F2419" s="7">
        <f>IF('W rejestracji'!$C$2426="","",'W rejestracji'!$C$2426)</f>
        <v>0</v>
      </c>
      <c r="G2419" s="7">
        <f>IF(Zarejestrowane!$C$2426="","",Zarejestrowane!$C$2426)</f>
        <v>0</v>
      </c>
      <c r="H2419" s="9">
        <f>IF(AND($F2419&lt;&gt;"",ISNUMBER(SEARCH('Nr rejestracyjny'!$F$5,$F2419))),COUNT($H$1:H2418)+1,"")</f>
        <v>0</v>
      </c>
      <c r="I2419" s="9">
        <f>IF(AND($G2419&lt;&gt;"",ISNUMBER(SEARCH('Nr rejestracyjny'!$F$5,$G2419))),COUNT($I$1:I2418)+1,"")</f>
        <v>0</v>
      </c>
    </row>
    <row r="2420" spans="6:9">
      <c r="F2420" s="7">
        <f>IF('W rejestracji'!$C$2427="","",'W rejestracji'!$C$2427)</f>
        <v>0</v>
      </c>
      <c r="G2420" s="7">
        <f>IF(Zarejestrowane!$C$2427="","",Zarejestrowane!$C$2427)</f>
        <v>0</v>
      </c>
      <c r="H2420" s="9">
        <f>IF(AND($F2420&lt;&gt;"",ISNUMBER(SEARCH('Nr rejestracyjny'!$F$5,$F2420))),COUNT($H$1:H2419)+1,"")</f>
        <v>0</v>
      </c>
      <c r="I2420" s="9">
        <f>IF(AND($G2420&lt;&gt;"",ISNUMBER(SEARCH('Nr rejestracyjny'!$F$5,$G2420))),COUNT($I$1:I2419)+1,"")</f>
        <v>0</v>
      </c>
    </row>
    <row r="2421" spans="6:9">
      <c r="F2421" s="7">
        <f>IF('W rejestracji'!$C$2428="","",'W rejestracji'!$C$2428)</f>
        <v>0</v>
      </c>
      <c r="G2421" s="7">
        <f>IF(Zarejestrowane!$C$2428="","",Zarejestrowane!$C$2428)</f>
        <v>0</v>
      </c>
      <c r="H2421" s="9">
        <f>IF(AND($F2421&lt;&gt;"",ISNUMBER(SEARCH('Nr rejestracyjny'!$F$5,$F2421))),COUNT($H$1:H2420)+1,"")</f>
        <v>0</v>
      </c>
      <c r="I2421" s="9">
        <f>IF(AND($G2421&lt;&gt;"",ISNUMBER(SEARCH('Nr rejestracyjny'!$F$5,$G2421))),COUNT($I$1:I2420)+1,"")</f>
        <v>0</v>
      </c>
    </row>
    <row r="2422" spans="6:9">
      <c r="F2422" s="7">
        <f>IF('W rejestracji'!$C$2429="","",'W rejestracji'!$C$2429)</f>
        <v>0</v>
      </c>
      <c r="G2422" s="7">
        <f>IF(Zarejestrowane!$C$2429="","",Zarejestrowane!$C$2429)</f>
        <v>0</v>
      </c>
      <c r="H2422" s="9">
        <f>IF(AND($F2422&lt;&gt;"",ISNUMBER(SEARCH('Nr rejestracyjny'!$F$5,$F2422))),COUNT($H$1:H2421)+1,"")</f>
        <v>0</v>
      </c>
      <c r="I2422" s="9">
        <f>IF(AND($G2422&lt;&gt;"",ISNUMBER(SEARCH('Nr rejestracyjny'!$F$5,$G2422))),COUNT($I$1:I2421)+1,"")</f>
        <v>0</v>
      </c>
    </row>
    <row r="2423" spans="6:9">
      <c r="F2423" s="7">
        <f>IF('W rejestracji'!$C$2430="","",'W rejestracji'!$C$2430)</f>
        <v>0</v>
      </c>
      <c r="G2423" s="7">
        <f>IF(Zarejestrowane!$C$2430="","",Zarejestrowane!$C$2430)</f>
        <v>0</v>
      </c>
      <c r="H2423" s="9">
        <f>IF(AND($F2423&lt;&gt;"",ISNUMBER(SEARCH('Nr rejestracyjny'!$F$5,$F2423))),COUNT($H$1:H2422)+1,"")</f>
        <v>0</v>
      </c>
      <c r="I2423" s="9">
        <f>IF(AND($G2423&lt;&gt;"",ISNUMBER(SEARCH('Nr rejestracyjny'!$F$5,$G2423))),COUNT($I$1:I2422)+1,"")</f>
        <v>0</v>
      </c>
    </row>
    <row r="2424" spans="6:9">
      <c r="F2424" s="7">
        <f>IF('W rejestracji'!$C$2431="","",'W rejestracji'!$C$2431)</f>
        <v>0</v>
      </c>
      <c r="G2424" s="7">
        <f>IF(Zarejestrowane!$C$2431="","",Zarejestrowane!$C$2431)</f>
        <v>0</v>
      </c>
      <c r="H2424" s="9">
        <f>IF(AND($F2424&lt;&gt;"",ISNUMBER(SEARCH('Nr rejestracyjny'!$F$5,$F2424))),COUNT($H$1:H2423)+1,"")</f>
        <v>0</v>
      </c>
      <c r="I2424" s="9">
        <f>IF(AND($G2424&lt;&gt;"",ISNUMBER(SEARCH('Nr rejestracyjny'!$F$5,$G2424))),COUNT($I$1:I2423)+1,"")</f>
        <v>0</v>
      </c>
    </row>
    <row r="2425" spans="6:9">
      <c r="F2425" s="7">
        <f>IF('W rejestracji'!$C$2432="","",'W rejestracji'!$C$2432)</f>
        <v>0</v>
      </c>
      <c r="G2425" s="7">
        <f>IF(Zarejestrowane!$C$2432="","",Zarejestrowane!$C$2432)</f>
        <v>0</v>
      </c>
      <c r="H2425" s="9">
        <f>IF(AND($F2425&lt;&gt;"",ISNUMBER(SEARCH('Nr rejestracyjny'!$F$5,$F2425))),COUNT($H$1:H2424)+1,"")</f>
        <v>0</v>
      </c>
      <c r="I2425" s="9">
        <f>IF(AND($G2425&lt;&gt;"",ISNUMBER(SEARCH('Nr rejestracyjny'!$F$5,$G2425))),COUNT($I$1:I2424)+1,"")</f>
        <v>0</v>
      </c>
    </row>
    <row r="2426" spans="6:9">
      <c r="F2426" s="7">
        <f>IF('W rejestracji'!$C$2433="","",'W rejestracji'!$C$2433)</f>
        <v>0</v>
      </c>
      <c r="G2426" s="7">
        <f>IF(Zarejestrowane!$C$2433="","",Zarejestrowane!$C$2433)</f>
        <v>0</v>
      </c>
      <c r="H2426" s="9">
        <f>IF(AND($F2426&lt;&gt;"",ISNUMBER(SEARCH('Nr rejestracyjny'!$F$5,$F2426))),COUNT($H$1:H2425)+1,"")</f>
        <v>0</v>
      </c>
      <c r="I2426" s="9">
        <f>IF(AND($G2426&lt;&gt;"",ISNUMBER(SEARCH('Nr rejestracyjny'!$F$5,$G2426))),COUNT($I$1:I2425)+1,"")</f>
        <v>0</v>
      </c>
    </row>
    <row r="2427" spans="6:9">
      <c r="F2427" s="7">
        <f>IF('W rejestracji'!$C$2434="","",'W rejestracji'!$C$2434)</f>
        <v>0</v>
      </c>
      <c r="G2427" s="7">
        <f>IF(Zarejestrowane!$C$2434="","",Zarejestrowane!$C$2434)</f>
        <v>0</v>
      </c>
      <c r="H2427" s="9">
        <f>IF(AND($F2427&lt;&gt;"",ISNUMBER(SEARCH('Nr rejestracyjny'!$F$5,$F2427))),COUNT($H$1:H2426)+1,"")</f>
        <v>0</v>
      </c>
      <c r="I2427" s="9">
        <f>IF(AND($G2427&lt;&gt;"",ISNUMBER(SEARCH('Nr rejestracyjny'!$F$5,$G2427))),COUNT($I$1:I2426)+1,"")</f>
        <v>0</v>
      </c>
    </row>
    <row r="2428" spans="6:9">
      <c r="F2428" s="7">
        <f>IF('W rejestracji'!$C$2435="","",'W rejestracji'!$C$2435)</f>
        <v>0</v>
      </c>
      <c r="G2428" s="7">
        <f>IF(Zarejestrowane!$C$2435="","",Zarejestrowane!$C$2435)</f>
        <v>0</v>
      </c>
      <c r="H2428" s="9">
        <f>IF(AND($F2428&lt;&gt;"",ISNUMBER(SEARCH('Nr rejestracyjny'!$F$5,$F2428))),COUNT($H$1:H2427)+1,"")</f>
        <v>0</v>
      </c>
      <c r="I2428" s="9">
        <f>IF(AND($G2428&lt;&gt;"",ISNUMBER(SEARCH('Nr rejestracyjny'!$F$5,$G2428))),COUNT($I$1:I2427)+1,"")</f>
        <v>0</v>
      </c>
    </row>
    <row r="2429" spans="6:9">
      <c r="F2429" s="7">
        <f>IF('W rejestracji'!$C$2436="","",'W rejestracji'!$C$2436)</f>
        <v>0</v>
      </c>
      <c r="G2429" s="7">
        <f>IF(Zarejestrowane!$C$2436="","",Zarejestrowane!$C$2436)</f>
        <v>0</v>
      </c>
      <c r="H2429" s="9">
        <f>IF(AND($F2429&lt;&gt;"",ISNUMBER(SEARCH('Nr rejestracyjny'!$F$5,$F2429))),COUNT($H$1:H2428)+1,"")</f>
        <v>0</v>
      </c>
      <c r="I2429" s="9">
        <f>IF(AND($G2429&lt;&gt;"",ISNUMBER(SEARCH('Nr rejestracyjny'!$F$5,$G2429))),COUNT($I$1:I2428)+1,"")</f>
        <v>0</v>
      </c>
    </row>
    <row r="2430" spans="6:9">
      <c r="F2430" s="7">
        <f>IF('W rejestracji'!$C$2437="","",'W rejestracji'!$C$2437)</f>
        <v>0</v>
      </c>
      <c r="G2430" s="7">
        <f>IF(Zarejestrowane!$C$2437="","",Zarejestrowane!$C$2437)</f>
        <v>0</v>
      </c>
      <c r="H2430" s="9">
        <f>IF(AND($F2430&lt;&gt;"",ISNUMBER(SEARCH('Nr rejestracyjny'!$F$5,$F2430))),COUNT($H$1:H2429)+1,"")</f>
        <v>0</v>
      </c>
      <c r="I2430" s="9">
        <f>IF(AND($G2430&lt;&gt;"",ISNUMBER(SEARCH('Nr rejestracyjny'!$F$5,$G2430))),COUNT($I$1:I2429)+1,"")</f>
        <v>0</v>
      </c>
    </row>
    <row r="2431" spans="6:9">
      <c r="F2431" s="7">
        <f>IF('W rejestracji'!$C$2438="","",'W rejestracji'!$C$2438)</f>
        <v>0</v>
      </c>
      <c r="G2431" s="7">
        <f>IF(Zarejestrowane!$C$2438="","",Zarejestrowane!$C$2438)</f>
        <v>0</v>
      </c>
      <c r="H2431" s="9">
        <f>IF(AND($F2431&lt;&gt;"",ISNUMBER(SEARCH('Nr rejestracyjny'!$F$5,$F2431))),COUNT($H$1:H2430)+1,"")</f>
        <v>0</v>
      </c>
      <c r="I2431" s="9">
        <f>IF(AND($G2431&lt;&gt;"",ISNUMBER(SEARCH('Nr rejestracyjny'!$F$5,$G2431))),COUNT($I$1:I2430)+1,"")</f>
        <v>0</v>
      </c>
    </row>
    <row r="2432" spans="6:9">
      <c r="F2432" s="7">
        <f>IF('W rejestracji'!$C$2439="","",'W rejestracji'!$C$2439)</f>
        <v>0</v>
      </c>
      <c r="G2432" s="7">
        <f>IF(Zarejestrowane!$C$2439="","",Zarejestrowane!$C$2439)</f>
        <v>0</v>
      </c>
      <c r="H2432" s="9">
        <f>IF(AND($F2432&lt;&gt;"",ISNUMBER(SEARCH('Nr rejestracyjny'!$F$5,$F2432))),COUNT($H$1:H2431)+1,"")</f>
        <v>0</v>
      </c>
      <c r="I2432" s="9">
        <f>IF(AND($G2432&lt;&gt;"",ISNUMBER(SEARCH('Nr rejestracyjny'!$F$5,$G2432))),COUNT($I$1:I2431)+1,"")</f>
        <v>0</v>
      </c>
    </row>
    <row r="2433" spans="6:9">
      <c r="F2433" s="7">
        <f>IF('W rejestracji'!$C$2440="","",'W rejestracji'!$C$2440)</f>
        <v>0</v>
      </c>
      <c r="G2433" s="7">
        <f>IF(Zarejestrowane!$C$2440="","",Zarejestrowane!$C$2440)</f>
        <v>0</v>
      </c>
      <c r="H2433" s="9">
        <f>IF(AND($F2433&lt;&gt;"",ISNUMBER(SEARCH('Nr rejestracyjny'!$F$5,$F2433))),COUNT($H$1:H2432)+1,"")</f>
        <v>0</v>
      </c>
      <c r="I2433" s="9">
        <f>IF(AND($G2433&lt;&gt;"",ISNUMBER(SEARCH('Nr rejestracyjny'!$F$5,$G2433))),COUNT($I$1:I2432)+1,"")</f>
        <v>0</v>
      </c>
    </row>
    <row r="2434" spans="6:9">
      <c r="F2434" s="7">
        <f>IF('W rejestracji'!$C$2441="","",'W rejestracji'!$C$2441)</f>
        <v>0</v>
      </c>
      <c r="G2434" s="7">
        <f>IF(Zarejestrowane!$C$2441="","",Zarejestrowane!$C$2441)</f>
        <v>0</v>
      </c>
      <c r="H2434" s="9">
        <f>IF(AND($F2434&lt;&gt;"",ISNUMBER(SEARCH('Nr rejestracyjny'!$F$5,$F2434))),COUNT($H$1:H2433)+1,"")</f>
        <v>0</v>
      </c>
      <c r="I2434" s="9">
        <f>IF(AND($G2434&lt;&gt;"",ISNUMBER(SEARCH('Nr rejestracyjny'!$F$5,$G2434))),COUNT($I$1:I2433)+1,"")</f>
        <v>0</v>
      </c>
    </row>
    <row r="2435" spans="6:9">
      <c r="F2435" s="7">
        <f>IF('W rejestracji'!$C$2442="","",'W rejestracji'!$C$2442)</f>
        <v>0</v>
      </c>
      <c r="G2435" s="7">
        <f>IF(Zarejestrowane!$C$2442="","",Zarejestrowane!$C$2442)</f>
        <v>0</v>
      </c>
      <c r="H2435" s="9">
        <f>IF(AND($F2435&lt;&gt;"",ISNUMBER(SEARCH('Nr rejestracyjny'!$F$5,$F2435))),COUNT($H$1:H2434)+1,"")</f>
        <v>0</v>
      </c>
      <c r="I2435" s="9">
        <f>IF(AND($G2435&lt;&gt;"",ISNUMBER(SEARCH('Nr rejestracyjny'!$F$5,$G2435))),COUNT($I$1:I2434)+1,"")</f>
        <v>0</v>
      </c>
    </row>
    <row r="2436" spans="6:9">
      <c r="F2436" s="7">
        <f>IF('W rejestracji'!$C$2443="","",'W rejestracji'!$C$2443)</f>
        <v>0</v>
      </c>
      <c r="G2436" s="7">
        <f>IF(Zarejestrowane!$C$2443="","",Zarejestrowane!$C$2443)</f>
        <v>0</v>
      </c>
      <c r="H2436" s="9">
        <f>IF(AND($F2436&lt;&gt;"",ISNUMBER(SEARCH('Nr rejestracyjny'!$F$5,$F2436))),COUNT($H$1:H2435)+1,"")</f>
        <v>0</v>
      </c>
      <c r="I2436" s="9">
        <f>IF(AND($G2436&lt;&gt;"",ISNUMBER(SEARCH('Nr rejestracyjny'!$F$5,$G2436))),COUNT($I$1:I2435)+1,"")</f>
        <v>0</v>
      </c>
    </row>
    <row r="2437" spans="6:9">
      <c r="F2437" s="7">
        <f>IF('W rejestracji'!$C$2444="","",'W rejestracji'!$C$2444)</f>
        <v>0</v>
      </c>
      <c r="G2437" s="7">
        <f>IF(Zarejestrowane!$C$2444="","",Zarejestrowane!$C$2444)</f>
        <v>0</v>
      </c>
      <c r="H2437" s="9">
        <f>IF(AND($F2437&lt;&gt;"",ISNUMBER(SEARCH('Nr rejestracyjny'!$F$5,$F2437))),COUNT($H$1:H2436)+1,"")</f>
        <v>0</v>
      </c>
      <c r="I2437" s="9">
        <f>IF(AND($G2437&lt;&gt;"",ISNUMBER(SEARCH('Nr rejestracyjny'!$F$5,$G2437))),COUNT($I$1:I2436)+1,"")</f>
        <v>0</v>
      </c>
    </row>
    <row r="2438" spans="6:9">
      <c r="F2438" s="7">
        <f>IF('W rejestracji'!$C$2445="","",'W rejestracji'!$C$2445)</f>
        <v>0</v>
      </c>
      <c r="G2438" s="7">
        <f>IF(Zarejestrowane!$C$2445="","",Zarejestrowane!$C$2445)</f>
        <v>0</v>
      </c>
      <c r="H2438" s="9">
        <f>IF(AND($F2438&lt;&gt;"",ISNUMBER(SEARCH('Nr rejestracyjny'!$F$5,$F2438))),COUNT($H$1:H2437)+1,"")</f>
        <v>0</v>
      </c>
      <c r="I2438" s="9">
        <f>IF(AND($G2438&lt;&gt;"",ISNUMBER(SEARCH('Nr rejestracyjny'!$F$5,$G2438))),COUNT($I$1:I2437)+1,"")</f>
        <v>0</v>
      </c>
    </row>
    <row r="2439" spans="6:9">
      <c r="F2439" s="7">
        <f>IF('W rejestracji'!$C$2446="","",'W rejestracji'!$C$2446)</f>
        <v>0</v>
      </c>
      <c r="G2439" s="7">
        <f>IF(Zarejestrowane!$C$2446="","",Zarejestrowane!$C$2446)</f>
        <v>0</v>
      </c>
      <c r="H2439" s="9">
        <f>IF(AND($F2439&lt;&gt;"",ISNUMBER(SEARCH('Nr rejestracyjny'!$F$5,$F2439))),COUNT($H$1:H2438)+1,"")</f>
        <v>0</v>
      </c>
      <c r="I2439" s="9">
        <f>IF(AND($G2439&lt;&gt;"",ISNUMBER(SEARCH('Nr rejestracyjny'!$F$5,$G2439))),COUNT($I$1:I2438)+1,"")</f>
        <v>0</v>
      </c>
    </row>
    <row r="2440" spans="6:9">
      <c r="F2440" s="7">
        <f>IF('W rejestracji'!$C$2447="","",'W rejestracji'!$C$2447)</f>
        <v>0</v>
      </c>
      <c r="G2440" s="7">
        <f>IF(Zarejestrowane!$C$2447="","",Zarejestrowane!$C$2447)</f>
        <v>0</v>
      </c>
      <c r="H2440" s="9">
        <f>IF(AND($F2440&lt;&gt;"",ISNUMBER(SEARCH('Nr rejestracyjny'!$F$5,$F2440))),COUNT($H$1:H2439)+1,"")</f>
        <v>0</v>
      </c>
      <c r="I2440" s="9">
        <f>IF(AND($G2440&lt;&gt;"",ISNUMBER(SEARCH('Nr rejestracyjny'!$F$5,$G2440))),COUNT($I$1:I2439)+1,"")</f>
        <v>0</v>
      </c>
    </row>
    <row r="2441" spans="6:9">
      <c r="F2441" s="7">
        <f>IF('W rejestracji'!$C$2448="","",'W rejestracji'!$C$2448)</f>
        <v>0</v>
      </c>
      <c r="G2441" s="7">
        <f>IF(Zarejestrowane!$C$2448="","",Zarejestrowane!$C$2448)</f>
        <v>0</v>
      </c>
      <c r="H2441" s="9">
        <f>IF(AND($F2441&lt;&gt;"",ISNUMBER(SEARCH('Nr rejestracyjny'!$F$5,$F2441))),COUNT($H$1:H2440)+1,"")</f>
        <v>0</v>
      </c>
      <c r="I2441" s="9">
        <f>IF(AND($G2441&lt;&gt;"",ISNUMBER(SEARCH('Nr rejestracyjny'!$F$5,$G2441))),COUNT($I$1:I2440)+1,"")</f>
        <v>0</v>
      </c>
    </row>
    <row r="2442" spans="6:9">
      <c r="F2442" s="7">
        <f>IF('W rejestracji'!$C$2449="","",'W rejestracji'!$C$2449)</f>
        <v>0</v>
      </c>
      <c r="G2442" s="7">
        <f>IF(Zarejestrowane!$C$2449="","",Zarejestrowane!$C$2449)</f>
        <v>0</v>
      </c>
      <c r="H2442" s="9">
        <f>IF(AND($F2442&lt;&gt;"",ISNUMBER(SEARCH('Nr rejestracyjny'!$F$5,$F2442))),COUNT($H$1:H2441)+1,"")</f>
        <v>0</v>
      </c>
      <c r="I2442" s="9">
        <f>IF(AND($G2442&lt;&gt;"",ISNUMBER(SEARCH('Nr rejestracyjny'!$F$5,$G2442))),COUNT($I$1:I2441)+1,"")</f>
        <v>0</v>
      </c>
    </row>
    <row r="2443" spans="6:9">
      <c r="F2443" s="7">
        <f>IF('W rejestracji'!$C$2450="","",'W rejestracji'!$C$2450)</f>
        <v>0</v>
      </c>
      <c r="G2443" s="7">
        <f>IF(Zarejestrowane!$C$2450="","",Zarejestrowane!$C$2450)</f>
        <v>0</v>
      </c>
      <c r="H2443" s="9">
        <f>IF(AND($F2443&lt;&gt;"",ISNUMBER(SEARCH('Nr rejestracyjny'!$F$5,$F2443))),COUNT($H$1:H2442)+1,"")</f>
        <v>0</v>
      </c>
      <c r="I2443" s="9">
        <f>IF(AND($G2443&lt;&gt;"",ISNUMBER(SEARCH('Nr rejestracyjny'!$F$5,$G2443))),COUNT($I$1:I2442)+1,"")</f>
        <v>0</v>
      </c>
    </row>
    <row r="2444" spans="6:9">
      <c r="F2444" s="7">
        <f>IF('W rejestracji'!$C$2451="","",'W rejestracji'!$C$2451)</f>
        <v>0</v>
      </c>
      <c r="G2444" s="7">
        <f>IF(Zarejestrowane!$C$2451="","",Zarejestrowane!$C$2451)</f>
        <v>0</v>
      </c>
      <c r="H2444" s="9">
        <f>IF(AND($F2444&lt;&gt;"",ISNUMBER(SEARCH('Nr rejestracyjny'!$F$5,$F2444))),COUNT($H$1:H2443)+1,"")</f>
        <v>0</v>
      </c>
      <c r="I2444" s="9">
        <f>IF(AND($G2444&lt;&gt;"",ISNUMBER(SEARCH('Nr rejestracyjny'!$F$5,$G2444))),COUNT($I$1:I2443)+1,"")</f>
        <v>0</v>
      </c>
    </row>
    <row r="2445" spans="6:9">
      <c r="F2445" s="7">
        <f>IF('W rejestracji'!$C$2452="","",'W rejestracji'!$C$2452)</f>
        <v>0</v>
      </c>
      <c r="G2445" s="7">
        <f>IF(Zarejestrowane!$C$2452="","",Zarejestrowane!$C$2452)</f>
        <v>0</v>
      </c>
      <c r="H2445" s="9">
        <f>IF(AND($F2445&lt;&gt;"",ISNUMBER(SEARCH('Nr rejestracyjny'!$F$5,$F2445))),COUNT($H$1:H2444)+1,"")</f>
        <v>0</v>
      </c>
      <c r="I2445" s="9">
        <f>IF(AND($G2445&lt;&gt;"",ISNUMBER(SEARCH('Nr rejestracyjny'!$F$5,$G2445))),COUNT($I$1:I2444)+1,"")</f>
        <v>0</v>
      </c>
    </row>
    <row r="2446" spans="6:9">
      <c r="F2446" s="7">
        <f>IF('W rejestracji'!$C$2453="","",'W rejestracji'!$C$2453)</f>
        <v>0</v>
      </c>
      <c r="G2446" s="7">
        <f>IF(Zarejestrowane!$C$2453="","",Zarejestrowane!$C$2453)</f>
        <v>0</v>
      </c>
      <c r="H2446" s="9">
        <f>IF(AND($F2446&lt;&gt;"",ISNUMBER(SEARCH('Nr rejestracyjny'!$F$5,$F2446))),COUNT($H$1:H2445)+1,"")</f>
        <v>0</v>
      </c>
      <c r="I2446" s="9">
        <f>IF(AND($G2446&lt;&gt;"",ISNUMBER(SEARCH('Nr rejestracyjny'!$F$5,$G2446))),COUNT($I$1:I2445)+1,"")</f>
        <v>0</v>
      </c>
    </row>
    <row r="2447" spans="6:9">
      <c r="F2447" s="7">
        <f>IF('W rejestracji'!$C$2454="","",'W rejestracji'!$C$2454)</f>
        <v>0</v>
      </c>
      <c r="G2447" s="7">
        <f>IF(Zarejestrowane!$C$2454="","",Zarejestrowane!$C$2454)</f>
        <v>0</v>
      </c>
      <c r="H2447" s="9">
        <f>IF(AND($F2447&lt;&gt;"",ISNUMBER(SEARCH('Nr rejestracyjny'!$F$5,$F2447))),COUNT($H$1:H2446)+1,"")</f>
        <v>0</v>
      </c>
      <c r="I2447" s="9">
        <f>IF(AND($G2447&lt;&gt;"",ISNUMBER(SEARCH('Nr rejestracyjny'!$F$5,$G2447))),COUNT($I$1:I2446)+1,"")</f>
        <v>0</v>
      </c>
    </row>
    <row r="2448" spans="6:9">
      <c r="F2448" s="7">
        <f>IF('W rejestracji'!$C$2455="","",'W rejestracji'!$C$2455)</f>
        <v>0</v>
      </c>
      <c r="G2448" s="7">
        <f>IF(Zarejestrowane!$C$2455="","",Zarejestrowane!$C$2455)</f>
        <v>0</v>
      </c>
      <c r="H2448" s="9">
        <f>IF(AND($F2448&lt;&gt;"",ISNUMBER(SEARCH('Nr rejestracyjny'!$F$5,$F2448))),COUNT($H$1:H2447)+1,"")</f>
        <v>0</v>
      </c>
      <c r="I2448" s="9">
        <f>IF(AND($G2448&lt;&gt;"",ISNUMBER(SEARCH('Nr rejestracyjny'!$F$5,$G2448))),COUNT($I$1:I2447)+1,"")</f>
        <v>0</v>
      </c>
    </row>
    <row r="2449" spans="6:9">
      <c r="F2449" s="7">
        <f>IF('W rejestracji'!$C$2456="","",'W rejestracji'!$C$2456)</f>
        <v>0</v>
      </c>
      <c r="G2449" s="7">
        <f>IF(Zarejestrowane!$C$2456="","",Zarejestrowane!$C$2456)</f>
        <v>0</v>
      </c>
      <c r="H2449" s="9">
        <f>IF(AND($F2449&lt;&gt;"",ISNUMBER(SEARCH('Nr rejestracyjny'!$F$5,$F2449))),COUNT($H$1:H2448)+1,"")</f>
        <v>0</v>
      </c>
      <c r="I2449" s="9">
        <f>IF(AND($G2449&lt;&gt;"",ISNUMBER(SEARCH('Nr rejestracyjny'!$F$5,$G2449))),COUNT($I$1:I2448)+1,"")</f>
        <v>0</v>
      </c>
    </row>
    <row r="2450" spans="6:9">
      <c r="F2450" s="7">
        <f>IF('W rejestracji'!$C$2457="","",'W rejestracji'!$C$2457)</f>
        <v>0</v>
      </c>
      <c r="G2450" s="7">
        <f>IF(Zarejestrowane!$C$2457="","",Zarejestrowane!$C$2457)</f>
        <v>0</v>
      </c>
      <c r="H2450" s="9">
        <f>IF(AND($F2450&lt;&gt;"",ISNUMBER(SEARCH('Nr rejestracyjny'!$F$5,$F2450))),COUNT($H$1:H2449)+1,"")</f>
        <v>0</v>
      </c>
      <c r="I2450" s="9">
        <f>IF(AND($G2450&lt;&gt;"",ISNUMBER(SEARCH('Nr rejestracyjny'!$F$5,$G2450))),COUNT($I$1:I2449)+1,"")</f>
        <v>0</v>
      </c>
    </row>
    <row r="2451" spans="6:9">
      <c r="F2451" s="7">
        <f>IF('W rejestracji'!$C$2458="","",'W rejestracji'!$C$2458)</f>
        <v>0</v>
      </c>
      <c r="G2451" s="7">
        <f>IF(Zarejestrowane!$C$2458="","",Zarejestrowane!$C$2458)</f>
        <v>0</v>
      </c>
      <c r="H2451" s="9">
        <f>IF(AND($F2451&lt;&gt;"",ISNUMBER(SEARCH('Nr rejestracyjny'!$F$5,$F2451))),COUNT($H$1:H2450)+1,"")</f>
        <v>0</v>
      </c>
      <c r="I2451" s="9">
        <f>IF(AND($G2451&lt;&gt;"",ISNUMBER(SEARCH('Nr rejestracyjny'!$F$5,$G2451))),COUNT($I$1:I2450)+1,"")</f>
        <v>0</v>
      </c>
    </row>
    <row r="2452" spans="6:9">
      <c r="F2452" s="7">
        <f>IF('W rejestracji'!$C$2459="","",'W rejestracji'!$C$2459)</f>
        <v>0</v>
      </c>
      <c r="G2452" s="7">
        <f>IF(Zarejestrowane!$C$2459="","",Zarejestrowane!$C$2459)</f>
        <v>0</v>
      </c>
      <c r="H2452" s="9">
        <f>IF(AND($F2452&lt;&gt;"",ISNUMBER(SEARCH('Nr rejestracyjny'!$F$5,$F2452))),COUNT($H$1:H2451)+1,"")</f>
        <v>0</v>
      </c>
      <c r="I2452" s="9">
        <f>IF(AND($G2452&lt;&gt;"",ISNUMBER(SEARCH('Nr rejestracyjny'!$F$5,$G2452))),COUNT($I$1:I2451)+1,"")</f>
        <v>0</v>
      </c>
    </row>
    <row r="2453" spans="6:9">
      <c r="F2453" s="7">
        <f>IF('W rejestracji'!$C$2460="","",'W rejestracji'!$C$2460)</f>
        <v>0</v>
      </c>
      <c r="G2453" s="7">
        <f>IF(Zarejestrowane!$C$2460="","",Zarejestrowane!$C$2460)</f>
        <v>0</v>
      </c>
      <c r="H2453" s="9">
        <f>IF(AND($F2453&lt;&gt;"",ISNUMBER(SEARCH('Nr rejestracyjny'!$F$5,$F2453))),COUNT($H$1:H2452)+1,"")</f>
        <v>0</v>
      </c>
      <c r="I2453" s="9">
        <f>IF(AND($G2453&lt;&gt;"",ISNUMBER(SEARCH('Nr rejestracyjny'!$F$5,$G2453))),COUNT($I$1:I2452)+1,"")</f>
        <v>0</v>
      </c>
    </row>
    <row r="2454" spans="6:9">
      <c r="F2454" s="7">
        <f>IF('W rejestracji'!$C$2461="","",'W rejestracji'!$C$2461)</f>
        <v>0</v>
      </c>
      <c r="G2454" s="7">
        <f>IF(Zarejestrowane!$C$2461="","",Zarejestrowane!$C$2461)</f>
        <v>0</v>
      </c>
      <c r="H2454" s="9">
        <f>IF(AND($F2454&lt;&gt;"",ISNUMBER(SEARCH('Nr rejestracyjny'!$F$5,$F2454))),COUNT($H$1:H2453)+1,"")</f>
        <v>0</v>
      </c>
      <c r="I2454" s="9">
        <f>IF(AND($G2454&lt;&gt;"",ISNUMBER(SEARCH('Nr rejestracyjny'!$F$5,$G2454))),COUNT($I$1:I2453)+1,"")</f>
        <v>0</v>
      </c>
    </row>
    <row r="2455" spans="6:9">
      <c r="F2455" s="7">
        <f>IF('W rejestracji'!$C$2462="","",'W rejestracji'!$C$2462)</f>
        <v>0</v>
      </c>
      <c r="G2455" s="7">
        <f>IF(Zarejestrowane!$C$2462="","",Zarejestrowane!$C$2462)</f>
        <v>0</v>
      </c>
      <c r="H2455" s="9">
        <f>IF(AND($F2455&lt;&gt;"",ISNUMBER(SEARCH('Nr rejestracyjny'!$F$5,$F2455))),COUNT($H$1:H2454)+1,"")</f>
        <v>0</v>
      </c>
      <c r="I2455" s="9">
        <f>IF(AND($G2455&lt;&gt;"",ISNUMBER(SEARCH('Nr rejestracyjny'!$F$5,$G2455))),COUNT($I$1:I2454)+1,"")</f>
        <v>0</v>
      </c>
    </row>
    <row r="2456" spans="6:9">
      <c r="F2456" s="7">
        <f>IF('W rejestracji'!$C$2463="","",'W rejestracji'!$C$2463)</f>
        <v>0</v>
      </c>
      <c r="G2456" s="7">
        <f>IF(Zarejestrowane!$C$2463="","",Zarejestrowane!$C$2463)</f>
        <v>0</v>
      </c>
      <c r="H2456" s="9">
        <f>IF(AND($F2456&lt;&gt;"",ISNUMBER(SEARCH('Nr rejestracyjny'!$F$5,$F2456))),COUNT($H$1:H2455)+1,"")</f>
        <v>0</v>
      </c>
      <c r="I2456" s="9">
        <f>IF(AND($G2456&lt;&gt;"",ISNUMBER(SEARCH('Nr rejestracyjny'!$F$5,$G2456))),COUNT($I$1:I2455)+1,"")</f>
        <v>0</v>
      </c>
    </row>
    <row r="2457" spans="6:9">
      <c r="F2457" s="7">
        <f>IF('W rejestracji'!$C$2464="","",'W rejestracji'!$C$2464)</f>
        <v>0</v>
      </c>
      <c r="G2457" s="7">
        <f>IF(Zarejestrowane!$C$2464="","",Zarejestrowane!$C$2464)</f>
        <v>0</v>
      </c>
      <c r="H2457" s="9">
        <f>IF(AND($F2457&lt;&gt;"",ISNUMBER(SEARCH('Nr rejestracyjny'!$F$5,$F2457))),COUNT($H$1:H2456)+1,"")</f>
        <v>0</v>
      </c>
      <c r="I2457" s="9">
        <f>IF(AND($G2457&lt;&gt;"",ISNUMBER(SEARCH('Nr rejestracyjny'!$F$5,$G2457))),COUNT($I$1:I2456)+1,"")</f>
        <v>0</v>
      </c>
    </row>
    <row r="2458" spans="6:9">
      <c r="F2458" s="7">
        <f>IF('W rejestracji'!$C$2465="","",'W rejestracji'!$C$2465)</f>
        <v>0</v>
      </c>
      <c r="G2458" s="7">
        <f>IF(Zarejestrowane!$C$2465="","",Zarejestrowane!$C$2465)</f>
        <v>0</v>
      </c>
      <c r="H2458" s="9">
        <f>IF(AND($F2458&lt;&gt;"",ISNUMBER(SEARCH('Nr rejestracyjny'!$F$5,$F2458))),COUNT($H$1:H2457)+1,"")</f>
        <v>0</v>
      </c>
      <c r="I2458" s="9">
        <f>IF(AND($G2458&lt;&gt;"",ISNUMBER(SEARCH('Nr rejestracyjny'!$F$5,$G2458))),COUNT($I$1:I2457)+1,"")</f>
        <v>0</v>
      </c>
    </row>
    <row r="2459" spans="6:9">
      <c r="F2459" s="7">
        <f>IF('W rejestracji'!$C$2466="","",'W rejestracji'!$C$2466)</f>
        <v>0</v>
      </c>
      <c r="G2459" s="7">
        <f>IF(Zarejestrowane!$C$2466="","",Zarejestrowane!$C$2466)</f>
        <v>0</v>
      </c>
      <c r="H2459" s="9">
        <f>IF(AND($F2459&lt;&gt;"",ISNUMBER(SEARCH('Nr rejestracyjny'!$F$5,$F2459))),COUNT($H$1:H2458)+1,"")</f>
        <v>0</v>
      </c>
      <c r="I2459" s="9">
        <f>IF(AND($G2459&lt;&gt;"",ISNUMBER(SEARCH('Nr rejestracyjny'!$F$5,$G2459))),COUNT($I$1:I2458)+1,"")</f>
        <v>0</v>
      </c>
    </row>
    <row r="2460" spans="6:9">
      <c r="F2460" s="7">
        <f>IF('W rejestracji'!$C$2467="","",'W rejestracji'!$C$2467)</f>
        <v>0</v>
      </c>
      <c r="G2460" s="7">
        <f>IF(Zarejestrowane!$C$2467="","",Zarejestrowane!$C$2467)</f>
        <v>0</v>
      </c>
      <c r="H2460" s="9">
        <f>IF(AND($F2460&lt;&gt;"",ISNUMBER(SEARCH('Nr rejestracyjny'!$F$5,$F2460))),COUNT($H$1:H2459)+1,"")</f>
        <v>0</v>
      </c>
      <c r="I2460" s="9">
        <f>IF(AND($G2460&lt;&gt;"",ISNUMBER(SEARCH('Nr rejestracyjny'!$F$5,$G2460))),COUNT($I$1:I2459)+1,"")</f>
        <v>0</v>
      </c>
    </row>
    <row r="2461" spans="6:9">
      <c r="F2461" s="7">
        <f>IF('W rejestracji'!$C$2468="","",'W rejestracji'!$C$2468)</f>
        <v>0</v>
      </c>
      <c r="G2461" s="7">
        <f>IF(Zarejestrowane!$C$2468="","",Zarejestrowane!$C$2468)</f>
        <v>0</v>
      </c>
      <c r="H2461" s="9">
        <f>IF(AND($F2461&lt;&gt;"",ISNUMBER(SEARCH('Nr rejestracyjny'!$F$5,$F2461))),COUNT($H$1:H2460)+1,"")</f>
        <v>0</v>
      </c>
      <c r="I2461" s="9">
        <f>IF(AND($G2461&lt;&gt;"",ISNUMBER(SEARCH('Nr rejestracyjny'!$F$5,$G2461))),COUNT($I$1:I2460)+1,"")</f>
        <v>0</v>
      </c>
    </row>
    <row r="2462" spans="6:9">
      <c r="F2462" s="7">
        <f>IF('W rejestracji'!$C$2469="","",'W rejestracji'!$C$2469)</f>
        <v>0</v>
      </c>
      <c r="G2462" s="7">
        <f>IF(Zarejestrowane!$C$2469="","",Zarejestrowane!$C$2469)</f>
        <v>0</v>
      </c>
      <c r="H2462" s="9">
        <f>IF(AND($F2462&lt;&gt;"",ISNUMBER(SEARCH('Nr rejestracyjny'!$F$5,$F2462))),COUNT($H$1:H2461)+1,"")</f>
        <v>0</v>
      </c>
      <c r="I2462" s="9">
        <f>IF(AND($G2462&lt;&gt;"",ISNUMBER(SEARCH('Nr rejestracyjny'!$F$5,$G2462))),COUNT($I$1:I2461)+1,"")</f>
        <v>0</v>
      </c>
    </row>
    <row r="2463" spans="6:9">
      <c r="F2463" s="7">
        <f>IF('W rejestracji'!$C$2470="","",'W rejestracji'!$C$2470)</f>
        <v>0</v>
      </c>
      <c r="G2463" s="7">
        <f>IF(Zarejestrowane!$C$2470="","",Zarejestrowane!$C$2470)</f>
        <v>0</v>
      </c>
      <c r="H2463" s="9">
        <f>IF(AND($F2463&lt;&gt;"",ISNUMBER(SEARCH('Nr rejestracyjny'!$F$5,$F2463))),COUNT($H$1:H2462)+1,"")</f>
        <v>0</v>
      </c>
      <c r="I2463" s="9">
        <f>IF(AND($G2463&lt;&gt;"",ISNUMBER(SEARCH('Nr rejestracyjny'!$F$5,$G2463))),COUNT($I$1:I2462)+1,"")</f>
        <v>0</v>
      </c>
    </row>
    <row r="2464" spans="6:9">
      <c r="F2464" s="7">
        <f>IF('W rejestracji'!$C$2471="","",'W rejestracji'!$C$2471)</f>
        <v>0</v>
      </c>
      <c r="G2464" s="7">
        <f>IF(Zarejestrowane!$C$2471="","",Zarejestrowane!$C$2471)</f>
        <v>0</v>
      </c>
      <c r="H2464" s="9">
        <f>IF(AND($F2464&lt;&gt;"",ISNUMBER(SEARCH('Nr rejestracyjny'!$F$5,$F2464))),COUNT($H$1:H2463)+1,"")</f>
        <v>0</v>
      </c>
      <c r="I2464" s="9">
        <f>IF(AND($G2464&lt;&gt;"",ISNUMBER(SEARCH('Nr rejestracyjny'!$F$5,$G2464))),COUNT($I$1:I2463)+1,"")</f>
        <v>0</v>
      </c>
    </row>
    <row r="2465" spans="6:9">
      <c r="F2465" s="7">
        <f>IF('W rejestracji'!$C$2472="","",'W rejestracji'!$C$2472)</f>
        <v>0</v>
      </c>
      <c r="G2465" s="7">
        <f>IF(Zarejestrowane!$C$2472="","",Zarejestrowane!$C$2472)</f>
        <v>0</v>
      </c>
      <c r="H2465" s="9">
        <f>IF(AND($F2465&lt;&gt;"",ISNUMBER(SEARCH('Nr rejestracyjny'!$F$5,$F2465))),COUNT($H$1:H2464)+1,"")</f>
        <v>0</v>
      </c>
      <c r="I2465" s="9">
        <f>IF(AND($G2465&lt;&gt;"",ISNUMBER(SEARCH('Nr rejestracyjny'!$F$5,$G2465))),COUNT($I$1:I2464)+1,"")</f>
        <v>0</v>
      </c>
    </row>
    <row r="2466" spans="6:9">
      <c r="F2466" s="7">
        <f>IF('W rejestracji'!$C$2473="","",'W rejestracji'!$C$2473)</f>
        <v>0</v>
      </c>
      <c r="G2466" s="7">
        <f>IF(Zarejestrowane!$C$2473="","",Zarejestrowane!$C$2473)</f>
        <v>0</v>
      </c>
      <c r="H2466" s="9">
        <f>IF(AND($F2466&lt;&gt;"",ISNUMBER(SEARCH('Nr rejestracyjny'!$F$5,$F2466))),COUNT($H$1:H2465)+1,"")</f>
        <v>0</v>
      </c>
      <c r="I2466" s="9">
        <f>IF(AND($G2466&lt;&gt;"",ISNUMBER(SEARCH('Nr rejestracyjny'!$F$5,$G2466))),COUNT($I$1:I2465)+1,"")</f>
        <v>0</v>
      </c>
    </row>
    <row r="2467" spans="6:9">
      <c r="F2467" s="7">
        <f>IF('W rejestracji'!$C$2474="","",'W rejestracji'!$C$2474)</f>
        <v>0</v>
      </c>
      <c r="G2467" s="7">
        <f>IF(Zarejestrowane!$C$2474="","",Zarejestrowane!$C$2474)</f>
        <v>0</v>
      </c>
      <c r="H2467" s="9">
        <f>IF(AND($F2467&lt;&gt;"",ISNUMBER(SEARCH('Nr rejestracyjny'!$F$5,$F2467))),COUNT($H$1:H2466)+1,"")</f>
        <v>0</v>
      </c>
      <c r="I2467" s="9">
        <f>IF(AND($G2467&lt;&gt;"",ISNUMBER(SEARCH('Nr rejestracyjny'!$F$5,$G2467))),COUNT($I$1:I2466)+1,"")</f>
        <v>0</v>
      </c>
    </row>
    <row r="2468" spans="6:9">
      <c r="F2468" s="7">
        <f>IF('W rejestracji'!$C$2475="","",'W rejestracji'!$C$2475)</f>
        <v>0</v>
      </c>
      <c r="G2468" s="7">
        <f>IF(Zarejestrowane!$C$2475="","",Zarejestrowane!$C$2475)</f>
        <v>0</v>
      </c>
      <c r="H2468" s="9">
        <f>IF(AND($F2468&lt;&gt;"",ISNUMBER(SEARCH('Nr rejestracyjny'!$F$5,$F2468))),COUNT($H$1:H2467)+1,"")</f>
        <v>0</v>
      </c>
      <c r="I2468" s="9">
        <f>IF(AND($G2468&lt;&gt;"",ISNUMBER(SEARCH('Nr rejestracyjny'!$F$5,$G2468))),COUNT($I$1:I2467)+1,"")</f>
        <v>0</v>
      </c>
    </row>
    <row r="2469" spans="6:9">
      <c r="F2469" s="7">
        <f>IF('W rejestracji'!$C$2476="","",'W rejestracji'!$C$2476)</f>
        <v>0</v>
      </c>
      <c r="G2469" s="7">
        <f>IF(Zarejestrowane!$C$2476="","",Zarejestrowane!$C$2476)</f>
        <v>0</v>
      </c>
      <c r="H2469" s="9">
        <f>IF(AND($F2469&lt;&gt;"",ISNUMBER(SEARCH('Nr rejestracyjny'!$F$5,$F2469))),COUNT($H$1:H2468)+1,"")</f>
        <v>0</v>
      </c>
      <c r="I2469" s="9">
        <f>IF(AND($G2469&lt;&gt;"",ISNUMBER(SEARCH('Nr rejestracyjny'!$F$5,$G2469))),COUNT($I$1:I2468)+1,"")</f>
        <v>0</v>
      </c>
    </row>
    <row r="2470" spans="6:9">
      <c r="F2470" s="7">
        <f>IF('W rejestracji'!$C$2477="","",'W rejestracji'!$C$2477)</f>
        <v>0</v>
      </c>
      <c r="G2470" s="7">
        <f>IF(Zarejestrowane!$C$2477="","",Zarejestrowane!$C$2477)</f>
        <v>0</v>
      </c>
      <c r="H2470" s="9">
        <f>IF(AND($F2470&lt;&gt;"",ISNUMBER(SEARCH('Nr rejestracyjny'!$F$5,$F2470))),COUNT($H$1:H2469)+1,"")</f>
        <v>0</v>
      </c>
      <c r="I2470" s="9">
        <f>IF(AND($G2470&lt;&gt;"",ISNUMBER(SEARCH('Nr rejestracyjny'!$F$5,$G2470))),COUNT($I$1:I2469)+1,"")</f>
        <v>0</v>
      </c>
    </row>
    <row r="2471" spans="6:9">
      <c r="F2471" s="7">
        <f>IF('W rejestracji'!$C$2478="","",'W rejestracji'!$C$2478)</f>
        <v>0</v>
      </c>
      <c r="G2471" s="7">
        <f>IF(Zarejestrowane!$C$2478="","",Zarejestrowane!$C$2478)</f>
        <v>0</v>
      </c>
      <c r="H2471" s="9">
        <f>IF(AND($F2471&lt;&gt;"",ISNUMBER(SEARCH('Nr rejestracyjny'!$F$5,$F2471))),COUNT($H$1:H2470)+1,"")</f>
        <v>0</v>
      </c>
      <c r="I2471" s="9">
        <f>IF(AND($G2471&lt;&gt;"",ISNUMBER(SEARCH('Nr rejestracyjny'!$F$5,$G2471))),COUNT($I$1:I2470)+1,"")</f>
        <v>0</v>
      </c>
    </row>
    <row r="2472" spans="6:9">
      <c r="F2472" s="7">
        <f>IF('W rejestracji'!$C$2479="","",'W rejestracji'!$C$2479)</f>
        <v>0</v>
      </c>
      <c r="G2472" s="7">
        <f>IF(Zarejestrowane!$C$2479="","",Zarejestrowane!$C$2479)</f>
        <v>0</v>
      </c>
      <c r="H2472" s="9">
        <f>IF(AND($F2472&lt;&gt;"",ISNUMBER(SEARCH('Nr rejestracyjny'!$F$5,$F2472))),COUNT($H$1:H2471)+1,"")</f>
        <v>0</v>
      </c>
      <c r="I2472" s="9">
        <f>IF(AND($G2472&lt;&gt;"",ISNUMBER(SEARCH('Nr rejestracyjny'!$F$5,$G2472))),COUNT($I$1:I2471)+1,"")</f>
        <v>0</v>
      </c>
    </row>
    <row r="2473" spans="6:9">
      <c r="F2473" s="7">
        <f>IF('W rejestracji'!$C$2480="","",'W rejestracji'!$C$2480)</f>
        <v>0</v>
      </c>
      <c r="G2473" s="7">
        <f>IF(Zarejestrowane!$C$2480="","",Zarejestrowane!$C$2480)</f>
        <v>0</v>
      </c>
      <c r="H2473" s="9">
        <f>IF(AND($F2473&lt;&gt;"",ISNUMBER(SEARCH('Nr rejestracyjny'!$F$5,$F2473))),COUNT($H$1:H2472)+1,"")</f>
        <v>0</v>
      </c>
      <c r="I2473" s="9">
        <f>IF(AND($G2473&lt;&gt;"",ISNUMBER(SEARCH('Nr rejestracyjny'!$F$5,$G2473))),COUNT($I$1:I2472)+1,"")</f>
        <v>0</v>
      </c>
    </row>
    <row r="2474" spans="6:9">
      <c r="F2474" s="7">
        <f>IF('W rejestracji'!$C$2481="","",'W rejestracji'!$C$2481)</f>
        <v>0</v>
      </c>
      <c r="G2474" s="7">
        <f>IF(Zarejestrowane!$C$2481="","",Zarejestrowane!$C$2481)</f>
        <v>0</v>
      </c>
      <c r="H2474" s="9">
        <f>IF(AND($F2474&lt;&gt;"",ISNUMBER(SEARCH('Nr rejestracyjny'!$F$5,$F2474))),COUNT($H$1:H2473)+1,"")</f>
        <v>0</v>
      </c>
      <c r="I2474" s="9">
        <f>IF(AND($G2474&lt;&gt;"",ISNUMBER(SEARCH('Nr rejestracyjny'!$F$5,$G2474))),COUNT($I$1:I2473)+1,"")</f>
        <v>0</v>
      </c>
    </row>
    <row r="2475" spans="6:9">
      <c r="F2475" s="7">
        <f>IF('W rejestracji'!$C$2482="","",'W rejestracji'!$C$2482)</f>
        <v>0</v>
      </c>
      <c r="G2475" s="7">
        <f>IF(Zarejestrowane!$C$2482="","",Zarejestrowane!$C$2482)</f>
        <v>0</v>
      </c>
      <c r="H2475" s="9">
        <f>IF(AND($F2475&lt;&gt;"",ISNUMBER(SEARCH('Nr rejestracyjny'!$F$5,$F2475))),COUNT($H$1:H2474)+1,"")</f>
        <v>0</v>
      </c>
      <c r="I2475" s="9">
        <f>IF(AND($G2475&lt;&gt;"",ISNUMBER(SEARCH('Nr rejestracyjny'!$F$5,$G2475))),COUNT($I$1:I2474)+1,"")</f>
        <v>0</v>
      </c>
    </row>
    <row r="2476" spans="6:9">
      <c r="F2476" s="7">
        <f>IF('W rejestracji'!$C$2483="","",'W rejestracji'!$C$2483)</f>
        <v>0</v>
      </c>
      <c r="G2476" s="7">
        <f>IF(Zarejestrowane!$C$2483="","",Zarejestrowane!$C$2483)</f>
        <v>0</v>
      </c>
      <c r="H2476" s="9">
        <f>IF(AND($F2476&lt;&gt;"",ISNUMBER(SEARCH('Nr rejestracyjny'!$F$5,$F2476))),COUNT($H$1:H2475)+1,"")</f>
        <v>0</v>
      </c>
      <c r="I2476" s="9">
        <f>IF(AND($G2476&lt;&gt;"",ISNUMBER(SEARCH('Nr rejestracyjny'!$F$5,$G2476))),COUNT($I$1:I2475)+1,"")</f>
        <v>0</v>
      </c>
    </row>
    <row r="2477" spans="6:9">
      <c r="F2477" s="7">
        <f>IF('W rejestracji'!$C$2484="","",'W rejestracji'!$C$2484)</f>
        <v>0</v>
      </c>
      <c r="G2477" s="7">
        <f>IF(Zarejestrowane!$C$2484="","",Zarejestrowane!$C$2484)</f>
        <v>0</v>
      </c>
      <c r="H2477" s="9">
        <f>IF(AND($F2477&lt;&gt;"",ISNUMBER(SEARCH('Nr rejestracyjny'!$F$5,$F2477))),COUNT($H$1:H2476)+1,"")</f>
        <v>0</v>
      </c>
      <c r="I2477" s="9">
        <f>IF(AND($G2477&lt;&gt;"",ISNUMBER(SEARCH('Nr rejestracyjny'!$F$5,$G2477))),COUNT($I$1:I2476)+1,"")</f>
        <v>0</v>
      </c>
    </row>
    <row r="2478" spans="6:9">
      <c r="F2478" s="7">
        <f>IF('W rejestracji'!$C$2485="","",'W rejestracji'!$C$2485)</f>
        <v>0</v>
      </c>
      <c r="G2478" s="7">
        <f>IF(Zarejestrowane!$C$2485="","",Zarejestrowane!$C$2485)</f>
        <v>0</v>
      </c>
      <c r="H2478" s="9">
        <f>IF(AND($F2478&lt;&gt;"",ISNUMBER(SEARCH('Nr rejestracyjny'!$F$5,$F2478))),COUNT($H$1:H2477)+1,"")</f>
        <v>0</v>
      </c>
      <c r="I2478" s="9">
        <f>IF(AND($G2478&lt;&gt;"",ISNUMBER(SEARCH('Nr rejestracyjny'!$F$5,$G2478))),COUNT($I$1:I2477)+1,"")</f>
        <v>0</v>
      </c>
    </row>
    <row r="2479" spans="6:9">
      <c r="F2479" s="7">
        <f>IF('W rejestracji'!$C$2486="","",'W rejestracji'!$C$2486)</f>
        <v>0</v>
      </c>
      <c r="G2479" s="7">
        <f>IF(Zarejestrowane!$C$2486="","",Zarejestrowane!$C$2486)</f>
        <v>0</v>
      </c>
      <c r="H2479" s="9">
        <f>IF(AND($F2479&lt;&gt;"",ISNUMBER(SEARCH('Nr rejestracyjny'!$F$5,$F2479))),COUNT($H$1:H2478)+1,"")</f>
        <v>0</v>
      </c>
      <c r="I2479" s="9">
        <f>IF(AND($G2479&lt;&gt;"",ISNUMBER(SEARCH('Nr rejestracyjny'!$F$5,$G2479))),COUNT($I$1:I2478)+1,"")</f>
        <v>0</v>
      </c>
    </row>
    <row r="2480" spans="6:9">
      <c r="F2480" s="7">
        <f>IF('W rejestracji'!$C$2487="","",'W rejestracji'!$C$2487)</f>
        <v>0</v>
      </c>
      <c r="G2480" s="7">
        <f>IF(Zarejestrowane!$C$2487="","",Zarejestrowane!$C$2487)</f>
        <v>0</v>
      </c>
      <c r="H2480" s="9">
        <f>IF(AND($F2480&lt;&gt;"",ISNUMBER(SEARCH('Nr rejestracyjny'!$F$5,$F2480))),COUNT($H$1:H2479)+1,"")</f>
        <v>0</v>
      </c>
      <c r="I2480" s="9">
        <f>IF(AND($G2480&lt;&gt;"",ISNUMBER(SEARCH('Nr rejestracyjny'!$F$5,$G2480))),COUNT($I$1:I2479)+1,"")</f>
        <v>0</v>
      </c>
    </row>
    <row r="2481" spans="6:9">
      <c r="F2481" s="7">
        <f>IF('W rejestracji'!$C$2488="","",'W rejestracji'!$C$2488)</f>
        <v>0</v>
      </c>
      <c r="G2481" s="7">
        <f>IF(Zarejestrowane!$C$2488="","",Zarejestrowane!$C$2488)</f>
        <v>0</v>
      </c>
      <c r="H2481" s="9">
        <f>IF(AND($F2481&lt;&gt;"",ISNUMBER(SEARCH('Nr rejestracyjny'!$F$5,$F2481))),COUNT($H$1:H2480)+1,"")</f>
        <v>0</v>
      </c>
      <c r="I2481" s="9">
        <f>IF(AND($G2481&lt;&gt;"",ISNUMBER(SEARCH('Nr rejestracyjny'!$F$5,$G2481))),COUNT($I$1:I2480)+1,"")</f>
        <v>0</v>
      </c>
    </row>
    <row r="2482" spans="6:9">
      <c r="F2482" s="7">
        <f>IF('W rejestracji'!$C$2489="","",'W rejestracji'!$C$2489)</f>
        <v>0</v>
      </c>
      <c r="G2482" s="7">
        <f>IF(Zarejestrowane!$C$2489="","",Zarejestrowane!$C$2489)</f>
        <v>0</v>
      </c>
      <c r="H2482" s="9">
        <f>IF(AND($F2482&lt;&gt;"",ISNUMBER(SEARCH('Nr rejestracyjny'!$F$5,$F2482))),COUNT($H$1:H2481)+1,"")</f>
        <v>0</v>
      </c>
      <c r="I2482" s="9">
        <f>IF(AND($G2482&lt;&gt;"",ISNUMBER(SEARCH('Nr rejestracyjny'!$F$5,$G2482))),COUNT($I$1:I2481)+1,"")</f>
        <v>0</v>
      </c>
    </row>
    <row r="2483" spans="6:9">
      <c r="F2483" s="7">
        <f>IF('W rejestracji'!$C$2490="","",'W rejestracji'!$C$2490)</f>
        <v>0</v>
      </c>
      <c r="G2483" s="7">
        <f>IF(Zarejestrowane!$C$2490="","",Zarejestrowane!$C$2490)</f>
        <v>0</v>
      </c>
      <c r="H2483" s="9">
        <f>IF(AND($F2483&lt;&gt;"",ISNUMBER(SEARCH('Nr rejestracyjny'!$F$5,$F2483))),COUNT($H$1:H2482)+1,"")</f>
        <v>0</v>
      </c>
      <c r="I2483" s="9">
        <f>IF(AND($G2483&lt;&gt;"",ISNUMBER(SEARCH('Nr rejestracyjny'!$F$5,$G2483))),COUNT($I$1:I2482)+1,"")</f>
        <v>0</v>
      </c>
    </row>
    <row r="2484" spans="6:9">
      <c r="F2484" s="7">
        <f>IF('W rejestracji'!$C$2491="","",'W rejestracji'!$C$2491)</f>
        <v>0</v>
      </c>
      <c r="G2484" s="7">
        <f>IF(Zarejestrowane!$C$2491="","",Zarejestrowane!$C$2491)</f>
        <v>0</v>
      </c>
      <c r="H2484" s="9">
        <f>IF(AND($F2484&lt;&gt;"",ISNUMBER(SEARCH('Nr rejestracyjny'!$F$5,$F2484))),COUNT($H$1:H2483)+1,"")</f>
        <v>0</v>
      </c>
      <c r="I2484" s="9">
        <f>IF(AND($G2484&lt;&gt;"",ISNUMBER(SEARCH('Nr rejestracyjny'!$F$5,$G2484))),COUNT($I$1:I2483)+1,"")</f>
        <v>0</v>
      </c>
    </row>
    <row r="2485" spans="6:9">
      <c r="F2485" s="7">
        <f>IF('W rejestracji'!$C$2492="","",'W rejestracji'!$C$2492)</f>
        <v>0</v>
      </c>
      <c r="G2485" s="7">
        <f>IF(Zarejestrowane!$C$2492="","",Zarejestrowane!$C$2492)</f>
        <v>0</v>
      </c>
      <c r="H2485" s="9">
        <f>IF(AND($F2485&lt;&gt;"",ISNUMBER(SEARCH('Nr rejestracyjny'!$F$5,$F2485))),COUNT($H$1:H2484)+1,"")</f>
        <v>0</v>
      </c>
      <c r="I2485" s="9">
        <f>IF(AND($G2485&lt;&gt;"",ISNUMBER(SEARCH('Nr rejestracyjny'!$F$5,$G2485))),COUNT($I$1:I2484)+1,"")</f>
        <v>0</v>
      </c>
    </row>
    <row r="2486" spans="6:9">
      <c r="F2486" s="7">
        <f>IF('W rejestracji'!$C$2493="","",'W rejestracji'!$C$2493)</f>
        <v>0</v>
      </c>
      <c r="G2486" s="7">
        <f>IF(Zarejestrowane!$C$2493="","",Zarejestrowane!$C$2493)</f>
        <v>0</v>
      </c>
      <c r="H2486" s="9">
        <f>IF(AND($F2486&lt;&gt;"",ISNUMBER(SEARCH('Nr rejestracyjny'!$F$5,$F2486))),COUNT($H$1:H2485)+1,"")</f>
        <v>0</v>
      </c>
      <c r="I2486" s="9">
        <f>IF(AND($G2486&lt;&gt;"",ISNUMBER(SEARCH('Nr rejestracyjny'!$F$5,$G2486))),COUNT($I$1:I2485)+1,"")</f>
        <v>0</v>
      </c>
    </row>
    <row r="2487" spans="6:9">
      <c r="F2487" s="7">
        <f>IF('W rejestracji'!$C$2494="","",'W rejestracji'!$C$2494)</f>
        <v>0</v>
      </c>
      <c r="G2487" s="7">
        <f>IF(Zarejestrowane!$C$2494="","",Zarejestrowane!$C$2494)</f>
        <v>0</v>
      </c>
      <c r="H2487" s="9">
        <f>IF(AND($F2487&lt;&gt;"",ISNUMBER(SEARCH('Nr rejestracyjny'!$F$5,$F2487))),COUNT($H$1:H2486)+1,"")</f>
        <v>0</v>
      </c>
      <c r="I2487" s="9">
        <f>IF(AND($G2487&lt;&gt;"",ISNUMBER(SEARCH('Nr rejestracyjny'!$F$5,$G2487))),COUNT($I$1:I2486)+1,"")</f>
        <v>0</v>
      </c>
    </row>
    <row r="2488" spans="6:9">
      <c r="F2488" s="7">
        <f>IF('W rejestracji'!$C$2495="","",'W rejestracji'!$C$2495)</f>
        <v>0</v>
      </c>
      <c r="G2488" s="7">
        <f>IF(Zarejestrowane!$C$2495="","",Zarejestrowane!$C$2495)</f>
        <v>0</v>
      </c>
      <c r="H2488" s="9">
        <f>IF(AND($F2488&lt;&gt;"",ISNUMBER(SEARCH('Nr rejestracyjny'!$F$5,$F2488))),COUNT($H$1:H2487)+1,"")</f>
        <v>0</v>
      </c>
      <c r="I2488" s="9">
        <f>IF(AND($G2488&lt;&gt;"",ISNUMBER(SEARCH('Nr rejestracyjny'!$F$5,$G2488))),COUNT($I$1:I2487)+1,"")</f>
        <v>0</v>
      </c>
    </row>
    <row r="2489" spans="6:9">
      <c r="F2489" s="7">
        <f>IF('W rejestracji'!$C$2496="","",'W rejestracji'!$C$2496)</f>
        <v>0</v>
      </c>
      <c r="G2489" s="7">
        <f>IF(Zarejestrowane!$C$2496="","",Zarejestrowane!$C$2496)</f>
        <v>0</v>
      </c>
      <c r="H2489" s="9">
        <f>IF(AND($F2489&lt;&gt;"",ISNUMBER(SEARCH('Nr rejestracyjny'!$F$5,$F2489))),COUNT($H$1:H2488)+1,"")</f>
        <v>0</v>
      </c>
      <c r="I2489" s="9">
        <f>IF(AND($G2489&lt;&gt;"",ISNUMBER(SEARCH('Nr rejestracyjny'!$F$5,$G2489))),COUNT($I$1:I2488)+1,"")</f>
        <v>0</v>
      </c>
    </row>
    <row r="2490" spans="6:9">
      <c r="F2490" s="7">
        <f>IF('W rejestracji'!$C$2497="","",'W rejestracji'!$C$2497)</f>
        <v>0</v>
      </c>
      <c r="G2490" s="7">
        <f>IF(Zarejestrowane!$C$2497="","",Zarejestrowane!$C$2497)</f>
        <v>0</v>
      </c>
      <c r="H2490" s="9">
        <f>IF(AND($F2490&lt;&gt;"",ISNUMBER(SEARCH('Nr rejestracyjny'!$F$5,$F2490))),COUNT($H$1:H2489)+1,"")</f>
        <v>0</v>
      </c>
      <c r="I2490" s="9">
        <f>IF(AND($G2490&lt;&gt;"",ISNUMBER(SEARCH('Nr rejestracyjny'!$F$5,$G2490))),COUNT($I$1:I2489)+1,"")</f>
        <v>0</v>
      </c>
    </row>
    <row r="2491" spans="6:9">
      <c r="F2491" s="7">
        <f>IF('W rejestracji'!$C$2498="","",'W rejestracji'!$C$2498)</f>
        <v>0</v>
      </c>
      <c r="G2491" s="7">
        <f>IF(Zarejestrowane!$C$2498="","",Zarejestrowane!$C$2498)</f>
        <v>0</v>
      </c>
      <c r="H2491" s="9">
        <f>IF(AND($F2491&lt;&gt;"",ISNUMBER(SEARCH('Nr rejestracyjny'!$F$5,$F2491))),COUNT($H$1:H2490)+1,"")</f>
        <v>0</v>
      </c>
      <c r="I2491" s="9">
        <f>IF(AND($G2491&lt;&gt;"",ISNUMBER(SEARCH('Nr rejestracyjny'!$F$5,$G2491))),COUNT($I$1:I2490)+1,"")</f>
        <v>0</v>
      </c>
    </row>
    <row r="2492" spans="6:9">
      <c r="F2492" s="7">
        <f>IF('W rejestracji'!$C$2499="","",'W rejestracji'!$C$2499)</f>
        <v>0</v>
      </c>
      <c r="G2492" s="7">
        <f>IF(Zarejestrowane!$C$2499="","",Zarejestrowane!$C$2499)</f>
        <v>0</v>
      </c>
      <c r="H2492" s="9">
        <f>IF(AND($F2492&lt;&gt;"",ISNUMBER(SEARCH('Nr rejestracyjny'!$F$5,$F2492))),COUNT($H$1:H2491)+1,"")</f>
        <v>0</v>
      </c>
      <c r="I2492" s="9">
        <f>IF(AND($G2492&lt;&gt;"",ISNUMBER(SEARCH('Nr rejestracyjny'!$F$5,$G2492))),COUNT($I$1:I2491)+1,"")</f>
        <v>0</v>
      </c>
    </row>
    <row r="2493" spans="6:9">
      <c r="F2493" s="7">
        <f>IF('W rejestracji'!$C$2500="","",'W rejestracji'!$C$2500)</f>
        <v>0</v>
      </c>
      <c r="G2493" s="7">
        <f>IF(Zarejestrowane!$C$2500="","",Zarejestrowane!$C$2500)</f>
        <v>0</v>
      </c>
      <c r="H2493" s="9">
        <f>IF(AND($F2493&lt;&gt;"",ISNUMBER(SEARCH('Nr rejestracyjny'!$F$5,$F2493))),COUNT($H$1:H2492)+1,"")</f>
        <v>0</v>
      </c>
      <c r="I2493" s="9">
        <f>IF(AND($G2493&lt;&gt;"",ISNUMBER(SEARCH('Nr rejestracyjny'!$F$5,$G2493))),COUNT($I$1:I2492)+1,"")</f>
        <v>0</v>
      </c>
    </row>
    <row r="2494" spans="6:9">
      <c r="F2494" s="7">
        <f>IF('W rejestracji'!$C$2501="","",'W rejestracji'!$C$2501)</f>
        <v>0</v>
      </c>
      <c r="G2494" s="7">
        <f>IF(Zarejestrowane!$C$2501="","",Zarejestrowane!$C$2501)</f>
        <v>0</v>
      </c>
      <c r="H2494" s="9">
        <f>IF(AND($F2494&lt;&gt;"",ISNUMBER(SEARCH('Nr rejestracyjny'!$F$5,$F2494))),COUNT($H$1:H2493)+1,"")</f>
        <v>0</v>
      </c>
      <c r="I2494" s="9">
        <f>IF(AND($G2494&lt;&gt;"",ISNUMBER(SEARCH('Nr rejestracyjny'!$F$5,$G2494))),COUNT($I$1:I2493)+1,"")</f>
        <v>0</v>
      </c>
    </row>
    <row r="2495" spans="6:9">
      <c r="F2495" s="7">
        <f>IF('W rejestracji'!$C$2502="","",'W rejestracji'!$C$2502)</f>
        <v>0</v>
      </c>
      <c r="G2495" s="7">
        <f>IF(Zarejestrowane!$C$2502="","",Zarejestrowane!$C$2502)</f>
        <v>0</v>
      </c>
      <c r="H2495" s="9">
        <f>IF(AND($F2495&lt;&gt;"",ISNUMBER(SEARCH('Nr rejestracyjny'!$F$5,$F2495))),COUNT($H$1:H2494)+1,"")</f>
        <v>0</v>
      </c>
      <c r="I2495" s="9">
        <f>IF(AND($G2495&lt;&gt;"",ISNUMBER(SEARCH('Nr rejestracyjny'!$F$5,$G2495))),COUNT($I$1:I2494)+1,"")</f>
        <v>0</v>
      </c>
    </row>
    <row r="2496" spans="6:9">
      <c r="F2496" s="7">
        <f>IF('W rejestracji'!$C$2503="","",'W rejestracji'!$C$2503)</f>
        <v>0</v>
      </c>
      <c r="G2496" s="7">
        <f>IF(Zarejestrowane!$C$2503="","",Zarejestrowane!$C$2503)</f>
        <v>0</v>
      </c>
      <c r="H2496" s="9">
        <f>IF(AND($F2496&lt;&gt;"",ISNUMBER(SEARCH('Nr rejestracyjny'!$F$5,$F2496))),COUNT($H$1:H2495)+1,"")</f>
        <v>0</v>
      </c>
      <c r="I2496" s="9">
        <f>IF(AND($G2496&lt;&gt;"",ISNUMBER(SEARCH('Nr rejestracyjny'!$F$5,$G2496))),COUNT($I$1:I2495)+1,"")</f>
        <v>0</v>
      </c>
    </row>
    <row r="2497" spans="6:9">
      <c r="F2497" s="7">
        <f>IF('W rejestracji'!$C$2504="","",'W rejestracji'!$C$2504)</f>
        <v>0</v>
      </c>
      <c r="G2497" s="7">
        <f>IF(Zarejestrowane!$C$2504="","",Zarejestrowane!$C$2504)</f>
        <v>0</v>
      </c>
      <c r="H2497" s="9">
        <f>IF(AND($F2497&lt;&gt;"",ISNUMBER(SEARCH('Nr rejestracyjny'!$F$5,$F2497))),COUNT($H$1:H2496)+1,"")</f>
        <v>0</v>
      </c>
      <c r="I2497" s="9">
        <f>IF(AND($G2497&lt;&gt;"",ISNUMBER(SEARCH('Nr rejestracyjny'!$F$5,$G2497))),COUNT($I$1:I2496)+1,"")</f>
        <v>0</v>
      </c>
    </row>
    <row r="2498" spans="6:9">
      <c r="F2498" s="7">
        <f>IF('W rejestracji'!$C$2505="","",'W rejestracji'!$C$2505)</f>
        <v>0</v>
      </c>
      <c r="G2498" s="7">
        <f>IF(Zarejestrowane!$C$2505="","",Zarejestrowane!$C$2505)</f>
        <v>0</v>
      </c>
      <c r="H2498" s="9">
        <f>IF(AND($F2498&lt;&gt;"",ISNUMBER(SEARCH('Nr rejestracyjny'!$F$5,$F2498))),COUNT($H$1:H2497)+1,"")</f>
        <v>0</v>
      </c>
      <c r="I2498" s="9">
        <f>IF(AND($G2498&lt;&gt;"",ISNUMBER(SEARCH('Nr rejestracyjny'!$F$5,$G2498))),COUNT($I$1:I2497)+1,"")</f>
        <v>0</v>
      </c>
    </row>
    <row r="2499" spans="6:9">
      <c r="F2499" s="7">
        <f>IF('W rejestracji'!$C$2506="","",'W rejestracji'!$C$2506)</f>
        <v>0</v>
      </c>
      <c r="G2499" s="7">
        <f>IF(Zarejestrowane!$C$2506="","",Zarejestrowane!$C$2506)</f>
        <v>0</v>
      </c>
      <c r="H2499" s="9">
        <f>IF(AND($F2499&lt;&gt;"",ISNUMBER(SEARCH('Nr rejestracyjny'!$F$5,$F2499))),COUNT($H$1:H2498)+1,"")</f>
        <v>0</v>
      </c>
      <c r="I2499" s="9">
        <f>IF(AND($G2499&lt;&gt;"",ISNUMBER(SEARCH('Nr rejestracyjny'!$F$5,$G2499))),COUNT($I$1:I2498)+1,"")</f>
        <v>0</v>
      </c>
    </row>
    <row r="2500" spans="6:9">
      <c r="F2500" s="7">
        <f>IF('W rejestracji'!$C$2507="","",'W rejestracji'!$C$2507)</f>
        <v>0</v>
      </c>
      <c r="G2500" s="7">
        <f>IF(Zarejestrowane!$C$2507="","",Zarejestrowane!$C$2507)</f>
        <v>0</v>
      </c>
      <c r="H2500" s="9">
        <f>IF(AND($F2500&lt;&gt;"",ISNUMBER(SEARCH('Nr rejestracyjny'!$F$5,$F2500))),COUNT($H$1:H2499)+1,"")</f>
        <v>0</v>
      </c>
      <c r="I2500" s="9">
        <f>IF(AND($G2500&lt;&gt;"",ISNUMBER(SEARCH('Nr rejestracyjny'!$F$5,$G2500))),COUNT($I$1:I2499)+1,"")</f>
        <v>0</v>
      </c>
    </row>
    <row r="2501" spans="6:9">
      <c r="F2501" s="7">
        <f>IF('W rejestracji'!$C$2508="","",'W rejestracji'!$C$2508)</f>
        <v>0</v>
      </c>
      <c r="G2501" s="7">
        <f>IF(Zarejestrowane!$C$2508="","",Zarejestrowane!$C$2508)</f>
        <v>0</v>
      </c>
      <c r="H2501" s="9">
        <f>IF(AND($F2501&lt;&gt;"",ISNUMBER(SEARCH('Nr rejestracyjny'!$F$5,$F2501))),COUNT($H$1:H2500)+1,"")</f>
        <v>0</v>
      </c>
      <c r="I2501" s="9">
        <f>IF(AND($G2501&lt;&gt;"",ISNUMBER(SEARCH('Nr rejestracyjny'!$F$5,$G2501))),COUNT($I$1:I2500)+1,"")</f>
        <v>0</v>
      </c>
    </row>
    <row r="2502" spans="6:9">
      <c r="F2502" s="7">
        <f>IF('W rejestracji'!$C$2509="","",'W rejestracji'!$C$2509)</f>
        <v>0</v>
      </c>
      <c r="G2502" s="7">
        <f>IF(Zarejestrowane!$C$2509="","",Zarejestrowane!$C$2509)</f>
        <v>0</v>
      </c>
      <c r="H2502" s="9">
        <f>IF(AND($F2502&lt;&gt;"",ISNUMBER(SEARCH('Nr rejestracyjny'!$F$5,$F2502))),COUNT($H$1:H2501)+1,"")</f>
        <v>0</v>
      </c>
      <c r="I2502" s="9">
        <f>IF(AND($G2502&lt;&gt;"",ISNUMBER(SEARCH('Nr rejestracyjny'!$F$5,$G2502))),COUNT($I$1:I2501)+1,"")</f>
        <v>0</v>
      </c>
    </row>
    <row r="2503" spans="6:9">
      <c r="F2503" s="7">
        <f>IF('W rejestracji'!$C$2510="","",'W rejestracji'!$C$2510)</f>
        <v>0</v>
      </c>
      <c r="G2503" s="7">
        <f>IF(Zarejestrowane!$C$2510="","",Zarejestrowane!$C$2510)</f>
        <v>0</v>
      </c>
      <c r="H2503" s="9">
        <f>IF(AND($F2503&lt;&gt;"",ISNUMBER(SEARCH('Nr rejestracyjny'!$F$5,$F2503))),COUNT($H$1:H2502)+1,"")</f>
        <v>0</v>
      </c>
      <c r="I2503" s="9">
        <f>IF(AND($G2503&lt;&gt;"",ISNUMBER(SEARCH('Nr rejestracyjny'!$F$5,$G2503))),COUNT($I$1:I2502)+1,"")</f>
        <v>0</v>
      </c>
    </row>
    <row r="2504" spans="6:9">
      <c r="F2504" s="7">
        <f>IF('W rejestracji'!$C$2511="","",'W rejestracji'!$C$2511)</f>
        <v>0</v>
      </c>
      <c r="G2504" s="7">
        <f>IF(Zarejestrowane!$C$2511="","",Zarejestrowane!$C$2511)</f>
        <v>0</v>
      </c>
      <c r="H2504" s="9">
        <f>IF(AND($F2504&lt;&gt;"",ISNUMBER(SEARCH('Nr rejestracyjny'!$F$5,$F2504))),COUNT($H$1:H2503)+1,"")</f>
        <v>0</v>
      </c>
      <c r="I2504" s="9">
        <f>IF(AND($G2504&lt;&gt;"",ISNUMBER(SEARCH('Nr rejestracyjny'!$F$5,$G2504))),COUNT($I$1:I2503)+1,"")</f>
        <v>0</v>
      </c>
    </row>
    <row r="2505" spans="6:9">
      <c r="F2505" s="7">
        <f>IF('W rejestracji'!$C$2512="","",'W rejestracji'!$C$2512)</f>
        <v>0</v>
      </c>
      <c r="G2505" s="7">
        <f>IF(Zarejestrowane!$C$2512="","",Zarejestrowane!$C$2512)</f>
        <v>0</v>
      </c>
      <c r="H2505" s="9">
        <f>IF(AND($F2505&lt;&gt;"",ISNUMBER(SEARCH('Nr rejestracyjny'!$F$5,$F2505))),COUNT($H$1:H2504)+1,"")</f>
        <v>0</v>
      </c>
      <c r="I2505" s="9">
        <f>IF(AND($G2505&lt;&gt;"",ISNUMBER(SEARCH('Nr rejestracyjny'!$F$5,$G2505))),COUNT($I$1:I2504)+1,"")</f>
        <v>0</v>
      </c>
    </row>
    <row r="2506" spans="6:9">
      <c r="F2506" s="7">
        <f>IF('W rejestracji'!$C$2513="","",'W rejestracji'!$C$2513)</f>
        <v>0</v>
      </c>
      <c r="G2506" s="7">
        <f>IF(Zarejestrowane!$C$2513="","",Zarejestrowane!$C$2513)</f>
        <v>0</v>
      </c>
      <c r="H2506" s="9">
        <f>IF(AND($F2506&lt;&gt;"",ISNUMBER(SEARCH('Nr rejestracyjny'!$F$5,$F2506))),COUNT($H$1:H2505)+1,"")</f>
        <v>0</v>
      </c>
      <c r="I2506" s="9">
        <f>IF(AND($G2506&lt;&gt;"",ISNUMBER(SEARCH('Nr rejestracyjny'!$F$5,$G2506))),COUNT($I$1:I2505)+1,"")</f>
        <v>0</v>
      </c>
    </row>
    <row r="2507" spans="6:9">
      <c r="F2507" s="7">
        <f>IF('W rejestracji'!$C$2514="","",'W rejestracji'!$C$2514)</f>
        <v>0</v>
      </c>
      <c r="G2507" s="7">
        <f>IF(Zarejestrowane!$C$2514="","",Zarejestrowane!$C$2514)</f>
        <v>0</v>
      </c>
      <c r="H2507" s="9">
        <f>IF(AND($F2507&lt;&gt;"",ISNUMBER(SEARCH('Nr rejestracyjny'!$F$5,$F2507))),COUNT($H$1:H2506)+1,"")</f>
        <v>0</v>
      </c>
      <c r="I2507" s="9">
        <f>IF(AND($G2507&lt;&gt;"",ISNUMBER(SEARCH('Nr rejestracyjny'!$F$5,$G2507))),COUNT($I$1:I2506)+1,"")</f>
        <v>0</v>
      </c>
    </row>
    <row r="2508" spans="6:9">
      <c r="F2508" s="7">
        <f>IF('W rejestracji'!$C$2515="","",'W rejestracji'!$C$2515)</f>
        <v>0</v>
      </c>
      <c r="G2508" s="7">
        <f>IF(Zarejestrowane!$C$2515="","",Zarejestrowane!$C$2515)</f>
        <v>0</v>
      </c>
      <c r="H2508" s="9">
        <f>IF(AND($F2508&lt;&gt;"",ISNUMBER(SEARCH('Nr rejestracyjny'!$F$5,$F2508))),COUNT($H$1:H2507)+1,"")</f>
        <v>0</v>
      </c>
      <c r="I2508" s="9">
        <f>IF(AND($G2508&lt;&gt;"",ISNUMBER(SEARCH('Nr rejestracyjny'!$F$5,$G2508))),COUNT($I$1:I2507)+1,"")</f>
        <v>0</v>
      </c>
    </row>
    <row r="2509" spans="6:9">
      <c r="F2509" s="7">
        <f>IF('W rejestracji'!$C$2516="","",'W rejestracji'!$C$2516)</f>
        <v>0</v>
      </c>
      <c r="G2509" s="7">
        <f>IF(Zarejestrowane!$C$2516="","",Zarejestrowane!$C$2516)</f>
        <v>0</v>
      </c>
      <c r="H2509" s="9">
        <f>IF(AND($F2509&lt;&gt;"",ISNUMBER(SEARCH('Nr rejestracyjny'!$F$5,$F2509))),COUNT($H$1:H2508)+1,"")</f>
        <v>0</v>
      </c>
      <c r="I2509" s="9">
        <f>IF(AND($G2509&lt;&gt;"",ISNUMBER(SEARCH('Nr rejestracyjny'!$F$5,$G2509))),COUNT($I$1:I2508)+1,"")</f>
        <v>0</v>
      </c>
    </row>
    <row r="2510" spans="6:9">
      <c r="F2510" s="7">
        <f>IF('W rejestracji'!$C$2517="","",'W rejestracji'!$C$2517)</f>
        <v>0</v>
      </c>
      <c r="G2510" s="7">
        <f>IF(Zarejestrowane!$C$2517="","",Zarejestrowane!$C$2517)</f>
        <v>0</v>
      </c>
      <c r="H2510" s="9">
        <f>IF(AND($F2510&lt;&gt;"",ISNUMBER(SEARCH('Nr rejestracyjny'!$F$5,$F2510))),COUNT($H$1:H2509)+1,"")</f>
        <v>0</v>
      </c>
      <c r="I2510" s="9">
        <f>IF(AND($G2510&lt;&gt;"",ISNUMBER(SEARCH('Nr rejestracyjny'!$F$5,$G2510))),COUNT($I$1:I2509)+1,"")</f>
        <v>0</v>
      </c>
    </row>
    <row r="2511" spans="6:9">
      <c r="F2511" s="7">
        <f>IF('W rejestracji'!$C$2518="","",'W rejestracji'!$C$2518)</f>
        <v>0</v>
      </c>
      <c r="G2511" s="7">
        <f>IF(Zarejestrowane!$C$2518="","",Zarejestrowane!$C$2518)</f>
        <v>0</v>
      </c>
      <c r="H2511" s="9">
        <f>IF(AND($F2511&lt;&gt;"",ISNUMBER(SEARCH('Nr rejestracyjny'!$F$5,$F2511))),COUNT($H$1:H2510)+1,"")</f>
        <v>0</v>
      </c>
      <c r="I2511" s="9">
        <f>IF(AND($G2511&lt;&gt;"",ISNUMBER(SEARCH('Nr rejestracyjny'!$F$5,$G2511))),COUNT($I$1:I2510)+1,"")</f>
        <v>0</v>
      </c>
    </row>
    <row r="2512" spans="6:9">
      <c r="F2512" s="7">
        <f>IF('W rejestracji'!$C$2519="","",'W rejestracji'!$C$2519)</f>
        <v>0</v>
      </c>
      <c r="G2512" s="7">
        <f>IF(Zarejestrowane!$C$2519="","",Zarejestrowane!$C$2519)</f>
        <v>0</v>
      </c>
      <c r="H2512" s="9">
        <f>IF(AND($F2512&lt;&gt;"",ISNUMBER(SEARCH('Nr rejestracyjny'!$F$5,$F2512))),COUNT($H$1:H2511)+1,"")</f>
        <v>0</v>
      </c>
      <c r="I2512" s="9">
        <f>IF(AND($G2512&lt;&gt;"",ISNUMBER(SEARCH('Nr rejestracyjny'!$F$5,$G2512))),COUNT($I$1:I2511)+1,"")</f>
        <v>0</v>
      </c>
    </row>
    <row r="2513" spans="6:9">
      <c r="F2513" s="7">
        <f>IF('W rejestracji'!$C$2520="","",'W rejestracji'!$C$2520)</f>
        <v>0</v>
      </c>
      <c r="G2513" s="7">
        <f>IF(Zarejestrowane!$C$2520="","",Zarejestrowane!$C$2520)</f>
        <v>0</v>
      </c>
      <c r="H2513" s="9">
        <f>IF(AND($F2513&lt;&gt;"",ISNUMBER(SEARCH('Nr rejestracyjny'!$F$5,$F2513))),COUNT($H$1:H2512)+1,"")</f>
        <v>0</v>
      </c>
      <c r="I2513" s="9">
        <f>IF(AND($G2513&lt;&gt;"",ISNUMBER(SEARCH('Nr rejestracyjny'!$F$5,$G2513))),COUNT($I$1:I2512)+1,"")</f>
        <v>0</v>
      </c>
    </row>
    <row r="2514" spans="6:9">
      <c r="F2514" s="7">
        <f>IF('W rejestracji'!$C$2521="","",'W rejestracji'!$C$2521)</f>
        <v>0</v>
      </c>
      <c r="G2514" s="7">
        <f>IF(Zarejestrowane!$C$2521="","",Zarejestrowane!$C$2521)</f>
        <v>0</v>
      </c>
      <c r="H2514" s="9">
        <f>IF(AND($F2514&lt;&gt;"",ISNUMBER(SEARCH('Nr rejestracyjny'!$F$5,$F2514))),COUNT($H$1:H2513)+1,"")</f>
        <v>0</v>
      </c>
      <c r="I2514" s="9">
        <f>IF(AND($G2514&lt;&gt;"",ISNUMBER(SEARCH('Nr rejestracyjny'!$F$5,$G2514))),COUNT($I$1:I2513)+1,"")</f>
        <v>0</v>
      </c>
    </row>
    <row r="2515" spans="6:9">
      <c r="F2515" s="7">
        <f>IF('W rejestracji'!$C$2522="","",'W rejestracji'!$C$2522)</f>
        <v>0</v>
      </c>
      <c r="G2515" s="7">
        <f>IF(Zarejestrowane!$C$2522="","",Zarejestrowane!$C$2522)</f>
        <v>0</v>
      </c>
      <c r="H2515" s="9">
        <f>IF(AND($F2515&lt;&gt;"",ISNUMBER(SEARCH('Nr rejestracyjny'!$F$5,$F2515))),COUNT($H$1:H2514)+1,"")</f>
        <v>0</v>
      </c>
      <c r="I2515" s="9">
        <f>IF(AND($G2515&lt;&gt;"",ISNUMBER(SEARCH('Nr rejestracyjny'!$F$5,$G2515))),COUNT($I$1:I2514)+1,"")</f>
        <v>0</v>
      </c>
    </row>
    <row r="2516" spans="6:9">
      <c r="F2516" s="7">
        <f>IF('W rejestracji'!$C$2523="","",'W rejestracji'!$C$2523)</f>
        <v>0</v>
      </c>
      <c r="G2516" s="7">
        <f>IF(Zarejestrowane!$C$2523="","",Zarejestrowane!$C$2523)</f>
        <v>0</v>
      </c>
      <c r="H2516" s="9">
        <f>IF(AND($F2516&lt;&gt;"",ISNUMBER(SEARCH('Nr rejestracyjny'!$F$5,$F2516))),COUNT($H$1:H2515)+1,"")</f>
        <v>0</v>
      </c>
      <c r="I2516" s="9">
        <f>IF(AND($G2516&lt;&gt;"",ISNUMBER(SEARCH('Nr rejestracyjny'!$F$5,$G2516))),COUNT($I$1:I2515)+1,"")</f>
        <v>0</v>
      </c>
    </row>
    <row r="2517" spans="6:9">
      <c r="F2517" s="7">
        <f>IF('W rejestracji'!$C$2524="","",'W rejestracji'!$C$2524)</f>
        <v>0</v>
      </c>
      <c r="G2517" s="7">
        <f>IF(Zarejestrowane!$C$2524="","",Zarejestrowane!$C$2524)</f>
        <v>0</v>
      </c>
      <c r="H2517" s="9">
        <f>IF(AND($F2517&lt;&gt;"",ISNUMBER(SEARCH('Nr rejestracyjny'!$F$5,$F2517))),COUNT($H$1:H2516)+1,"")</f>
        <v>0</v>
      </c>
      <c r="I2517" s="9">
        <f>IF(AND($G2517&lt;&gt;"",ISNUMBER(SEARCH('Nr rejestracyjny'!$F$5,$G2517))),COUNT($I$1:I2516)+1,"")</f>
        <v>0</v>
      </c>
    </row>
    <row r="2518" spans="6:9">
      <c r="F2518" s="7">
        <f>IF('W rejestracji'!$C$2525="","",'W rejestracji'!$C$2525)</f>
        <v>0</v>
      </c>
      <c r="G2518" s="7">
        <f>IF(Zarejestrowane!$C$2525="","",Zarejestrowane!$C$2525)</f>
        <v>0</v>
      </c>
      <c r="H2518" s="9">
        <f>IF(AND($F2518&lt;&gt;"",ISNUMBER(SEARCH('Nr rejestracyjny'!$F$5,$F2518))),COUNT($H$1:H2517)+1,"")</f>
        <v>0</v>
      </c>
      <c r="I2518" s="9">
        <f>IF(AND($G2518&lt;&gt;"",ISNUMBER(SEARCH('Nr rejestracyjny'!$F$5,$G2518))),COUNT($I$1:I2517)+1,"")</f>
        <v>0</v>
      </c>
    </row>
    <row r="2519" spans="6:9">
      <c r="F2519" s="7">
        <f>IF('W rejestracji'!$C$2526="","",'W rejestracji'!$C$2526)</f>
        <v>0</v>
      </c>
      <c r="G2519" s="7">
        <f>IF(Zarejestrowane!$C$2526="","",Zarejestrowane!$C$2526)</f>
        <v>0</v>
      </c>
      <c r="H2519" s="9">
        <f>IF(AND($F2519&lt;&gt;"",ISNUMBER(SEARCH('Nr rejestracyjny'!$F$5,$F2519))),COUNT($H$1:H2518)+1,"")</f>
        <v>0</v>
      </c>
      <c r="I2519" s="9">
        <f>IF(AND($G2519&lt;&gt;"",ISNUMBER(SEARCH('Nr rejestracyjny'!$F$5,$G2519))),COUNT($I$1:I2518)+1,"")</f>
        <v>0</v>
      </c>
    </row>
    <row r="2520" spans="6:9">
      <c r="F2520" s="7">
        <f>IF('W rejestracji'!$C$2527="","",'W rejestracji'!$C$2527)</f>
        <v>0</v>
      </c>
      <c r="G2520" s="7">
        <f>IF(Zarejestrowane!$C$2527="","",Zarejestrowane!$C$2527)</f>
        <v>0</v>
      </c>
      <c r="H2520" s="9">
        <f>IF(AND($F2520&lt;&gt;"",ISNUMBER(SEARCH('Nr rejestracyjny'!$F$5,$F2520))),COUNT($H$1:H2519)+1,"")</f>
        <v>0</v>
      </c>
      <c r="I2520" s="9">
        <f>IF(AND($G2520&lt;&gt;"",ISNUMBER(SEARCH('Nr rejestracyjny'!$F$5,$G2520))),COUNT($I$1:I2519)+1,"")</f>
        <v>0</v>
      </c>
    </row>
    <row r="2521" spans="6:9">
      <c r="F2521" s="7">
        <f>IF('W rejestracji'!$C$2528="","",'W rejestracji'!$C$2528)</f>
        <v>0</v>
      </c>
      <c r="G2521" s="7">
        <f>IF(Zarejestrowane!$C$2528="","",Zarejestrowane!$C$2528)</f>
        <v>0</v>
      </c>
      <c r="H2521" s="9">
        <f>IF(AND($F2521&lt;&gt;"",ISNUMBER(SEARCH('Nr rejestracyjny'!$F$5,$F2521))),COUNT($H$1:H2520)+1,"")</f>
        <v>0</v>
      </c>
      <c r="I2521" s="9">
        <f>IF(AND($G2521&lt;&gt;"",ISNUMBER(SEARCH('Nr rejestracyjny'!$F$5,$G2521))),COUNT($I$1:I2520)+1,"")</f>
        <v>0</v>
      </c>
    </row>
    <row r="2522" spans="6:9">
      <c r="F2522" s="7">
        <f>IF('W rejestracji'!$C$2529="","",'W rejestracji'!$C$2529)</f>
        <v>0</v>
      </c>
      <c r="G2522" s="7">
        <f>IF(Zarejestrowane!$C$2529="","",Zarejestrowane!$C$2529)</f>
        <v>0</v>
      </c>
      <c r="H2522" s="9">
        <f>IF(AND($F2522&lt;&gt;"",ISNUMBER(SEARCH('Nr rejestracyjny'!$F$5,$F2522))),COUNT($H$1:H2521)+1,"")</f>
        <v>0</v>
      </c>
      <c r="I2522" s="9">
        <f>IF(AND($G2522&lt;&gt;"",ISNUMBER(SEARCH('Nr rejestracyjny'!$F$5,$G2522))),COUNT($I$1:I2521)+1,"")</f>
        <v>0</v>
      </c>
    </row>
    <row r="2523" spans="6:9">
      <c r="F2523" s="7">
        <f>IF('W rejestracji'!$C$2530="","",'W rejestracji'!$C$2530)</f>
        <v>0</v>
      </c>
      <c r="G2523" s="7">
        <f>IF(Zarejestrowane!$C$2530="","",Zarejestrowane!$C$2530)</f>
        <v>0</v>
      </c>
      <c r="H2523" s="9">
        <f>IF(AND($F2523&lt;&gt;"",ISNUMBER(SEARCH('Nr rejestracyjny'!$F$5,$F2523))),COUNT($H$1:H2522)+1,"")</f>
        <v>0</v>
      </c>
      <c r="I2523" s="9">
        <f>IF(AND($G2523&lt;&gt;"",ISNUMBER(SEARCH('Nr rejestracyjny'!$F$5,$G2523))),COUNT($I$1:I2522)+1,"")</f>
        <v>0</v>
      </c>
    </row>
    <row r="2524" spans="6:9">
      <c r="F2524" s="7">
        <f>IF('W rejestracji'!$C$2531="","",'W rejestracji'!$C$2531)</f>
        <v>0</v>
      </c>
      <c r="G2524" s="7">
        <f>IF(Zarejestrowane!$C$2531="","",Zarejestrowane!$C$2531)</f>
        <v>0</v>
      </c>
      <c r="H2524" s="9">
        <f>IF(AND($F2524&lt;&gt;"",ISNUMBER(SEARCH('Nr rejestracyjny'!$F$5,$F2524))),COUNT($H$1:H2523)+1,"")</f>
        <v>0</v>
      </c>
      <c r="I2524" s="9">
        <f>IF(AND($G2524&lt;&gt;"",ISNUMBER(SEARCH('Nr rejestracyjny'!$F$5,$G2524))),COUNT($I$1:I2523)+1,"")</f>
        <v>0</v>
      </c>
    </row>
    <row r="2525" spans="6:9">
      <c r="F2525" s="7">
        <f>IF('W rejestracji'!$C$2532="","",'W rejestracji'!$C$2532)</f>
        <v>0</v>
      </c>
      <c r="G2525" s="7">
        <f>IF(Zarejestrowane!$C$2532="","",Zarejestrowane!$C$2532)</f>
        <v>0</v>
      </c>
      <c r="H2525" s="9">
        <f>IF(AND($F2525&lt;&gt;"",ISNUMBER(SEARCH('Nr rejestracyjny'!$F$5,$F2525))),COUNT($H$1:H2524)+1,"")</f>
        <v>0</v>
      </c>
      <c r="I2525" s="9">
        <f>IF(AND($G2525&lt;&gt;"",ISNUMBER(SEARCH('Nr rejestracyjny'!$F$5,$G2525))),COUNT($I$1:I2524)+1,"")</f>
        <v>0</v>
      </c>
    </row>
    <row r="2526" spans="6:9">
      <c r="F2526" s="7">
        <f>IF('W rejestracji'!$C$2533="","",'W rejestracji'!$C$2533)</f>
        <v>0</v>
      </c>
      <c r="G2526" s="7">
        <f>IF(Zarejestrowane!$C$2533="","",Zarejestrowane!$C$2533)</f>
        <v>0</v>
      </c>
      <c r="H2526" s="9">
        <f>IF(AND($F2526&lt;&gt;"",ISNUMBER(SEARCH('Nr rejestracyjny'!$F$5,$F2526))),COUNT($H$1:H2525)+1,"")</f>
        <v>0</v>
      </c>
      <c r="I2526" s="9">
        <f>IF(AND($G2526&lt;&gt;"",ISNUMBER(SEARCH('Nr rejestracyjny'!$F$5,$G2526))),COUNT($I$1:I2525)+1,"")</f>
        <v>0</v>
      </c>
    </row>
    <row r="2527" spans="6:9">
      <c r="F2527" s="7">
        <f>IF('W rejestracji'!$C$2534="","",'W rejestracji'!$C$2534)</f>
        <v>0</v>
      </c>
      <c r="G2527" s="7">
        <f>IF(Zarejestrowane!$C$2534="","",Zarejestrowane!$C$2534)</f>
        <v>0</v>
      </c>
      <c r="H2527" s="9">
        <f>IF(AND($F2527&lt;&gt;"",ISNUMBER(SEARCH('Nr rejestracyjny'!$F$5,$F2527))),COUNT($H$1:H2526)+1,"")</f>
        <v>0</v>
      </c>
      <c r="I2527" s="9">
        <f>IF(AND($G2527&lt;&gt;"",ISNUMBER(SEARCH('Nr rejestracyjny'!$F$5,$G2527))),COUNT($I$1:I2526)+1,"")</f>
        <v>0</v>
      </c>
    </row>
    <row r="2528" spans="6:9">
      <c r="F2528" s="7">
        <f>IF('W rejestracji'!$C$2535="","",'W rejestracji'!$C$2535)</f>
        <v>0</v>
      </c>
      <c r="G2528" s="7">
        <f>IF(Zarejestrowane!$C$2535="","",Zarejestrowane!$C$2535)</f>
        <v>0</v>
      </c>
      <c r="H2528" s="9">
        <f>IF(AND($F2528&lt;&gt;"",ISNUMBER(SEARCH('Nr rejestracyjny'!$F$5,$F2528))),COUNT($H$1:H2527)+1,"")</f>
        <v>0</v>
      </c>
      <c r="I2528" s="9">
        <f>IF(AND($G2528&lt;&gt;"",ISNUMBER(SEARCH('Nr rejestracyjny'!$F$5,$G2528))),COUNT($I$1:I2527)+1,"")</f>
        <v>0</v>
      </c>
    </row>
    <row r="2529" spans="6:9">
      <c r="F2529" s="7">
        <f>IF('W rejestracji'!$C$2536="","",'W rejestracji'!$C$2536)</f>
        <v>0</v>
      </c>
      <c r="G2529" s="7">
        <f>IF(Zarejestrowane!$C$2536="","",Zarejestrowane!$C$2536)</f>
        <v>0</v>
      </c>
      <c r="H2529" s="9">
        <f>IF(AND($F2529&lt;&gt;"",ISNUMBER(SEARCH('Nr rejestracyjny'!$F$5,$F2529))),COUNT($H$1:H2528)+1,"")</f>
        <v>0</v>
      </c>
      <c r="I2529" s="9">
        <f>IF(AND($G2529&lt;&gt;"",ISNUMBER(SEARCH('Nr rejestracyjny'!$F$5,$G2529))),COUNT($I$1:I2528)+1,"")</f>
        <v>0</v>
      </c>
    </row>
    <row r="2530" spans="6:9">
      <c r="F2530" s="7">
        <f>IF('W rejestracji'!$C$2537="","",'W rejestracji'!$C$2537)</f>
        <v>0</v>
      </c>
      <c r="G2530" s="7">
        <f>IF(Zarejestrowane!$C$2537="","",Zarejestrowane!$C$2537)</f>
        <v>0</v>
      </c>
      <c r="H2530" s="9">
        <f>IF(AND($F2530&lt;&gt;"",ISNUMBER(SEARCH('Nr rejestracyjny'!$F$5,$F2530))),COUNT($H$1:H2529)+1,"")</f>
        <v>0</v>
      </c>
      <c r="I2530" s="9">
        <f>IF(AND($G2530&lt;&gt;"",ISNUMBER(SEARCH('Nr rejestracyjny'!$F$5,$G2530))),COUNT($I$1:I2529)+1,"")</f>
        <v>0</v>
      </c>
    </row>
    <row r="2531" spans="6:9">
      <c r="F2531" s="7">
        <f>IF('W rejestracji'!$C$2538="","",'W rejestracji'!$C$2538)</f>
        <v>0</v>
      </c>
      <c r="G2531" s="7">
        <f>IF(Zarejestrowane!$C$2538="","",Zarejestrowane!$C$2538)</f>
        <v>0</v>
      </c>
      <c r="H2531" s="9">
        <f>IF(AND($F2531&lt;&gt;"",ISNUMBER(SEARCH('Nr rejestracyjny'!$F$5,$F2531))),COUNT($H$1:H2530)+1,"")</f>
        <v>0</v>
      </c>
      <c r="I2531" s="9">
        <f>IF(AND($G2531&lt;&gt;"",ISNUMBER(SEARCH('Nr rejestracyjny'!$F$5,$G2531))),COUNT($I$1:I2530)+1,"")</f>
        <v>0</v>
      </c>
    </row>
    <row r="2532" spans="6:9">
      <c r="F2532" s="7">
        <f>IF('W rejestracji'!$C$2539="","",'W rejestracji'!$C$2539)</f>
        <v>0</v>
      </c>
      <c r="G2532" s="7">
        <f>IF(Zarejestrowane!$C$2539="","",Zarejestrowane!$C$2539)</f>
        <v>0</v>
      </c>
      <c r="H2532" s="9">
        <f>IF(AND($F2532&lt;&gt;"",ISNUMBER(SEARCH('Nr rejestracyjny'!$F$5,$F2532))),COUNT($H$1:H2531)+1,"")</f>
        <v>0</v>
      </c>
      <c r="I2532" s="9">
        <f>IF(AND($G2532&lt;&gt;"",ISNUMBER(SEARCH('Nr rejestracyjny'!$F$5,$G2532))),COUNT($I$1:I2531)+1,"")</f>
        <v>0</v>
      </c>
    </row>
    <row r="2533" spans="6:9">
      <c r="F2533" s="7">
        <f>IF('W rejestracji'!$C$2540="","",'W rejestracji'!$C$2540)</f>
        <v>0</v>
      </c>
      <c r="G2533" s="7">
        <f>IF(Zarejestrowane!$C$2540="","",Zarejestrowane!$C$2540)</f>
        <v>0</v>
      </c>
      <c r="H2533" s="9">
        <f>IF(AND($F2533&lt;&gt;"",ISNUMBER(SEARCH('Nr rejestracyjny'!$F$5,$F2533))),COUNT($H$1:H2532)+1,"")</f>
        <v>0</v>
      </c>
      <c r="I2533" s="9">
        <f>IF(AND($G2533&lt;&gt;"",ISNUMBER(SEARCH('Nr rejestracyjny'!$F$5,$G2533))),COUNT($I$1:I2532)+1,"")</f>
        <v>0</v>
      </c>
    </row>
    <row r="2534" spans="6:9">
      <c r="F2534" s="7">
        <f>IF('W rejestracji'!$C$2541="","",'W rejestracji'!$C$2541)</f>
        <v>0</v>
      </c>
      <c r="G2534" s="7">
        <f>IF(Zarejestrowane!$C$2541="","",Zarejestrowane!$C$2541)</f>
        <v>0</v>
      </c>
      <c r="H2534" s="9">
        <f>IF(AND($F2534&lt;&gt;"",ISNUMBER(SEARCH('Nr rejestracyjny'!$F$5,$F2534))),COUNT($H$1:H2533)+1,"")</f>
        <v>0</v>
      </c>
      <c r="I2534" s="9">
        <f>IF(AND($G2534&lt;&gt;"",ISNUMBER(SEARCH('Nr rejestracyjny'!$F$5,$G2534))),COUNT($I$1:I2533)+1,"")</f>
        <v>0</v>
      </c>
    </row>
    <row r="2535" spans="6:9">
      <c r="F2535" s="7">
        <f>IF('W rejestracji'!$C$2542="","",'W rejestracji'!$C$2542)</f>
        <v>0</v>
      </c>
      <c r="G2535" s="7">
        <f>IF(Zarejestrowane!$C$2542="","",Zarejestrowane!$C$2542)</f>
        <v>0</v>
      </c>
      <c r="H2535" s="9">
        <f>IF(AND($F2535&lt;&gt;"",ISNUMBER(SEARCH('Nr rejestracyjny'!$F$5,$F2535))),COUNT($H$1:H2534)+1,"")</f>
        <v>0</v>
      </c>
      <c r="I2535" s="9">
        <f>IF(AND($G2535&lt;&gt;"",ISNUMBER(SEARCH('Nr rejestracyjny'!$F$5,$G2535))),COUNT($I$1:I2534)+1,"")</f>
        <v>0</v>
      </c>
    </row>
    <row r="2536" spans="6:9">
      <c r="F2536" s="7">
        <f>IF('W rejestracji'!$C$2543="","",'W rejestracji'!$C$2543)</f>
        <v>0</v>
      </c>
      <c r="G2536" s="7">
        <f>IF(Zarejestrowane!$C$2543="","",Zarejestrowane!$C$2543)</f>
        <v>0</v>
      </c>
      <c r="H2536" s="9">
        <f>IF(AND($F2536&lt;&gt;"",ISNUMBER(SEARCH('Nr rejestracyjny'!$F$5,$F2536))),COUNT($H$1:H2535)+1,"")</f>
        <v>0</v>
      </c>
      <c r="I2536" s="9">
        <f>IF(AND($G2536&lt;&gt;"",ISNUMBER(SEARCH('Nr rejestracyjny'!$F$5,$G2536))),COUNT($I$1:I2535)+1,"")</f>
        <v>0</v>
      </c>
    </row>
    <row r="2537" spans="6:9">
      <c r="F2537" s="7">
        <f>IF('W rejestracji'!$C$2544="","",'W rejestracji'!$C$2544)</f>
        <v>0</v>
      </c>
      <c r="G2537" s="7">
        <f>IF(Zarejestrowane!$C$2544="","",Zarejestrowane!$C$2544)</f>
        <v>0</v>
      </c>
      <c r="H2537" s="9">
        <f>IF(AND($F2537&lt;&gt;"",ISNUMBER(SEARCH('Nr rejestracyjny'!$F$5,$F2537))),COUNT($H$1:H2536)+1,"")</f>
        <v>0</v>
      </c>
      <c r="I2537" s="9">
        <f>IF(AND($G2537&lt;&gt;"",ISNUMBER(SEARCH('Nr rejestracyjny'!$F$5,$G2537))),COUNT($I$1:I2536)+1,"")</f>
        <v>0</v>
      </c>
    </row>
    <row r="2538" spans="6:9">
      <c r="F2538" s="7">
        <f>IF('W rejestracji'!$C$2545="","",'W rejestracji'!$C$2545)</f>
        <v>0</v>
      </c>
      <c r="G2538" s="7">
        <f>IF(Zarejestrowane!$C$2545="","",Zarejestrowane!$C$2545)</f>
        <v>0</v>
      </c>
      <c r="H2538" s="9">
        <f>IF(AND($F2538&lt;&gt;"",ISNUMBER(SEARCH('Nr rejestracyjny'!$F$5,$F2538))),COUNT($H$1:H2537)+1,"")</f>
        <v>0</v>
      </c>
      <c r="I2538" s="9">
        <f>IF(AND($G2538&lt;&gt;"",ISNUMBER(SEARCH('Nr rejestracyjny'!$F$5,$G2538))),COUNT($I$1:I2537)+1,"")</f>
        <v>0</v>
      </c>
    </row>
    <row r="2539" spans="6:9">
      <c r="F2539" s="7">
        <f>IF('W rejestracji'!$C$2546="","",'W rejestracji'!$C$2546)</f>
        <v>0</v>
      </c>
      <c r="G2539" s="7">
        <f>IF(Zarejestrowane!$C$2546="","",Zarejestrowane!$C$2546)</f>
        <v>0</v>
      </c>
      <c r="H2539" s="9">
        <f>IF(AND($F2539&lt;&gt;"",ISNUMBER(SEARCH('Nr rejestracyjny'!$F$5,$F2539))),COUNT($H$1:H2538)+1,"")</f>
        <v>0</v>
      </c>
      <c r="I2539" s="9">
        <f>IF(AND($G2539&lt;&gt;"",ISNUMBER(SEARCH('Nr rejestracyjny'!$F$5,$G2539))),COUNT($I$1:I2538)+1,"")</f>
        <v>0</v>
      </c>
    </row>
    <row r="2540" spans="6:9">
      <c r="F2540" s="7">
        <f>IF('W rejestracji'!$C$2547="","",'W rejestracji'!$C$2547)</f>
        <v>0</v>
      </c>
      <c r="G2540" s="7">
        <f>IF(Zarejestrowane!$C$2547="","",Zarejestrowane!$C$2547)</f>
        <v>0</v>
      </c>
      <c r="H2540" s="9">
        <f>IF(AND($F2540&lt;&gt;"",ISNUMBER(SEARCH('Nr rejestracyjny'!$F$5,$F2540))),COUNT($H$1:H2539)+1,"")</f>
        <v>0</v>
      </c>
      <c r="I2540" s="9">
        <f>IF(AND($G2540&lt;&gt;"",ISNUMBER(SEARCH('Nr rejestracyjny'!$F$5,$G2540))),COUNT($I$1:I2539)+1,"")</f>
        <v>0</v>
      </c>
    </row>
    <row r="2541" spans="6:9">
      <c r="F2541" s="7">
        <f>IF('W rejestracji'!$C$2548="","",'W rejestracji'!$C$2548)</f>
        <v>0</v>
      </c>
      <c r="G2541" s="7">
        <f>IF(Zarejestrowane!$C$2548="","",Zarejestrowane!$C$2548)</f>
        <v>0</v>
      </c>
      <c r="H2541" s="9">
        <f>IF(AND($F2541&lt;&gt;"",ISNUMBER(SEARCH('Nr rejestracyjny'!$F$5,$F2541))),COUNT($H$1:H2540)+1,"")</f>
        <v>0</v>
      </c>
      <c r="I2541" s="9">
        <f>IF(AND($G2541&lt;&gt;"",ISNUMBER(SEARCH('Nr rejestracyjny'!$F$5,$G2541))),COUNT($I$1:I2540)+1,"")</f>
        <v>0</v>
      </c>
    </row>
    <row r="2542" spans="6:9">
      <c r="F2542" s="7">
        <f>IF('W rejestracji'!$C$2549="","",'W rejestracji'!$C$2549)</f>
        <v>0</v>
      </c>
      <c r="G2542" s="7">
        <f>IF(Zarejestrowane!$C$2549="","",Zarejestrowane!$C$2549)</f>
        <v>0</v>
      </c>
      <c r="H2542" s="9">
        <f>IF(AND($F2542&lt;&gt;"",ISNUMBER(SEARCH('Nr rejestracyjny'!$F$5,$F2542))),COUNT($H$1:H2541)+1,"")</f>
        <v>0</v>
      </c>
      <c r="I2542" s="9">
        <f>IF(AND($G2542&lt;&gt;"",ISNUMBER(SEARCH('Nr rejestracyjny'!$F$5,$G2542))),COUNT($I$1:I2541)+1,"")</f>
        <v>0</v>
      </c>
    </row>
    <row r="2543" spans="6:9">
      <c r="F2543" s="7">
        <f>IF('W rejestracji'!$C$2550="","",'W rejestracji'!$C$2550)</f>
        <v>0</v>
      </c>
      <c r="G2543" s="7">
        <f>IF(Zarejestrowane!$C$2550="","",Zarejestrowane!$C$2550)</f>
        <v>0</v>
      </c>
      <c r="H2543" s="9">
        <f>IF(AND($F2543&lt;&gt;"",ISNUMBER(SEARCH('Nr rejestracyjny'!$F$5,$F2543))),COUNT($H$1:H2542)+1,"")</f>
        <v>0</v>
      </c>
      <c r="I2543" s="9">
        <f>IF(AND($G2543&lt;&gt;"",ISNUMBER(SEARCH('Nr rejestracyjny'!$F$5,$G2543))),COUNT($I$1:I2542)+1,"")</f>
        <v>0</v>
      </c>
    </row>
    <row r="2544" spans="6:9">
      <c r="F2544" s="7">
        <f>IF('W rejestracji'!$C$2551="","",'W rejestracji'!$C$2551)</f>
        <v>0</v>
      </c>
      <c r="G2544" s="7">
        <f>IF(Zarejestrowane!$C$2551="","",Zarejestrowane!$C$2551)</f>
        <v>0</v>
      </c>
      <c r="H2544" s="9">
        <f>IF(AND($F2544&lt;&gt;"",ISNUMBER(SEARCH('Nr rejestracyjny'!$F$5,$F2544))),COUNT($H$1:H2543)+1,"")</f>
        <v>0</v>
      </c>
      <c r="I2544" s="9">
        <f>IF(AND($G2544&lt;&gt;"",ISNUMBER(SEARCH('Nr rejestracyjny'!$F$5,$G2544))),COUNT($I$1:I2543)+1,"")</f>
        <v>0</v>
      </c>
    </row>
    <row r="2545" spans="6:9">
      <c r="F2545" s="7">
        <f>IF('W rejestracji'!$C$2552="","",'W rejestracji'!$C$2552)</f>
        <v>0</v>
      </c>
      <c r="G2545" s="7">
        <f>IF(Zarejestrowane!$C$2552="","",Zarejestrowane!$C$2552)</f>
        <v>0</v>
      </c>
      <c r="H2545" s="9">
        <f>IF(AND($F2545&lt;&gt;"",ISNUMBER(SEARCH('Nr rejestracyjny'!$F$5,$F2545))),COUNT($H$1:H2544)+1,"")</f>
        <v>0</v>
      </c>
      <c r="I2545" s="9">
        <f>IF(AND($G2545&lt;&gt;"",ISNUMBER(SEARCH('Nr rejestracyjny'!$F$5,$G2545))),COUNT($I$1:I2544)+1,"")</f>
        <v>0</v>
      </c>
    </row>
    <row r="2546" spans="6:9">
      <c r="F2546" s="7">
        <f>IF('W rejestracji'!$C$2553="","",'W rejestracji'!$C$2553)</f>
        <v>0</v>
      </c>
      <c r="G2546" s="7">
        <f>IF(Zarejestrowane!$C$2553="","",Zarejestrowane!$C$2553)</f>
        <v>0</v>
      </c>
      <c r="H2546" s="9">
        <f>IF(AND($F2546&lt;&gt;"",ISNUMBER(SEARCH('Nr rejestracyjny'!$F$5,$F2546))),COUNT($H$1:H2545)+1,"")</f>
        <v>0</v>
      </c>
      <c r="I2546" s="9">
        <f>IF(AND($G2546&lt;&gt;"",ISNUMBER(SEARCH('Nr rejestracyjny'!$F$5,$G2546))),COUNT($I$1:I2545)+1,"")</f>
        <v>0</v>
      </c>
    </row>
    <row r="2547" spans="6:9">
      <c r="F2547" s="7">
        <f>IF('W rejestracji'!$C$2554="","",'W rejestracji'!$C$2554)</f>
        <v>0</v>
      </c>
      <c r="G2547" s="7">
        <f>IF(Zarejestrowane!$C$2554="","",Zarejestrowane!$C$2554)</f>
        <v>0</v>
      </c>
      <c r="H2547" s="9">
        <f>IF(AND($F2547&lt;&gt;"",ISNUMBER(SEARCH('Nr rejestracyjny'!$F$5,$F2547))),COUNT($H$1:H2546)+1,"")</f>
        <v>0</v>
      </c>
      <c r="I2547" s="9">
        <f>IF(AND($G2547&lt;&gt;"",ISNUMBER(SEARCH('Nr rejestracyjny'!$F$5,$G2547))),COUNT($I$1:I2546)+1,"")</f>
        <v>0</v>
      </c>
    </row>
    <row r="2548" spans="6:9">
      <c r="F2548" s="7">
        <f>IF('W rejestracji'!$C$2555="","",'W rejestracji'!$C$2555)</f>
        <v>0</v>
      </c>
      <c r="G2548" s="7">
        <f>IF(Zarejestrowane!$C$2555="","",Zarejestrowane!$C$2555)</f>
        <v>0</v>
      </c>
      <c r="H2548" s="9">
        <f>IF(AND($F2548&lt;&gt;"",ISNUMBER(SEARCH('Nr rejestracyjny'!$F$5,$F2548))),COUNT($H$1:H2547)+1,"")</f>
        <v>0</v>
      </c>
      <c r="I2548" s="9">
        <f>IF(AND($G2548&lt;&gt;"",ISNUMBER(SEARCH('Nr rejestracyjny'!$F$5,$G2548))),COUNT($I$1:I2547)+1,"")</f>
        <v>0</v>
      </c>
    </row>
    <row r="2549" spans="6:9">
      <c r="F2549" s="7">
        <f>IF('W rejestracji'!$C$2556="","",'W rejestracji'!$C$2556)</f>
        <v>0</v>
      </c>
      <c r="G2549" s="7">
        <f>IF(Zarejestrowane!$C$2556="","",Zarejestrowane!$C$2556)</f>
        <v>0</v>
      </c>
      <c r="H2549" s="9">
        <f>IF(AND($F2549&lt;&gt;"",ISNUMBER(SEARCH('Nr rejestracyjny'!$F$5,$F2549))),COUNT($H$1:H2548)+1,"")</f>
        <v>0</v>
      </c>
      <c r="I2549" s="9">
        <f>IF(AND($G2549&lt;&gt;"",ISNUMBER(SEARCH('Nr rejestracyjny'!$F$5,$G2549))),COUNT($I$1:I2548)+1,"")</f>
        <v>0</v>
      </c>
    </row>
    <row r="2550" spans="6:9">
      <c r="F2550" s="7">
        <f>IF('W rejestracji'!$C$2557="","",'W rejestracji'!$C$2557)</f>
        <v>0</v>
      </c>
      <c r="G2550" s="7">
        <f>IF(Zarejestrowane!$C$2557="","",Zarejestrowane!$C$2557)</f>
        <v>0</v>
      </c>
      <c r="H2550" s="9">
        <f>IF(AND($F2550&lt;&gt;"",ISNUMBER(SEARCH('Nr rejestracyjny'!$F$5,$F2550))),COUNT($H$1:H2549)+1,"")</f>
        <v>0</v>
      </c>
      <c r="I2550" s="9">
        <f>IF(AND($G2550&lt;&gt;"",ISNUMBER(SEARCH('Nr rejestracyjny'!$F$5,$G2550))),COUNT($I$1:I2549)+1,"")</f>
        <v>0</v>
      </c>
    </row>
    <row r="2551" spans="6:9">
      <c r="F2551" s="7">
        <f>IF('W rejestracji'!$C$2558="","",'W rejestracji'!$C$2558)</f>
        <v>0</v>
      </c>
      <c r="G2551" s="7">
        <f>IF(Zarejestrowane!$C$2558="","",Zarejestrowane!$C$2558)</f>
        <v>0</v>
      </c>
      <c r="H2551" s="9">
        <f>IF(AND($F2551&lt;&gt;"",ISNUMBER(SEARCH('Nr rejestracyjny'!$F$5,$F2551))),COUNT($H$1:H2550)+1,"")</f>
        <v>0</v>
      </c>
      <c r="I2551" s="9">
        <f>IF(AND($G2551&lt;&gt;"",ISNUMBER(SEARCH('Nr rejestracyjny'!$F$5,$G2551))),COUNT($I$1:I2550)+1,"")</f>
        <v>0</v>
      </c>
    </row>
    <row r="2552" spans="6:9">
      <c r="F2552" s="7">
        <f>IF('W rejestracji'!$C$2559="","",'W rejestracji'!$C$2559)</f>
        <v>0</v>
      </c>
      <c r="G2552" s="7">
        <f>IF(Zarejestrowane!$C$2559="","",Zarejestrowane!$C$2559)</f>
        <v>0</v>
      </c>
      <c r="H2552" s="9">
        <f>IF(AND($F2552&lt;&gt;"",ISNUMBER(SEARCH('Nr rejestracyjny'!$F$5,$F2552))),COUNT($H$1:H2551)+1,"")</f>
        <v>0</v>
      </c>
      <c r="I2552" s="9">
        <f>IF(AND($G2552&lt;&gt;"",ISNUMBER(SEARCH('Nr rejestracyjny'!$F$5,$G2552))),COUNT($I$1:I2551)+1,"")</f>
        <v>0</v>
      </c>
    </row>
    <row r="2553" spans="6:9">
      <c r="F2553" s="7">
        <f>IF('W rejestracji'!$C$2560="","",'W rejestracji'!$C$2560)</f>
        <v>0</v>
      </c>
      <c r="G2553" s="7">
        <f>IF(Zarejestrowane!$C$2560="","",Zarejestrowane!$C$2560)</f>
        <v>0</v>
      </c>
      <c r="H2553" s="9">
        <f>IF(AND($F2553&lt;&gt;"",ISNUMBER(SEARCH('Nr rejestracyjny'!$F$5,$F2553))),COUNT($H$1:H2552)+1,"")</f>
        <v>0</v>
      </c>
      <c r="I2553" s="9">
        <f>IF(AND($G2553&lt;&gt;"",ISNUMBER(SEARCH('Nr rejestracyjny'!$F$5,$G2553))),COUNT($I$1:I2552)+1,"")</f>
        <v>0</v>
      </c>
    </row>
    <row r="2554" spans="6:9">
      <c r="F2554" s="7">
        <f>IF('W rejestracji'!$C$2561="","",'W rejestracji'!$C$2561)</f>
        <v>0</v>
      </c>
      <c r="G2554" s="7">
        <f>IF(Zarejestrowane!$C$2561="","",Zarejestrowane!$C$2561)</f>
        <v>0</v>
      </c>
      <c r="H2554" s="9">
        <f>IF(AND($F2554&lt;&gt;"",ISNUMBER(SEARCH('Nr rejestracyjny'!$F$5,$F2554))),COUNT($H$1:H2553)+1,"")</f>
        <v>0</v>
      </c>
      <c r="I2554" s="9">
        <f>IF(AND($G2554&lt;&gt;"",ISNUMBER(SEARCH('Nr rejestracyjny'!$F$5,$G2554))),COUNT($I$1:I2553)+1,"")</f>
        <v>0</v>
      </c>
    </row>
    <row r="2555" spans="6:9">
      <c r="F2555" s="7">
        <f>IF('W rejestracji'!$C$2562="","",'W rejestracji'!$C$2562)</f>
        <v>0</v>
      </c>
      <c r="G2555" s="7">
        <f>IF(Zarejestrowane!$C$2562="","",Zarejestrowane!$C$2562)</f>
        <v>0</v>
      </c>
      <c r="H2555" s="9">
        <f>IF(AND($F2555&lt;&gt;"",ISNUMBER(SEARCH('Nr rejestracyjny'!$F$5,$F2555))),COUNT($H$1:H2554)+1,"")</f>
        <v>0</v>
      </c>
      <c r="I2555" s="9">
        <f>IF(AND($G2555&lt;&gt;"",ISNUMBER(SEARCH('Nr rejestracyjny'!$F$5,$G2555))),COUNT($I$1:I2554)+1,"")</f>
        <v>0</v>
      </c>
    </row>
    <row r="2556" spans="6:9">
      <c r="F2556" s="7">
        <f>IF('W rejestracji'!$C$2563="","",'W rejestracji'!$C$2563)</f>
        <v>0</v>
      </c>
      <c r="G2556" s="7">
        <f>IF(Zarejestrowane!$C$2563="","",Zarejestrowane!$C$2563)</f>
        <v>0</v>
      </c>
      <c r="H2556" s="9">
        <f>IF(AND($F2556&lt;&gt;"",ISNUMBER(SEARCH('Nr rejestracyjny'!$F$5,$F2556))),COUNT($H$1:H2555)+1,"")</f>
        <v>0</v>
      </c>
      <c r="I2556" s="9">
        <f>IF(AND($G2556&lt;&gt;"",ISNUMBER(SEARCH('Nr rejestracyjny'!$F$5,$G2556))),COUNT($I$1:I2555)+1,"")</f>
        <v>0</v>
      </c>
    </row>
    <row r="2557" spans="6:9">
      <c r="F2557" s="7">
        <f>IF('W rejestracji'!$C$2564="","",'W rejestracji'!$C$2564)</f>
        <v>0</v>
      </c>
      <c r="G2557" s="7">
        <f>IF(Zarejestrowane!$C$2564="","",Zarejestrowane!$C$2564)</f>
        <v>0</v>
      </c>
      <c r="H2557" s="9">
        <f>IF(AND($F2557&lt;&gt;"",ISNUMBER(SEARCH('Nr rejestracyjny'!$F$5,$F2557))),COUNT($H$1:H2556)+1,"")</f>
        <v>0</v>
      </c>
      <c r="I2557" s="9">
        <f>IF(AND($G2557&lt;&gt;"",ISNUMBER(SEARCH('Nr rejestracyjny'!$F$5,$G2557))),COUNT($I$1:I2556)+1,"")</f>
        <v>0</v>
      </c>
    </row>
    <row r="2558" spans="6:9">
      <c r="F2558" s="7">
        <f>IF('W rejestracji'!$C$2565="","",'W rejestracji'!$C$2565)</f>
        <v>0</v>
      </c>
      <c r="G2558" s="7">
        <f>IF(Zarejestrowane!$C$2565="","",Zarejestrowane!$C$2565)</f>
        <v>0</v>
      </c>
      <c r="H2558" s="9">
        <f>IF(AND($F2558&lt;&gt;"",ISNUMBER(SEARCH('Nr rejestracyjny'!$F$5,$F2558))),COUNT($H$1:H2557)+1,"")</f>
        <v>0</v>
      </c>
      <c r="I2558" s="9">
        <f>IF(AND($G2558&lt;&gt;"",ISNUMBER(SEARCH('Nr rejestracyjny'!$F$5,$G2558))),COUNT($I$1:I2557)+1,"")</f>
        <v>0</v>
      </c>
    </row>
    <row r="2559" spans="6:9">
      <c r="F2559" s="7">
        <f>IF('W rejestracji'!$C$2566="","",'W rejestracji'!$C$2566)</f>
        <v>0</v>
      </c>
      <c r="G2559" s="7">
        <f>IF(Zarejestrowane!$C$2566="","",Zarejestrowane!$C$2566)</f>
        <v>0</v>
      </c>
      <c r="H2559" s="9">
        <f>IF(AND($F2559&lt;&gt;"",ISNUMBER(SEARCH('Nr rejestracyjny'!$F$5,$F2559))),COUNT($H$1:H2558)+1,"")</f>
        <v>0</v>
      </c>
      <c r="I2559" s="9">
        <f>IF(AND($G2559&lt;&gt;"",ISNUMBER(SEARCH('Nr rejestracyjny'!$F$5,$G2559))),COUNT($I$1:I2558)+1,"")</f>
        <v>0</v>
      </c>
    </row>
    <row r="2560" spans="6:9">
      <c r="F2560" s="7">
        <f>IF('W rejestracji'!$C$2567="","",'W rejestracji'!$C$2567)</f>
        <v>0</v>
      </c>
      <c r="G2560" s="7">
        <f>IF(Zarejestrowane!$C$2567="","",Zarejestrowane!$C$2567)</f>
        <v>0</v>
      </c>
      <c r="H2560" s="9">
        <f>IF(AND($F2560&lt;&gt;"",ISNUMBER(SEARCH('Nr rejestracyjny'!$F$5,$F2560))),COUNT($H$1:H2559)+1,"")</f>
        <v>0</v>
      </c>
      <c r="I2560" s="9">
        <f>IF(AND($G2560&lt;&gt;"",ISNUMBER(SEARCH('Nr rejestracyjny'!$F$5,$G2560))),COUNT($I$1:I2559)+1,"")</f>
        <v>0</v>
      </c>
    </row>
    <row r="2561" spans="6:9">
      <c r="F2561" s="7">
        <f>IF('W rejestracji'!$C$2568="","",'W rejestracji'!$C$2568)</f>
        <v>0</v>
      </c>
      <c r="G2561" s="7">
        <f>IF(Zarejestrowane!$C$2568="","",Zarejestrowane!$C$2568)</f>
        <v>0</v>
      </c>
      <c r="H2561" s="9">
        <f>IF(AND($F2561&lt;&gt;"",ISNUMBER(SEARCH('Nr rejestracyjny'!$F$5,$F2561))),COUNT($H$1:H2560)+1,"")</f>
        <v>0</v>
      </c>
      <c r="I2561" s="9">
        <f>IF(AND($G2561&lt;&gt;"",ISNUMBER(SEARCH('Nr rejestracyjny'!$F$5,$G2561))),COUNT($I$1:I2560)+1,"")</f>
        <v>0</v>
      </c>
    </row>
    <row r="2562" spans="6:9">
      <c r="F2562" s="7">
        <f>IF('W rejestracji'!$C$2569="","",'W rejestracji'!$C$2569)</f>
        <v>0</v>
      </c>
      <c r="G2562" s="7">
        <f>IF(Zarejestrowane!$C$2569="","",Zarejestrowane!$C$2569)</f>
        <v>0</v>
      </c>
      <c r="H2562" s="9">
        <f>IF(AND($F2562&lt;&gt;"",ISNUMBER(SEARCH('Nr rejestracyjny'!$F$5,$F2562))),COUNT($H$1:H2561)+1,"")</f>
        <v>0</v>
      </c>
      <c r="I2562" s="9">
        <f>IF(AND($G2562&lt;&gt;"",ISNUMBER(SEARCH('Nr rejestracyjny'!$F$5,$G2562))),COUNT($I$1:I2561)+1,"")</f>
        <v>0</v>
      </c>
    </row>
    <row r="2563" spans="6:9">
      <c r="F2563" s="7">
        <f>IF('W rejestracji'!$C$2570="","",'W rejestracji'!$C$2570)</f>
        <v>0</v>
      </c>
      <c r="G2563" s="7">
        <f>IF(Zarejestrowane!$C$2570="","",Zarejestrowane!$C$2570)</f>
        <v>0</v>
      </c>
      <c r="H2563" s="9">
        <f>IF(AND($F2563&lt;&gt;"",ISNUMBER(SEARCH('Nr rejestracyjny'!$F$5,$F2563))),COUNT($H$1:H2562)+1,"")</f>
        <v>0</v>
      </c>
      <c r="I2563" s="9">
        <f>IF(AND($G2563&lt;&gt;"",ISNUMBER(SEARCH('Nr rejestracyjny'!$F$5,$G2563))),COUNT($I$1:I2562)+1,"")</f>
        <v>0</v>
      </c>
    </row>
    <row r="2564" spans="6:9">
      <c r="F2564" s="7">
        <f>IF('W rejestracji'!$C$2571="","",'W rejestracji'!$C$2571)</f>
        <v>0</v>
      </c>
      <c r="G2564" s="7">
        <f>IF(Zarejestrowane!$C$2571="","",Zarejestrowane!$C$2571)</f>
        <v>0</v>
      </c>
      <c r="H2564" s="9">
        <f>IF(AND($F2564&lt;&gt;"",ISNUMBER(SEARCH('Nr rejestracyjny'!$F$5,$F2564))),COUNT($H$1:H2563)+1,"")</f>
        <v>0</v>
      </c>
      <c r="I2564" s="9">
        <f>IF(AND($G2564&lt;&gt;"",ISNUMBER(SEARCH('Nr rejestracyjny'!$F$5,$G2564))),COUNT($I$1:I2563)+1,"")</f>
        <v>0</v>
      </c>
    </row>
    <row r="2565" spans="6:9">
      <c r="F2565" s="7">
        <f>IF('W rejestracji'!$C$2572="","",'W rejestracji'!$C$2572)</f>
        <v>0</v>
      </c>
      <c r="G2565" s="7">
        <f>IF(Zarejestrowane!$C$2572="","",Zarejestrowane!$C$2572)</f>
        <v>0</v>
      </c>
      <c r="H2565" s="9">
        <f>IF(AND($F2565&lt;&gt;"",ISNUMBER(SEARCH('Nr rejestracyjny'!$F$5,$F2565))),COUNT($H$1:H2564)+1,"")</f>
        <v>0</v>
      </c>
      <c r="I2565" s="9">
        <f>IF(AND($G2565&lt;&gt;"",ISNUMBER(SEARCH('Nr rejestracyjny'!$F$5,$G2565))),COUNT($I$1:I2564)+1,"")</f>
        <v>0</v>
      </c>
    </row>
    <row r="2566" spans="6:9">
      <c r="F2566" s="7">
        <f>IF('W rejestracji'!$C$2573="","",'W rejestracji'!$C$2573)</f>
        <v>0</v>
      </c>
      <c r="G2566" s="7">
        <f>IF(Zarejestrowane!$C$2573="","",Zarejestrowane!$C$2573)</f>
        <v>0</v>
      </c>
      <c r="H2566" s="9">
        <f>IF(AND($F2566&lt;&gt;"",ISNUMBER(SEARCH('Nr rejestracyjny'!$F$5,$F2566))),COUNT($H$1:H2565)+1,"")</f>
        <v>0</v>
      </c>
      <c r="I2566" s="9">
        <f>IF(AND($G2566&lt;&gt;"",ISNUMBER(SEARCH('Nr rejestracyjny'!$F$5,$G2566))),COUNT($I$1:I2565)+1,"")</f>
        <v>0</v>
      </c>
    </row>
    <row r="2567" spans="6:9">
      <c r="F2567" s="7">
        <f>IF('W rejestracji'!$C$2574="","",'W rejestracji'!$C$2574)</f>
        <v>0</v>
      </c>
      <c r="G2567" s="7">
        <f>IF(Zarejestrowane!$C$2574="","",Zarejestrowane!$C$2574)</f>
        <v>0</v>
      </c>
      <c r="H2567" s="9">
        <f>IF(AND($F2567&lt;&gt;"",ISNUMBER(SEARCH('Nr rejestracyjny'!$F$5,$F2567))),COUNT($H$1:H2566)+1,"")</f>
        <v>0</v>
      </c>
      <c r="I2567" s="9">
        <f>IF(AND($G2567&lt;&gt;"",ISNUMBER(SEARCH('Nr rejestracyjny'!$F$5,$G2567))),COUNT($I$1:I2566)+1,"")</f>
        <v>0</v>
      </c>
    </row>
    <row r="2568" spans="6:9">
      <c r="F2568" s="7">
        <f>IF('W rejestracji'!$C$2575="","",'W rejestracji'!$C$2575)</f>
        <v>0</v>
      </c>
      <c r="G2568" s="7">
        <f>IF(Zarejestrowane!$C$2575="","",Zarejestrowane!$C$2575)</f>
        <v>0</v>
      </c>
      <c r="H2568" s="9">
        <f>IF(AND($F2568&lt;&gt;"",ISNUMBER(SEARCH('Nr rejestracyjny'!$F$5,$F2568))),COUNT($H$1:H2567)+1,"")</f>
        <v>0</v>
      </c>
      <c r="I2568" s="9">
        <f>IF(AND($G2568&lt;&gt;"",ISNUMBER(SEARCH('Nr rejestracyjny'!$F$5,$G2568))),COUNT($I$1:I2567)+1,"")</f>
        <v>0</v>
      </c>
    </row>
    <row r="2569" spans="6:9">
      <c r="F2569" s="7">
        <f>IF('W rejestracji'!$C$2576="","",'W rejestracji'!$C$2576)</f>
        <v>0</v>
      </c>
      <c r="G2569" s="7">
        <f>IF(Zarejestrowane!$C$2576="","",Zarejestrowane!$C$2576)</f>
        <v>0</v>
      </c>
      <c r="H2569" s="9">
        <f>IF(AND($F2569&lt;&gt;"",ISNUMBER(SEARCH('Nr rejestracyjny'!$F$5,$F2569))),COUNT($H$1:H2568)+1,"")</f>
        <v>0</v>
      </c>
      <c r="I2569" s="9">
        <f>IF(AND($G2569&lt;&gt;"",ISNUMBER(SEARCH('Nr rejestracyjny'!$F$5,$G2569))),COUNT($I$1:I2568)+1,"")</f>
        <v>0</v>
      </c>
    </row>
    <row r="2570" spans="6:9">
      <c r="F2570" s="7">
        <f>IF('W rejestracji'!$C$2577="","",'W rejestracji'!$C$2577)</f>
        <v>0</v>
      </c>
      <c r="G2570" s="7">
        <f>IF(Zarejestrowane!$C$2577="","",Zarejestrowane!$C$2577)</f>
        <v>0</v>
      </c>
      <c r="H2570" s="9">
        <f>IF(AND($F2570&lt;&gt;"",ISNUMBER(SEARCH('Nr rejestracyjny'!$F$5,$F2570))),COUNT($H$1:H2569)+1,"")</f>
        <v>0</v>
      </c>
      <c r="I2570" s="9">
        <f>IF(AND($G2570&lt;&gt;"",ISNUMBER(SEARCH('Nr rejestracyjny'!$F$5,$G2570))),COUNT($I$1:I2569)+1,"")</f>
        <v>0</v>
      </c>
    </row>
    <row r="2571" spans="6:9">
      <c r="F2571" s="7">
        <f>IF('W rejestracji'!$C$2578="","",'W rejestracji'!$C$2578)</f>
        <v>0</v>
      </c>
      <c r="G2571" s="7">
        <f>IF(Zarejestrowane!$C$2578="","",Zarejestrowane!$C$2578)</f>
        <v>0</v>
      </c>
      <c r="H2571" s="9">
        <f>IF(AND($F2571&lt;&gt;"",ISNUMBER(SEARCH('Nr rejestracyjny'!$F$5,$F2571))),COUNT($H$1:H2570)+1,"")</f>
        <v>0</v>
      </c>
      <c r="I2571" s="9">
        <f>IF(AND($G2571&lt;&gt;"",ISNUMBER(SEARCH('Nr rejestracyjny'!$F$5,$G2571))),COUNT($I$1:I2570)+1,"")</f>
        <v>0</v>
      </c>
    </row>
    <row r="2572" spans="6:9">
      <c r="F2572" s="7">
        <f>IF('W rejestracji'!$C$2579="","",'W rejestracji'!$C$2579)</f>
        <v>0</v>
      </c>
      <c r="G2572" s="7">
        <f>IF(Zarejestrowane!$C$2579="","",Zarejestrowane!$C$2579)</f>
        <v>0</v>
      </c>
      <c r="H2572" s="9">
        <f>IF(AND($F2572&lt;&gt;"",ISNUMBER(SEARCH('Nr rejestracyjny'!$F$5,$F2572))),COUNT($H$1:H2571)+1,"")</f>
        <v>0</v>
      </c>
      <c r="I2572" s="9">
        <f>IF(AND($G2572&lt;&gt;"",ISNUMBER(SEARCH('Nr rejestracyjny'!$F$5,$G2572))),COUNT($I$1:I2571)+1,"")</f>
        <v>0</v>
      </c>
    </row>
    <row r="2573" spans="6:9">
      <c r="F2573" s="7">
        <f>IF('W rejestracji'!$C$2580="","",'W rejestracji'!$C$2580)</f>
        <v>0</v>
      </c>
      <c r="G2573" s="7">
        <f>IF(Zarejestrowane!$C$2580="","",Zarejestrowane!$C$2580)</f>
        <v>0</v>
      </c>
      <c r="H2573" s="9">
        <f>IF(AND($F2573&lt;&gt;"",ISNUMBER(SEARCH('Nr rejestracyjny'!$F$5,$F2573))),COUNT($H$1:H2572)+1,"")</f>
        <v>0</v>
      </c>
      <c r="I2573" s="9">
        <f>IF(AND($G2573&lt;&gt;"",ISNUMBER(SEARCH('Nr rejestracyjny'!$F$5,$G2573))),COUNT($I$1:I2572)+1,"")</f>
        <v>0</v>
      </c>
    </row>
    <row r="2574" spans="6:9">
      <c r="F2574" s="7">
        <f>IF('W rejestracji'!$C$2581="","",'W rejestracji'!$C$2581)</f>
        <v>0</v>
      </c>
      <c r="G2574" s="7">
        <f>IF(Zarejestrowane!$C$2581="","",Zarejestrowane!$C$2581)</f>
        <v>0</v>
      </c>
      <c r="H2574" s="9">
        <f>IF(AND($F2574&lt;&gt;"",ISNUMBER(SEARCH('Nr rejestracyjny'!$F$5,$F2574))),COUNT($H$1:H2573)+1,"")</f>
        <v>0</v>
      </c>
      <c r="I2574" s="9">
        <f>IF(AND($G2574&lt;&gt;"",ISNUMBER(SEARCH('Nr rejestracyjny'!$F$5,$G2574))),COUNT($I$1:I2573)+1,"")</f>
        <v>0</v>
      </c>
    </row>
    <row r="2575" spans="6:9">
      <c r="F2575" s="7">
        <f>IF('W rejestracji'!$C$2582="","",'W rejestracji'!$C$2582)</f>
        <v>0</v>
      </c>
      <c r="G2575" s="7">
        <f>IF(Zarejestrowane!$C$2582="","",Zarejestrowane!$C$2582)</f>
        <v>0</v>
      </c>
      <c r="H2575" s="9">
        <f>IF(AND($F2575&lt;&gt;"",ISNUMBER(SEARCH('Nr rejestracyjny'!$F$5,$F2575))),COUNT($H$1:H2574)+1,"")</f>
        <v>0</v>
      </c>
      <c r="I2575" s="9">
        <f>IF(AND($G2575&lt;&gt;"",ISNUMBER(SEARCH('Nr rejestracyjny'!$F$5,$G2575))),COUNT($I$1:I2574)+1,"")</f>
        <v>0</v>
      </c>
    </row>
    <row r="2576" spans="6:9">
      <c r="F2576" s="7">
        <f>IF('W rejestracji'!$C$2583="","",'W rejestracji'!$C$2583)</f>
        <v>0</v>
      </c>
      <c r="G2576" s="7">
        <f>IF(Zarejestrowane!$C$2583="","",Zarejestrowane!$C$2583)</f>
        <v>0</v>
      </c>
      <c r="H2576" s="9">
        <f>IF(AND($F2576&lt;&gt;"",ISNUMBER(SEARCH('Nr rejestracyjny'!$F$5,$F2576))),COUNT($H$1:H2575)+1,"")</f>
        <v>0</v>
      </c>
      <c r="I2576" s="9">
        <f>IF(AND($G2576&lt;&gt;"",ISNUMBER(SEARCH('Nr rejestracyjny'!$F$5,$G2576))),COUNT($I$1:I2575)+1,"")</f>
        <v>0</v>
      </c>
    </row>
    <row r="2577" spans="6:9">
      <c r="F2577" s="7">
        <f>IF('W rejestracji'!$C$2584="","",'W rejestracji'!$C$2584)</f>
        <v>0</v>
      </c>
      <c r="G2577" s="7">
        <f>IF(Zarejestrowane!$C$2584="","",Zarejestrowane!$C$2584)</f>
        <v>0</v>
      </c>
      <c r="H2577" s="9">
        <f>IF(AND($F2577&lt;&gt;"",ISNUMBER(SEARCH('Nr rejestracyjny'!$F$5,$F2577))),COUNT($H$1:H2576)+1,"")</f>
        <v>0</v>
      </c>
      <c r="I2577" s="9">
        <f>IF(AND($G2577&lt;&gt;"",ISNUMBER(SEARCH('Nr rejestracyjny'!$F$5,$G2577))),COUNT($I$1:I2576)+1,"")</f>
        <v>0</v>
      </c>
    </row>
    <row r="2578" spans="6:9">
      <c r="F2578" s="7">
        <f>IF('W rejestracji'!$C$2585="","",'W rejestracji'!$C$2585)</f>
        <v>0</v>
      </c>
      <c r="G2578" s="7">
        <f>IF(Zarejestrowane!$C$2585="","",Zarejestrowane!$C$2585)</f>
        <v>0</v>
      </c>
      <c r="H2578" s="9">
        <f>IF(AND($F2578&lt;&gt;"",ISNUMBER(SEARCH('Nr rejestracyjny'!$F$5,$F2578))),COUNT($H$1:H2577)+1,"")</f>
        <v>0</v>
      </c>
      <c r="I2578" s="9">
        <f>IF(AND($G2578&lt;&gt;"",ISNUMBER(SEARCH('Nr rejestracyjny'!$F$5,$G2578))),COUNT($I$1:I2577)+1,"")</f>
        <v>0</v>
      </c>
    </row>
    <row r="2579" spans="6:9">
      <c r="F2579" s="7">
        <f>IF('W rejestracji'!$C$2586="","",'W rejestracji'!$C$2586)</f>
        <v>0</v>
      </c>
      <c r="G2579" s="7">
        <f>IF(Zarejestrowane!$C$2586="","",Zarejestrowane!$C$2586)</f>
        <v>0</v>
      </c>
      <c r="H2579" s="9">
        <f>IF(AND($F2579&lt;&gt;"",ISNUMBER(SEARCH('Nr rejestracyjny'!$F$5,$F2579))),COUNT($H$1:H2578)+1,"")</f>
        <v>0</v>
      </c>
      <c r="I2579" s="9">
        <f>IF(AND($G2579&lt;&gt;"",ISNUMBER(SEARCH('Nr rejestracyjny'!$F$5,$G2579))),COUNT($I$1:I2578)+1,"")</f>
        <v>0</v>
      </c>
    </row>
    <row r="2580" spans="6:9">
      <c r="F2580" s="7">
        <f>IF('W rejestracji'!$C$2587="","",'W rejestracji'!$C$2587)</f>
        <v>0</v>
      </c>
      <c r="G2580" s="7">
        <f>IF(Zarejestrowane!$C$2587="","",Zarejestrowane!$C$2587)</f>
        <v>0</v>
      </c>
      <c r="H2580" s="9">
        <f>IF(AND($F2580&lt;&gt;"",ISNUMBER(SEARCH('Nr rejestracyjny'!$F$5,$F2580))),COUNT($H$1:H2579)+1,"")</f>
        <v>0</v>
      </c>
      <c r="I2580" s="9">
        <f>IF(AND($G2580&lt;&gt;"",ISNUMBER(SEARCH('Nr rejestracyjny'!$F$5,$G2580))),COUNT($I$1:I2579)+1,"")</f>
        <v>0</v>
      </c>
    </row>
    <row r="2581" spans="6:9">
      <c r="F2581" s="7">
        <f>IF('W rejestracji'!$C$2588="","",'W rejestracji'!$C$2588)</f>
        <v>0</v>
      </c>
      <c r="G2581" s="7">
        <f>IF(Zarejestrowane!$C$2588="","",Zarejestrowane!$C$2588)</f>
        <v>0</v>
      </c>
      <c r="H2581" s="9">
        <f>IF(AND($F2581&lt;&gt;"",ISNUMBER(SEARCH('Nr rejestracyjny'!$F$5,$F2581))),COUNT($H$1:H2580)+1,"")</f>
        <v>0</v>
      </c>
      <c r="I2581" s="9">
        <f>IF(AND($G2581&lt;&gt;"",ISNUMBER(SEARCH('Nr rejestracyjny'!$F$5,$G2581))),COUNT($I$1:I2580)+1,"")</f>
        <v>0</v>
      </c>
    </row>
    <row r="2582" spans="6:9">
      <c r="F2582" s="7">
        <f>IF('W rejestracji'!$C$2589="","",'W rejestracji'!$C$2589)</f>
        <v>0</v>
      </c>
      <c r="G2582" s="7">
        <f>IF(Zarejestrowane!$C$2589="","",Zarejestrowane!$C$2589)</f>
        <v>0</v>
      </c>
      <c r="H2582" s="9">
        <f>IF(AND($F2582&lt;&gt;"",ISNUMBER(SEARCH('Nr rejestracyjny'!$F$5,$F2582))),COUNT($H$1:H2581)+1,"")</f>
        <v>0</v>
      </c>
      <c r="I2582" s="9">
        <f>IF(AND($G2582&lt;&gt;"",ISNUMBER(SEARCH('Nr rejestracyjny'!$F$5,$G2582))),COUNT($I$1:I2581)+1,"")</f>
        <v>0</v>
      </c>
    </row>
    <row r="2583" spans="6:9">
      <c r="F2583" s="7">
        <f>IF('W rejestracji'!$C$2590="","",'W rejestracji'!$C$2590)</f>
        <v>0</v>
      </c>
      <c r="G2583" s="7">
        <f>IF(Zarejestrowane!$C$2590="","",Zarejestrowane!$C$2590)</f>
        <v>0</v>
      </c>
      <c r="H2583" s="9">
        <f>IF(AND($F2583&lt;&gt;"",ISNUMBER(SEARCH('Nr rejestracyjny'!$F$5,$F2583))),COUNT($H$1:H2582)+1,"")</f>
        <v>0</v>
      </c>
      <c r="I2583" s="9">
        <f>IF(AND($G2583&lt;&gt;"",ISNUMBER(SEARCH('Nr rejestracyjny'!$F$5,$G2583))),COUNT($I$1:I2582)+1,"")</f>
        <v>0</v>
      </c>
    </row>
    <row r="2584" spans="6:9">
      <c r="F2584" s="7">
        <f>IF('W rejestracji'!$C$2591="","",'W rejestracji'!$C$2591)</f>
        <v>0</v>
      </c>
      <c r="G2584" s="7">
        <f>IF(Zarejestrowane!$C$2591="","",Zarejestrowane!$C$2591)</f>
        <v>0</v>
      </c>
      <c r="H2584" s="9">
        <f>IF(AND($F2584&lt;&gt;"",ISNUMBER(SEARCH('Nr rejestracyjny'!$F$5,$F2584))),COUNT($H$1:H2583)+1,"")</f>
        <v>0</v>
      </c>
      <c r="I2584" s="9">
        <f>IF(AND($G2584&lt;&gt;"",ISNUMBER(SEARCH('Nr rejestracyjny'!$F$5,$G2584))),COUNT($I$1:I2583)+1,"")</f>
        <v>0</v>
      </c>
    </row>
    <row r="2585" spans="6:9">
      <c r="F2585" s="7">
        <f>IF('W rejestracji'!$C$2592="","",'W rejestracji'!$C$2592)</f>
        <v>0</v>
      </c>
      <c r="G2585" s="7">
        <f>IF(Zarejestrowane!$C$2592="","",Zarejestrowane!$C$2592)</f>
        <v>0</v>
      </c>
      <c r="H2585" s="9">
        <f>IF(AND($F2585&lt;&gt;"",ISNUMBER(SEARCH('Nr rejestracyjny'!$F$5,$F2585))),COUNT($H$1:H2584)+1,"")</f>
        <v>0</v>
      </c>
      <c r="I2585" s="9">
        <f>IF(AND($G2585&lt;&gt;"",ISNUMBER(SEARCH('Nr rejestracyjny'!$F$5,$G2585))),COUNT($I$1:I2584)+1,"")</f>
        <v>0</v>
      </c>
    </row>
    <row r="2586" spans="6:9">
      <c r="F2586" s="7">
        <f>IF('W rejestracji'!$C$2593="","",'W rejestracji'!$C$2593)</f>
        <v>0</v>
      </c>
      <c r="G2586" s="7">
        <f>IF(Zarejestrowane!$C$2593="","",Zarejestrowane!$C$2593)</f>
        <v>0</v>
      </c>
      <c r="H2586" s="9">
        <f>IF(AND($F2586&lt;&gt;"",ISNUMBER(SEARCH('Nr rejestracyjny'!$F$5,$F2586))),COUNT($H$1:H2585)+1,"")</f>
        <v>0</v>
      </c>
      <c r="I2586" s="9">
        <f>IF(AND($G2586&lt;&gt;"",ISNUMBER(SEARCH('Nr rejestracyjny'!$F$5,$G2586))),COUNT($I$1:I2585)+1,"")</f>
        <v>0</v>
      </c>
    </row>
    <row r="2587" spans="6:9">
      <c r="F2587" s="7">
        <f>IF('W rejestracji'!$C$2594="","",'W rejestracji'!$C$2594)</f>
        <v>0</v>
      </c>
      <c r="G2587" s="7">
        <f>IF(Zarejestrowane!$C$2594="","",Zarejestrowane!$C$2594)</f>
        <v>0</v>
      </c>
      <c r="H2587" s="9">
        <f>IF(AND($F2587&lt;&gt;"",ISNUMBER(SEARCH('Nr rejestracyjny'!$F$5,$F2587))),COUNT($H$1:H2586)+1,"")</f>
        <v>0</v>
      </c>
      <c r="I2587" s="9">
        <f>IF(AND($G2587&lt;&gt;"",ISNUMBER(SEARCH('Nr rejestracyjny'!$F$5,$G2587))),COUNT($I$1:I2586)+1,"")</f>
        <v>0</v>
      </c>
    </row>
    <row r="2588" spans="6:9">
      <c r="F2588" s="7">
        <f>IF('W rejestracji'!$C$2595="","",'W rejestracji'!$C$2595)</f>
        <v>0</v>
      </c>
      <c r="G2588" s="7">
        <f>IF(Zarejestrowane!$C$2595="","",Zarejestrowane!$C$2595)</f>
        <v>0</v>
      </c>
      <c r="H2588" s="9">
        <f>IF(AND($F2588&lt;&gt;"",ISNUMBER(SEARCH('Nr rejestracyjny'!$F$5,$F2588))),COUNT($H$1:H2587)+1,"")</f>
        <v>0</v>
      </c>
      <c r="I2588" s="9">
        <f>IF(AND($G2588&lt;&gt;"",ISNUMBER(SEARCH('Nr rejestracyjny'!$F$5,$G2588))),COUNT($I$1:I2587)+1,"")</f>
        <v>0</v>
      </c>
    </row>
    <row r="2589" spans="6:9">
      <c r="F2589" s="7">
        <f>IF('W rejestracji'!$C$2596="","",'W rejestracji'!$C$2596)</f>
        <v>0</v>
      </c>
      <c r="G2589" s="7">
        <f>IF(Zarejestrowane!$C$2596="","",Zarejestrowane!$C$2596)</f>
        <v>0</v>
      </c>
      <c r="H2589" s="9">
        <f>IF(AND($F2589&lt;&gt;"",ISNUMBER(SEARCH('Nr rejestracyjny'!$F$5,$F2589))),COUNT($H$1:H2588)+1,"")</f>
        <v>0</v>
      </c>
      <c r="I2589" s="9">
        <f>IF(AND($G2589&lt;&gt;"",ISNUMBER(SEARCH('Nr rejestracyjny'!$F$5,$G2589))),COUNT($I$1:I2588)+1,"")</f>
        <v>0</v>
      </c>
    </row>
    <row r="2590" spans="6:9">
      <c r="F2590" s="7">
        <f>IF('W rejestracji'!$C$2597="","",'W rejestracji'!$C$2597)</f>
        <v>0</v>
      </c>
      <c r="G2590" s="7">
        <f>IF(Zarejestrowane!$C$2597="","",Zarejestrowane!$C$2597)</f>
        <v>0</v>
      </c>
      <c r="H2590" s="9">
        <f>IF(AND($F2590&lt;&gt;"",ISNUMBER(SEARCH('Nr rejestracyjny'!$F$5,$F2590))),COUNT($H$1:H2589)+1,"")</f>
        <v>0</v>
      </c>
      <c r="I2590" s="9">
        <f>IF(AND($G2590&lt;&gt;"",ISNUMBER(SEARCH('Nr rejestracyjny'!$F$5,$G2590))),COUNT($I$1:I2589)+1,"")</f>
        <v>0</v>
      </c>
    </row>
    <row r="2591" spans="6:9">
      <c r="F2591" s="7">
        <f>IF('W rejestracji'!$C$2598="","",'W rejestracji'!$C$2598)</f>
        <v>0</v>
      </c>
      <c r="G2591" s="7">
        <f>IF(Zarejestrowane!$C$2598="","",Zarejestrowane!$C$2598)</f>
        <v>0</v>
      </c>
      <c r="H2591" s="9">
        <f>IF(AND($F2591&lt;&gt;"",ISNUMBER(SEARCH('Nr rejestracyjny'!$F$5,$F2591))),COUNT($H$1:H2590)+1,"")</f>
        <v>0</v>
      </c>
      <c r="I2591" s="9">
        <f>IF(AND($G2591&lt;&gt;"",ISNUMBER(SEARCH('Nr rejestracyjny'!$F$5,$G2591))),COUNT($I$1:I2590)+1,"")</f>
        <v>0</v>
      </c>
    </row>
    <row r="2592" spans="6:9">
      <c r="F2592" s="7">
        <f>IF('W rejestracji'!$C$2599="","",'W rejestracji'!$C$2599)</f>
        <v>0</v>
      </c>
      <c r="G2592" s="7">
        <f>IF(Zarejestrowane!$C$2599="","",Zarejestrowane!$C$2599)</f>
        <v>0</v>
      </c>
      <c r="H2592" s="9">
        <f>IF(AND($F2592&lt;&gt;"",ISNUMBER(SEARCH('Nr rejestracyjny'!$F$5,$F2592))),COUNT($H$1:H2591)+1,"")</f>
        <v>0</v>
      </c>
      <c r="I2592" s="9">
        <f>IF(AND($G2592&lt;&gt;"",ISNUMBER(SEARCH('Nr rejestracyjny'!$F$5,$G2592))),COUNT($I$1:I2591)+1,"")</f>
        <v>0</v>
      </c>
    </row>
    <row r="2593" spans="6:9">
      <c r="F2593" s="7">
        <f>IF('W rejestracji'!$C$2600="","",'W rejestracji'!$C$2600)</f>
        <v>0</v>
      </c>
      <c r="G2593" s="7">
        <f>IF(Zarejestrowane!$C$2600="","",Zarejestrowane!$C$2600)</f>
        <v>0</v>
      </c>
      <c r="H2593" s="9">
        <f>IF(AND($F2593&lt;&gt;"",ISNUMBER(SEARCH('Nr rejestracyjny'!$F$5,$F2593))),COUNT($H$1:H2592)+1,"")</f>
        <v>0</v>
      </c>
      <c r="I2593" s="9">
        <f>IF(AND($G2593&lt;&gt;"",ISNUMBER(SEARCH('Nr rejestracyjny'!$F$5,$G2593))),COUNT($I$1:I2592)+1,"")</f>
        <v>0</v>
      </c>
    </row>
    <row r="2594" spans="6:9">
      <c r="F2594" s="7">
        <f>IF('W rejestracji'!$C$2601="","",'W rejestracji'!$C$2601)</f>
        <v>0</v>
      </c>
      <c r="G2594" s="7">
        <f>IF(Zarejestrowane!$C$2601="","",Zarejestrowane!$C$2601)</f>
        <v>0</v>
      </c>
      <c r="H2594" s="9">
        <f>IF(AND($F2594&lt;&gt;"",ISNUMBER(SEARCH('Nr rejestracyjny'!$F$5,$F2594))),COUNT($H$1:H2593)+1,"")</f>
        <v>0</v>
      </c>
      <c r="I2594" s="9">
        <f>IF(AND($G2594&lt;&gt;"",ISNUMBER(SEARCH('Nr rejestracyjny'!$F$5,$G2594))),COUNT($I$1:I2593)+1,"")</f>
        <v>0</v>
      </c>
    </row>
    <row r="2595" spans="6:9">
      <c r="F2595" s="7">
        <f>IF('W rejestracji'!$C$2602="","",'W rejestracji'!$C$2602)</f>
        <v>0</v>
      </c>
      <c r="G2595" s="7">
        <f>IF(Zarejestrowane!$C$2602="","",Zarejestrowane!$C$2602)</f>
        <v>0</v>
      </c>
      <c r="H2595" s="9">
        <f>IF(AND($F2595&lt;&gt;"",ISNUMBER(SEARCH('Nr rejestracyjny'!$F$5,$F2595))),COUNT($H$1:H2594)+1,"")</f>
        <v>0</v>
      </c>
      <c r="I2595" s="9">
        <f>IF(AND($G2595&lt;&gt;"",ISNUMBER(SEARCH('Nr rejestracyjny'!$F$5,$G2595))),COUNT($I$1:I2594)+1,"")</f>
        <v>0</v>
      </c>
    </row>
    <row r="2596" spans="6:9">
      <c r="F2596" s="7">
        <f>IF('W rejestracji'!$C$2603="","",'W rejestracji'!$C$2603)</f>
        <v>0</v>
      </c>
      <c r="G2596" s="7">
        <f>IF(Zarejestrowane!$C$2603="","",Zarejestrowane!$C$2603)</f>
        <v>0</v>
      </c>
      <c r="H2596" s="9">
        <f>IF(AND($F2596&lt;&gt;"",ISNUMBER(SEARCH('Nr rejestracyjny'!$F$5,$F2596))),COUNT($H$1:H2595)+1,"")</f>
        <v>0</v>
      </c>
      <c r="I2596" s="9">
        <f>IF(AND($G2596&lt;&gt;"",ISNUMBER(SEARCH('Nr rejestracyjny'!$F$5,$G2596))),COUNT($I$1:I2595)+1,"")</f>
        <v>0</v>
      </c>
    </row>
    <row r="2597" spans="6:9">
      <c r="F2597" s="7">
        <f>IF('W rejestracji'!$C$2604="","",'W rejestracji'!$C$2604)</f>
        <v>0</v>
      </c>
      <c r="G2597" s="7">
        <f>IF(Zarejestrowane!$C$2604="","",Zarejestrowane!$C$2604)</f>
        <v>0</v>
      </c>
      <c r="H2597" s="9">
        <f>IF(AND($F2597&lt;&gt;"",ISNUMBER(SEARCH('Nr rejestracyjny'!$F$5,$F2597))),COUNT($H$1:H2596)+1,"")</f>
        <v>0</v>
      </c>
      <c r="I2597" s="9">
        <f>IF(AND($G2597&lt;&gt;"",ISNUMBER(SEARCH('Nr rejestracyjny'!$F$5,$G2597))),COUNT($I$1:I2596)+1,"")</f>
        <v>0</v>
      </c>
    </row>
    <row r="2598" spans="6:9">
      <c r="F2598" s="7">
        <f>IF('W rejestracji'!$C$2605="","",'W rejestracji'!$C$2605)</f>
        <v>0</v>
      </c>
      <c r="G2598" s="7">
        <f>IF(Zarejestrowane!$C$2605="","",Zarejestrowane!$C$2605)</f>
        <v>0</v>
      </c>
      <c r="H2598" s="9">
        <f>IF(AND($F2598&lt;&gt;"",ISNUMBER(SEARCH('Nr rejestracyjny'!$F$5,$F2598))),COUNT($H$1:H2597)+1,"")</f>
        <v>0</v>
      </c>
      <c r="I2598" s="9">
        <f>IF(AND($G2598&lt;&gt;"",ISNUMBER(SEARCH('Nr rejestracyjny'!$F$5,$G2598))),COUNT($I$1:I2597)+1,"")</f>
        <v>0</v>
      </c>
    </row>
    <row r="2599" spans="6:9">
      <c r="F2599" s="7">
        <f>IF('W rejestracji'!$C$2606="","",'W rejestracji'!$C$2606)</f>
        <v>0</v>
      </c>
      <c r="G2599" s="7">
        <f>IF(Zarejestrowane!$C$2606="","",Zarejestrowane!$C$2606)</f>
        <v>0</v>
      </c>
      <c r="H2599" s="9">
        <f>IF(AND($F2599&lt;&gt;"",ISNUMBER(SEARCH('Nr rejestracyjny'!$F$5,$F2599))),COUNT($H$1:H2598)+1,"")</f>
        <v>0</v>
      </c>
      <c r="I2599" s="9">
        <f>IF(AND($G2599&lt;&gt;"",ISNUMBER(SEARCH('Nr rejestracyjny'!$F$5,$G2599))),COUNT($I$1:I2598)+1,"")</f>
        <v>0</v>
      </c>
    </row>
    <row r="2600" spans="6:9">
      <c r="F2600" s="7">
        <f>IF('W rejestracji'!$C$2607="","",'W rejestracji'!$C$2607)</f>
        <v>0</v>
      </c>
      <c r="G2600" s="7">
        <f>IF(Zarejestrowane!$C$2607="","",Zarejestrowane!$C$2607)</f>
        <v>0</v>
      </c>
      <c r="H2600" s="9">
        <f>IF(AND($F2600&lt;&gt;"",ISNUMBER(SEARCH('Nr rejestracyjny'!$F$5,$F2600))),COUNT($H$1:H2599)+1,"")</f>
        <v>0</v>
      </c>
      <c r="I2600" s="9">
        <f>IF(AND($G2600&lt;&gt;"",ISNUMBER(SEARCH('Nr rejestracyjny'!$F$5,$G2600))),COUNT($I$1:I2599)+1,"")</f>
        <v>0</v>
      </c>
    </row>
    <row r="2601" spans="6:9">
      <c r="F2601" s="7">
        <f>IF('W rejestracji'!$C$2608="","",'W rejestracji'!$C$2608)</f>
        <v>0</v>
      </c>
      <c r="G2601" s="7">
        <f>IF(Zarejestrowane!$C$2608="","",Zarejestrowane!$C$2608)</f>
        <v>0</v>
      </c>
      <c r="H2601" s="9">
        <f>IF(AND($F2601&lt;&gt;"",ISNUMBER(SEARCH('Nr rejestracyjny'!$F$5,$F2601))),COUNT($H$1:H2600)+1,"")</f>
        <v>0</v>
      </c>
      <c r="I2601" s="9">
        <f>IF(AND($G2601&lt;&gt;"",ISNUMBER(SEARCH('Nr rejestracyjny'!$F$5,$G2601))),COUNT($I$1:I2600)+1,"")</f>
        <v>0</v>
      </c>
    </row>
    <row r="2602" spans="6:9">
      <c r="F2602" s="7">
        <f>IF('W rejestracji'!$C$2609="","",'W rejestracji'!$C$2609)</f>
        <v>0</v>
      </c>
      <c r="G2602" s="7">
        <f>IF(Zarejestrowane!$C$2609="","",Zarejestrowane!$C$2609)</f>
        <v>0</v>
      </c>
      <c r="H2602" s="9">
        <f>IF(AND($F2602&lt;&gt;"",ISNUMBER(SEARCH('Nr rejestracyjny'!$F$5,$F2602))),COUNT($H$1:H2601)+1,"")</f>
        <v>0</v>
      </c>
      <c r="I2602" s="9">
        <f>IF(AND($G2602&lt;&gt;"",ISNUMBER(SEARCH('Nr rejestracyjny'!$F$5,$G2602))),COUNT($I$1:I2601)+1,"")</f>
        <v>0</v>
      </c>
    </row>
    <row r="2603" spans="6:9">
      <c r="F2603" s="7">
        <f>IF('W rejestracji'!$C$2610="","",'W rejestracji'!$C$2610)</f>
        <v>0</v>
      </c>
      <c r="G2603" s="7">
        <f>IF(Zarejestrowane!$C$2610="","",Zarejestrowane!$C$2610)</f>
        <v>0</v>
      </c>
      <c r="H2603" s="9">
        <f>IF(AND($F2603&lt;&gt;"",ISNUMBER(SEARCH('Nr rejestracyjny'!$F$5,$F2603))),COUNT($H$1:H2602)+1,"")</f>
        <v>0</v>
      </c>
      <c r="I2603" s="9">
        <f>IF(AND($G2603&lt;&gt;"",ISNUMBER(SEARCH('Nr rejestracyjny'!$F$5,$G2603))),COUNT($I$1:I2602)+1,"")</f>
        <v>0</v>
      </c>
    </row>
    <row r="2604" spans="6:9">
      <c r="F2604" s="7">
        <f>IF('W rejestracji'!$C$2611="","",'W rejestracji'!$C$2611)</f>
        <v>0</v>
      </c>
      <c r="G2604" s="7">
        <f>IF(Zarejestrowane!$C$2611="","",Zarejestrowane!$C$2611)</f>
        <v>0</v>
      </c>
      <c r="H2604" s="9">
        <f>IF(AND($F2604&lt;&gt;"",ISNUMBER(SEARCH('Nr rejestracyjny'!$F$5,$F2604))),COUNT($H$1:H2603)+1,"")</f>
        <v>0</v>
      </c>
      <c r="I2604" s="9">
        <f>IF(AND($G2604&lt;&gt;"",ISNUMBER(SEARCH('Nr rejestracyjny'!$F$5,$G2604))),COUNT($I$1:I2603)+1,"")</f>
        <v>0</v>
      </c>
    </row>
    <row r="2605" spans="6:9">
      <c r="F2605" s="7">
        <f>IF('W rejestracji'!$C$2612="","",'W rejestracji'!$C$2612)</f>
        <v>0</v>
      </c>
      <c r="G2605" s="7">
        <f>IF(Zarejestrowane!$C$2612="","",Zarejestrowane!$C$2612)</f>
        <v>0</v>
      </c>
      <c r="H2605" s="9">
        <f>IF(AND($F2605&lt;&gt;"",ISNUMBER(SEARCH('Nr rejestracyjny'!$F$5,$F2605))),COUNT($H$1:H2604)+1,"")</f>
        <v>0</v>
      </c>
      <c r="I2605" s="9">
        <f>IF(AND($G2605&lt;&gt;"",ISNUMBER(SEARCH('Nr rejestracyjny'!$F$5,$G2605))),COUNT($I$1:I2604)+1,"")</f>
        <v>0</v>
      </c>
    </row>
    <row r="2606" spans="6:9">
      <c r="F2606" s="7">
        <f>IF('W rejestracji'!$C$2613="","",'W rejestracji'!$C$2613)</f>
        <v>0</v>
      </c>
      <c r="G2606" s="7">
        <f>IF(Zarejestrowane!$C$2613="","",Zarejestrowane!$C$2613)</f>
        <v>0</v>
      </c>
      <c r="H2606" s="9">
        <f>IF(AND($F2606&lt;&gt;"",ISNUMBER(SEARCH('Nr rejestracyjny'!$F$5,$F2606))),COUNT($H$1:H2605)+1,"")</f>
        <v>0</v>
      </c>
      <c r="I2606" s="9">
        <f>IF(AND($G2606&lt;&gt;"",ISNUMBER(SEARCH('Nr rejestracyjny'!$F$5,$G2606))),COUNT($I$1:I2605)+1,"")</f>
        <v>0</v>
      </c>
    </row>
    <row r="2607" spans="6:9">
      <c r="F2607" s="7">
        <f>IF('W rejestracji'!$C$2614="","",'W rejestracji'!$C$2614)</f>
        <v>0</v>
      </c>
      <c r="G2607" s="7">
        <f>IF(Zarejestrowane!$C$2614="","",Zarejestrowane!$C$2614)</f>
        <v>0</v>
      </c>
      <c r="H2607" s="9">
        <f>IF(AND($F2607&lt;&gt;"",ISNUMBER(SEARCH('Nr rejestracyjny'!$F$5,$F2607))),COUNT($H$1:H2606)+1,"")</f>
        <v>0</v>
      </c>
      <c r="I2607" s="9">
        <f>IF(AND($G2607&lt;&gt;"",ISNUMBER(SEARCH('Nr rejestracyjny'!$F$5,$G2607))),COUNT($I$1:I2606)+1,"")</f>
        <v>0</v>
      </c>
    </row>
    <row r="2608" spans="6:9">
      <c r="F2608" s="7">
        <f>IF('W rejestracji'!$C$2615="","",'W rejestracji'!$C$2615)</f>
        <v>0</v>
      </c>
      <c r="G2608" s="7">
        <f>IF(Zarejestrowane!$C$2615="","",Zarejestrowane!$C$2615)</f>
        <v>0</v>
      </c>
      <c r="H2608" s="9">
        <f>IF(AND($F2608&lt;&gt;"",ISNUMBER(SEARCH('Nr rejestracyjny'!$F$5,$F2608))),COUNT($H$1:H2607)+1,"")</f>
        <v>0</v>
      </c>
      <c r="I2608" s="9">
        <f>IF(AND($G2608&lt;&gt;"",ISNUMBER(SEARCH('Nr rejestracyjny'!$F$5,$G2608))),COUNT($I$1:I2607)+1,"")</f>
        <v>0</v>
      </c>
    </row>
    <row r="2609" spans="6:9">
      <c r="F2609" s="7">
        <f>IF('W rejestracji'!$C$2616="","",'W rejestracji'!$C$2616)</f>
        <v>0</v>
      </c>
      <c r="G2609" s="7">
        <f>IF(Zarejestrowane!$C$2616="","",Zarejestrowane!$C$2616)</f>
        <v>0</v>
      </c>
      <c r="H2609" s="9">
        <f>IF(AND($F2609&lt;&gt;"",ISNUMBER(SEARCH('Nr rejestracyjny'!$F$5,$F2609))),COUNT($H$1:H2608)+1,"")</f>
        <v>0</v>
      </c>
      <c r="I2609" s="9">
        <f>IF(AND($G2609&lt;&gt;"",ISNUMBER(SEARCH('Nr rejestracyjny'!$F$5,$G2609))),COUNT($I$1:I2608)+1,"")</f>
        <v>0</v>
      </c>
    </row>
    <row r="2610" spans="6:9">
      <c r="F2610" s="7">
        <f>IF('W rejestracji'!$C$2617="","",'W rejestracji'!$C$2617)</f>
        <v>0</v>
      </c>
      <c r="G2610" s="7">
        <f>IF(Zarejestrowane!$C$2617="","",Zarejestrowane!$C$2617)</f>
        <v>0</v>
      </c>
      <c r="H2610" s="9">
        <f>IF(AND($F2610&lt;&gt;"",ISNUMBER(SEARCH('Nr rejestracyjny'!$F$5,$F2610))),COUNT($H$1:H2609)+1,"")</f>
        <v>0</v>
      </c>
      <c r="I2610" s="9">
        <f>IF(AND($G2610&lt;&gt;"",ISNUMBER(SEARCH('Nr rejestracyjny'!$F$5,$G2610))),COUNT($I$1:I2609)+1,"")</f>
        <v>0</v>
      </c>
    </row>
    <row r="2611" spans="6:9">
      <c r="F2611" s="7">
        <f>IF('W rejestracji'!$C$2618="","",'W rejestracji'!$C$2618)</f>
        <v>0</v>
      </c>
      <c r="G2611" s="7">
        <f>IF(Zarejestrowane!$C$2618="","",Zarejestrowane!$C$2618)</f>
        <v>0</v>
      </c>
      <c r="H2611" s="9">
        <f>IF(AND($F2611&lt;&gt;"",ISNUMBER(SEARCH('Nr rejestracyjny'!$F$5,$F2611))),COUNT($H$1:H2610)+1,"")</f>
        <v>0</v>
      </c>
      <c r="I2611" s="9">
        <f>IF(AND($G2611&lt;&gt;"",ISNUMBER(SEARCH('Nr rejestracyjny'!$F$5,$G2611))),COUNT($I$1:I2610)+1,"")</f>
        <v>0</v>
      </c>
    </row>
    <row r="2612" spans="6:9">
      <c r="F2612" s="7">
        <f>IF('W rejestracji'!$C$2619="","",'W rejestracji'!$C$2619)</f>
        <v>0</v>
      </c>
      <c r="G2612" s="7">
        <f>IF(Zarejestrowane!$C$2619="","",Zarejestrowane!$C$2619)</f>
        <v>0</v>
      </c>
      <c r="H2612" s="9">
        <f>IF(AND($F2612&lt;&gt;"",ISNUMBER(SEARCH('Nr rejestracyjny'!$F$5,$F2612))),COUNT($H$1:H2611)+1,"")</f>
        <v>0</v>
      </c>
      <c r="I2612" s="9">
        <f>IF(AND($G2612&lt;&gt;"",ISNUMBER(SEARCH('Nr rejestracyjny'!$F$5,$G2612))),COUNT($I$1:I2611)+1,"")</f>
        <v>0</v>
      </c>
    </row>
    <row r="2613" spans="6:9">
      <c r="F2613" s="7">
        <f>IF('W rejestracji'!$C$2620="","",'W rejestracji'!$C$2620)</f>
        <v>0</v>
      </c>
      <c r="G2613" s="7">
        <f>IF(Zarejestrowane!$C$2620="","",Zarejestrowane!$C$2620)</f>
        <v>0</v>
      </c>
      <c r="H2613" s="9">
        <f>IF(AND($F2613&lt;&gt;"",ISNUMBER(SEARCH('Nr rejestracyjny'!$F$5,$F2613))),COUNT($H$1:H2612)+1,"")</f>
        <v>0</v>
      </c>
      <c r="I2613" s="9">
        <f>IF(AND($G2613&lt;&gt;"",ISNUMBER(SEARCH('Nr rejestracyjny'!$F$5,$G2613))),COUNT($I$1:I2612)+1,"")</f>
        <v>0</v>
      </c>
    </row>
    <row r="2614" spans="6:9">
      <c r="F2614" s="7">
        <f>IF('W rejestracji'!$C$2621="","",'W rejestracji'!$C$2621)</f>
        <v>0</v>
      </c>
      <c r="G2614" s="7">
        <f>IF(Zarejestrowane!$C$2621="","",Zarejestrowane!$C$2621)</f>
        <v>0</v>
      </c>
      <c r="H2614" s="9">
        <f>IF(AND($F2614&lt;&gt;"",ISNUMBER(SEARCH('Nr rejestracyjny'!$F$5,$F2614))),COUNT($H$1:H2613)+1,"")</f>
        <v>0</v>
      </c>
      <c r="I2614" s="9">
        <f>IF(AND($G2614&lt;&gt;"",ISNUMBER(SEARCH('Nr rejestracyjny'!$F$5,$G2614))),COUNT($I$1:I2613)+1,"")</f>
        <v>0</v>
      </c>
    </row>
    <row r="2615" spans="6:9">
      <c r="F2615" s="7">
        <f>IF('W rejestracji'!$C$2622="","",'W rejestracji'!$C$2622)</f>
        <v>0</v>
      </c>
      <c r="G2615" s="7">
        <f>IF(Zarejestrowane!$C$2622="","",Zarejestrowane!$C$2622)</f>
        <v>0</v>
      </c>
      <c r="H2615" s="9">
        <f>IF(AND($F2615&lt;&gt;"",ISNUMBER(SEARCH('Nr rejestracyjny'!$F$5,$F2615))),COUNT($H$1:H2614)+1,"")</f>
        <v>0</v>
      </c>
      <c r="I2615" s="9">
        <f>IF(AND($G2615&lt;&gt;"",ISNUMBER(SEARCH('Nr rejestracyjny'!$F$5,$G2615))),COUNT($I$1:I2614)+1,"")</f>
        <v>0</v>
      </c>
    </row>
    <row r="2616" spans="6:9">
      <c r="F2616" s="7">
        <f>IF('W rejestracji'!$C$2623="","",'W rejestracji'!$C$2623)</f>
        <v>0</v>
      </c>
      <c r="G2616" s="7">
        <f>IF(Zarejestrowane!$C$2623="","",Zarejestrowane!$C$2623)</f>
        <v>0</v>
      </c>
      <c r="H2616" s="9">
        <f>IF(AND($F2616&lt;&gt;"",ISNUMBER(SEARCH('Nr rejestracyjny'!$F$5,$F2616))),COUNT($H$1:H2615)+1,"")</f>
        <v>0</v>
      </c>
      <c r="I2616" s="9">
        <f>IF(AND($G2616&lt;&gt;"",ISNUMBER(SEARCH('Nr rejestracyjny'!$F$5,$G2616))),COUNT($I$1:I2615)+1,"")</f>
        <v>0</v>
      </c>
    </row>
    <row r="2617" spans="6:9">
      <c r="F2617" s="7">
        <f>IF('W rejestracji'!$C$2624="","",'W rejestracji'!$C$2624)</f>
        <v>0</v>
      </c>
      <c r="G2617" s="7">
        <f>IF(Zarejestrowane!$C$2624="","",Zarejestrowane!$C$2624)</f>
        <v>0</v>
      </c>
      <c r="H2617" s="9">
        <f>IF(AND($F2617&lt;&gt;"",ISNUMBER(SEARCH('Nr rejestracyjny'!$F$5,$F2617))),COUNT($H$1:H2616)+1,"")</f>
        <v>0</v>
      </c>
      <c r="I2617" s="9">
        <f>IF(AND($G2617&lt;&gt;"",ISNUMBER(SEARCH('Nr rejestracyjny'!$F$5,$G2617))),COUNT($I$1:I2616)+1,"")</f>
        <v>0</v>
      </c>
    </row>
    <row r="2618" spans="6:9">
      <c r="F2618" s="7">
        <f>IF('W rejestracji'!$C$2625="","",'W rejestracji'!$C$2625)</f>
        <v>0</v>
      </c>
      <c r="G2618" s="7">
        <f>IF(Zarejestrowane!$C$2625="","",Zarejestrowane!$C$2625)</f>
        <v>0</v>
      </c>
      <c r="H2618" s="9">
        <f>IF(AND($F2618&lt;&gt;"",ISNUMBER(SEARCH('Nr rejestracyjny'!$F$5,$F2618))),COUNT($H$1:H2617)+1,"")</f>
        <v>0</v>
      </c>
      <c r="I2618" s="9">
        <f>IF(AND($G2618&lt;&gt;"",ISNUMBER(SEARCH('Nr rejestracyjny'!$F$5,$G2618))),COUNT($I$1:I2617)+1,"")</f>
        <v>0</v>
      </c>
    </row>
    <row r="2619" spans="6:9">
      <c r="F2619" s="7">
        <f>IF('W rejestracji'!$C$2626="","",'W rejestracji'!$C$2626)</f>
        <v>0</v>
      </c>
      <c r="G2619" s="7">
        <f>IF(Zarejestrowane!$C$2626="","",Zarejestrowane!$C$2626)</f>
        <v>0</v>
      </c>
      <c r="H2619" s="9">
        <f>IF(AND($F2619&lt;&gt;"",ISNUMBER(SEARCH('Nr rejestracyjny'!$F$5,$F2619))),COUNT($H$1:H2618)+1,"")</f>
        <v>0</v>
      </c>
      <c r="I2619" s="9">
        <f>IF(AND($G2619&lt;&gt;"",ISNUMBER(SEARCH('Nr rejestracyjny'!$F$5,$G2619))),COUNT($I$1:I2618)+1,"")</f>
        <v>0</v>
      </c>
    </row>
    <row r="2620" spans="6:9">
      <c r="F2620" s="7">
        <f>IF('W rejestracji'!$C$2627="","",'W rejestracji'!$C$2627)</f>
        <v>0</v>
      </c>
      <c r="G2620" s="7">
        <f>IF(Zarejestrowane!$C$2627="","",Zarejestrowane!$C$2627)</f>
        <v>0</v>
      </c>
      <c r="H2620" s="9">
        <f>IF(AND($F2620&lt;&gt;"",ISNUMBER(SEARCH('Nr rejestracyjny'!$F$5,$F2620))),COUNT($H$1:H2619)+1,"")</f>
        <v>0</v>
      </c>
      <c r="I2620" s="9">
        <f>IF(AND($G2620&lt;&gt;"",ISNUMBER(SEARCH('Nr rejestracyjny'!$F$5,$G2620))),COUNT($I$1:I2619)+1,"")</f>
        <v>0</v>
      </c>
    </row>
    <row r="2621" spans="6:9">
      <c r="F2621" s="7">
        <f>IF('W rejestracji'!$C$2628="","",'W rejestracji'!$C$2628)</f>
        <v>0</v>
      </c>
      <c r="G2621" s="7">
        <f>IF(Zarejestrowane!$C$2628="","",Zarejestrowane!$C$2628)</f>
        <v>0</v>
      </c>
      <c r="H2621" s="9">
        <f>IF(AND($F2621&lt;&gt;"",ISNUMBER(SEARCH('Nr rejestracyjny'!$F$5,$F2621))),COUNT($H$1:H2620)+1,"")</f>
        <v>0</v>
      </c>
      <c r="I2621" s="9">
        <f>IF(AND($G2621&lt;&gt;"",ISNUMBER(SEARCH('Nr rejestracyjny'!$F$5,$G2621))),COUNT($I$1:I2620)+1,"")</f>
        <v>0</v>
      </c>
    </row>
    <row r="2622" spans="6:9">
      <c r="F2622" s="7">
        <f>IF('W rejestracji'!$C$2629="","",'W rejestracji'!$C$2629)</f>
        <v>0</v>
      </c>
      <c r="G2622" s="7">
        <f>IF(Zarejestrowane!$C$2629="","",Zarejestrowane!$C$2629)</f>
        <v>0</v>
      </c>
      <c r="H2622" s="9">
        <f>IF(AND($F2622&lt;&gt;"",ISNUMBER(SEARCH('Nr rejestracyjny'!$F$5,$F2622))),COUNT($H$1:H2621)+1,"")</f>
        <v>0</v>
      </c>
      <c r="I2622" s="9">
        <f>IF(AND($G2622&lt;&gt;"",ISNUMBER(SEARCH('Nr rejestracyjny'!$F$5,$G2622))),COUNT($I$1:I2621)+1,"")</f>
        <v>0</v>
      </c>
    </row>
    <row r="2623" spans="6:9">
      <c r="F2623" s="7">
        <f>IF('W rejestracji'!$C$2630="","",'W rejestracji'!$C$2630)</f>
        <v>0</v>
      </c>
      <c r="G2623" s="7">
        <f>IF(Zarejestrowane!$C$2630="","",Zarejestrowane!$C$2630)</f>
        <v>0</v>
      </c>
      <c r="H2623" s="9">
        <f>IF(AND($F2623&lt;&gt;"",ISNUMBER(SEARCH('Nr rejestracyjny'!$F$5,$F2623))),COUNT($H$1:H2622)+1,"")</f>
        <v>0</v>
      </c>
      <c r="I2623" s="9">
        <f>IF(AND($G2623&lt;&gt;"",ISNUMBER(SEARCH('Nr rejestracyjny'!$F$5,$G2623))),COUNT($I$1:I2622)+1,"")</f>
        <v>0</v>
      </c>
    </row>
    <row r="2624" spans="6:9">
      <c r="F2624" s="7">
        <f>IF('W rejestracji'!$C$2631="","",'W rejestracji'!$C$2631)</f>
        <v>0</v>
      </c>
      <c r="G2624" s="7">
        <f>IF(Zarejestrowane!$C$2631="","",Zarejestrowane!$C$2631)</f>
        <v>0</v>
      </c>
      <c r="H2624" s="9">
        <f>IF(AND($F2624&lt;&gt;"",ISNUMBER(SEARCH('Nr rejestracyjny'!$F$5,$F2624))),COUNT($H$1:H2623)+1,"")</f>
        <v>0</v>
      </c>
      <c r="I2624" s="9">
        <f>IF(AND($G2624&lt;&gt;"",ISNUMBER(SEARCH('Nr rejestracyjny'!$F$5,$G2624))),COUNT($I$1:I2623)+1,"")</f>
        <v>0</v>
      </c>
    </row>
    <row r="2625" spans="6:9">
      <c r="F2625" s="7">
        <f>IF('W rejestracji'!$C$2632="","",'W rejestracji'!$C$2632)</f>
        <v>0</v>
      </c>
      <c r="G2625" s="7">
        <f>IF(Zarejestrowane!$C$2632="","",Zarejestrowane!$C$2632)</f>
        <v>0</v>
      </c>
      <c r="H2625" s="9">
        <f>IF(AND($F2625&lt;&gt;"",ISNUMBER(SEARCH('Nr rejestracyjny'!$F$5,$F2625))),COUNT($H$1:H2624)+1,"")</f>
        <v>0</v>
      </c>
      <c r="I2625" s="9">
        <f>IF(AND($G2625&lt;&gt;"",ISNUMBER(SEARCH('Nr rejestracyjny'!$F$5,$G2625))),COUNT($I$1:I2624)+1,"")</f>
        <v>0</v>
      </c>
    </row>
    <row r="2626" spans="6:9">
      <c r="F2626" s="7">
        <f>IF('W rejestracji'!$C$2633="","",'W rejestracji'!$C$2633)</f>
        <v>0</v>
      </c>
      <c r="G2626" s="7">
        <f>IF(Zarejestrowane!$C$2633="","",Zarejestrowane!$C$2633)</f>
        <v>0</v>
      </c>
      <c r="H2626" s="9">
        <f>IF(AND($F2626&lt;&gt;"",ISNUMBER(SEARCH('Nr rejestracyjny'!$F$5,$F2626))),COUNT($H$1:H2625)+1,"")</f>
        <v>0</v>
      </c>
      <c r="I2626" s="9">
        <f>IF(AND($G2626&lt;&gt;"",ISNUMBER(SEARCH('Nr rejestracyjny'!$F$5,$G2626))),COUNT($I$1:I2625)+1,"")</f>
        <v>0</v>
      </c>
    </row>
    <row r="2627" spans="6:9">
      <c r="F2627" s="7">
        <f>IF('W rejestracji'!$C$2634="","",'W rejestracji'!$C$2634)</f>
        <v>0</v>
      </c>
      <c r="G2627" s="7">
        <f>IF(Zarejestrowane!$C$2634="","",Zarejestrowane!$C$2634)</f>
        <v>0</v>
      </c>
      <c r="H2627" s="9">
        <f>IF(AND($F2627&lt;&gt;"",ISNUMBER(SEARCH('Nr rejestracyjny'!$F$5,$F2627))),COUNT($H$1:H2626)+1,"")</f>
        <v>0</v>
      </c>
      <c r="I2627" s="9">
        <f>IF(AND($G2627&lt;&gt;"",ISNUMBER(SEARCH('Nr rejestracyjny'!$F$5,$G2627))),COUNT($I$1:I2626)+1,"")</f>
        <v>0</v>
      </c>
    </row>
    <row r="2628" spans="6:9">
      <c r="F2628" s="7">
        <f>IF('W rejestracji'!$C$2635="","",'W rejestracji'!$C$2635)</f>
        <v>0</v>
      </c>
      <c r="G2628" s="7">
        <f>IF(Zarejestrowane!$C$2635="","",Zarejestrowane!$C$2635)</f>
        <v>0</v>
      </c>
      <c r="H2628" s="9">
        <f>IF(AND($F2628&lt;&gt;"",ISNUMBER(SEARCH('Nr rejestracyjny'!$F$5,$F2628))),COUNT($H$1:H2627)+1,"")</f>
        <v>0</v>
      </c>
      <c r="I2628" s="9">
        <f>IF(AND($G2628&lt;&gt;"",ISNUMBER(SEARCH('Nr rejestracyjny'!$F$5,$G2628))),COUNT($I$1:I2627)+1,"")</f>
        <v>0</v>
      </c>
    </row>
    <row r="2629" spans="6:9">
      <c r="F2629" s="7">
        <f>IF('W rejestracji'!$C$2636="","",'W rejestracji'!$C$2636)</f>
        <v>0</v>
      </c>
      <c r="G2629" s="7">
        <f>IF(Zarejestrowane!$C$2636="","",Zarejestrowane!$C$2636)</f>
        <v>0</v>
      </c>
      <c r="H2629" s="9">
        <f>IF(AND($F2629&lt;&gt;"",ISNUMBER(SEARCH('Nr rejestracyjny'!$F$5,$F2629))),COUNT($H$1:H2628)+1,"")</f>
        <v>0</v>
      </c>
      <c r="I2629" s="9">
        <f>IF(AND($G2629&lt;&gt;"",ISNUMBER(SEARCH('Nr rejestracyjny'!$F$5,$G2629))),COUNT($I$1:I2628)+1,"")</f>
        <v>0</v>
      </c>
    </row>
    <row r="2630" spans="6:9">
      <c r="F2630" s="7">
        <f>IF('W rejestracji'!$C$2637="","",'W rejestracji'!$C$2637)</f>
        <v>0</v>
      </c>
      <c r="G2630" s="7">
        <f>IF(Zarejestrowane!$C$2637="","",Zarejestrowane!$C$2637)</f>
        <v>0</v>
      </c>
      <c r="H2630" s="9">
        <f>IF(AND($F2630&lt;&gt;"",ISNUMBER(SEARCH('Nr rejestracyjny'!$F$5,$F2630))),COUNT($H$1:H2629)+1,"")</f>
        <v>0</v>
      </c>
      <c r="I2630" s="9">
        <f>IF(AND($G2630&lt;&gt;"",ISNUMBER(SEARCH('Nr rejestracyjny'!$F$5,$G2630))),COUNT($I$1:I2629)+1,"")</f>
        <v>0</v>
      </c>
    </row>
    <row r="2631" spans="6:9">
      <c r="F2631" s="7">
        <f>IF('W rejestracji'!$C$2638="","",'W rejestracji'!$C$2638)</f>
        <v>0</v>
      </c>
      <c r="G2631" s="7">
        <f>IF(Zarejestrowane!$C$2638="","",Zarejestrowane!$C$2638)</f>
        <v>0</v>
      </c>
      <c r="H2631" s="9">
        <f>IF(AND($F2631&lt;&gt;"",ISNUMBER(SEARCH('Nr rejestracyjny'!$F$5,$F2631))),COUNT($H$1:H2630)+1,"")</f>
        <v>0</v>
      </c>
      <c r="I2631" s="9">
        <f>IF(AND($G2631&lt;&gt;"",ISNUMBER(SEARCH('Nr rejestracyjny'!$F$5,$G2631))),COUNT($I$1:I2630)+1,"")</f>
        <v>0</v>
      </c>
    </row>
    <row r="2632" spans="6:9">
      <c r="F2632" s="7">
        <f>IF('W rejestracji'!$C$2639="","",'W rejestracji'!$C$2639)</f>
        <v>0</v>
      </c>
      <c r="G2632" s="7">
        <f>IF(Zarejestrowane!$C$2639="","",Zarejestrowane!$C$2639)</f>
        <v>0</v>
      </c>
      <c r="H2632" s="9">
        <f>IF(AND($F2632&lt;&gt;"",ISNUMBER(SEARCH('Nr rejestracyjny'!$F$5,$F2632))),COUNT($H$1:H2631)+1,"")</f>
        <v>0</v>
      </c>
      <c r="I2632" s="9">
        <f>IF(AND($G2632&lt;&gt;"",ISNUMBER(SEARCH('Nr rejestracyjny'!$F$5,$G2632))),COUNT($I$1:I2631)+1,"")</f>
        <v>0</v>
      </c>
    </row>
    <row r="2633" spans="6:9">
      <c r="F2633" s="7">
        <f>IF('W rejestracji'!$C$2640="","",'W rejestracji'!$C$2640)</f>
        <v>0</v>
      </c>
      <c r="G2633" s="7">
        <f>IF(Zarejestrowane!$C$2640="","",Zarejestrowane!$C$2640)</f>
        <v>0</v>
      </c>
      <c r="H2633" s="9">
        <f>IF(AND($F2633&lt;&gt;"",ISNUMBER(SEARCH('Nr rejestracyjny'!$F$5,$F2633))),COUNT($H$1:H2632)+1,"")</f>
        <v>0</v>
      </c>
      <c r="I2633" s="9">
        <f>IF(AND($G2633&lt;&gt;"",ISNUMBER(SEARCH('Nr rejestracyjny'!$F$5,$G2633))),COUNT($I$1:I2632)+1,"")</f>
        <v>0</v>
      </c>
    </row>
    <row r="2634" spans="6:9">
      <c r="F2634" s="7">
        <f>IF('W rejestracji'!$C$2641="","",'W rejestracji'!$C$2641)</f>
        <v>0</v>
      </c>
      <c r="G2634" s="7">
        <f>IF(Zarejestrowane!$C$2641="","",Zarejestrowane!$C$2641)</f>
        <v>0</v>
      </c>
      <c r="H2634" s="9">
        <f>IF(AND($F2634&lt;&gt;"",ISNUMBER(SEARCH('Nr rejestracyjny'!$F$5,$F2634))),COUNT($H$1:H2633)+1,"")</f>
        <v>0</v>
      </c>
      <c r="I2634" s="9">
        <f>IF(AND($G2634&lt;&gt;"",ISNUMBER(SEARCH('Nr rejestracyjny'!$F$5,$G2634))),COUNT($I$1:I2633)+1,"")</f>
        <v>0</v>
      </c>
    </row>
    <row r="2635" spans="6:9">
      <c r="F2635" s="7">
        <f>IF('W rejestracji'!$C$2642="","",'W rejestracji'!$C$2642)</f>
        <v>0</v>
      </c>
      <c r="G2635" s="7">
        <f>IF(Zarejestrowane!$C$2642="","",Zarejestrowane!$C$2642)</f>
        <v>0</v>
      </c>
      <c r="H2635" s="9">
        <f>IF(AND($F2635&lt;&gt;"",ISNUMBER(SEARCH('Nr rejestracyjny'!$F$5,$F2635))),COUNT($H$1:H2634)+1,"")</f>
        <v>0</v>
      </c>
      <c r="I2635" s="9">
        <f>IF(AND($G2635&lt;&gt;"",ISNUMBER(SEARCH('Nr rejestracyjny'!$F$5,$G2635))),COUNT($I$1:I2634)+1,"")</f>
        <v>0</v>
      </c>
    </row>
    <row r="2636" spans="6:9">
      <c r="F2636" s="7">
        <f>IF('W rejestracji'!$C$2643="","",'W rejestracji'!$C$2643)</f>
        <v>0</v>
      </c>
      <c r="G2636" s="7">
        <f>IF(Zarejestrowane!$C$2643="","",Zarejestrowane!$C$2643)</f>
        <v>0</v>
      </c>
      <c r="H2636" s="9">
        <f>IF(AND($F2636&lt;&gt;"",ISNUMBER(SEARCH('Nr rejestracyjny'!$F$5,$F2636))),COUNT($H$1:H2635)+1,"")</f>
        <v>0</v>
      </c>
      <c r="I2636" s="9">
        <f>IF(AND($G2636&lt;&gt;"",ISNUMBER(SEARCH('Nr rejestracyjny'!$F$5,$G2636))),COUNT($I$1:I2635)+1,"")</f>
        <v>0</v>
      </c>
    </row>
    <row r="2637" spans="6:9">
      <c r="F2637" s="7">
        <f>IF('W rejestracji'!$C$2644="","",'W rejestracji'!$C$2644)</f>
        <v>0</v>
      </c>
      <c r="G2637" s="7">
        <f>IF(Zarejestrowane!$C$2644="","",Zarejestrowane!$C$2644)</f>
        <v>0</v>
      </c>
      <c r="H2637" s="9">
        <f>IF(AND($F2637&lt;&gt;"",ISNUMBER(SEARCH('Nr rejestracyjny'!$F$5,$F2637))),COUNT($H$1:H2636)+1,"")</f>
        <v>0</v>
      </c>
      <c r="I2637" s="9">
        <f>IF(AND($G2637&lt;&gt;"",ISNUMBER(SEARCH('Nr rejestracyjny'!$F$5,$G2637))),COUNT($I$1:I2636)+1,"")</f>
        <v>0</v>
      </c>
    </row>
    <row r="2638" spans="6:9">
      <c r="F2638" s="7">
        <f>IF('W rejestracji'!$C$2645="","",'W rejestracji'!$C$2645)</f>
        <v>0</v>
      </c>
      <c r="G2638" s="7">
        <f>IF(Zarejestrowane!$C$2645="","",Zarejestrowane!$C$2645)</f>
        <v>0</v>
      </c>
      <c r="H2638" s="9">
        <f>IF(AND($F2638&lt;&gt;"",ISNUMBER(SEARCH('Nr rejestracyjny'!$F$5,$F2638))),COUNT($H$1:H2637)+1,"")</f>
        <v>0</v>
      </c>
      <c r="I2638" s="9">
        <f>IF(AND($G2638&lt;&gt;"",ISNUMBER(SEARCH('Nr rejestracyjny'!$F$5,$G2638))),COUNT($I$1:I2637)+1,"")</f>
        <v>0</v>
      </c>
    </row>
    <row r="2639" spans="6:9">
      <c r="F2639" s="7">
        <f>IF('W rejestracji'!$C$2646="","",'W rejestracji'!$C$2646)</f>
        <v>0</v>
      </c>
      <c r="G2639" s="7">
        <f>IF(Zarejestrowane!$C$2646="","",Zarejestrowane!$C$2646)</f>
        <v>0</v>
      </c>
      <c r="H2639" s="9">
        <f>IF(AND($F2639&lt;&gt;"",ISNUMBER(SEARCH('Nr rejestracyjny'!$F$5,$F2639))),COUNT($H$1:H2638)+1,"")</f>
        <v>0</v>
      </c>
      <c r="I2639" s="9">
        <f>IF(AND($G2639&lt;&gt;"",ISNUMBER(SEARCH('Nr rejestracyjny'!$F$5,$G2639))),COUNT($I$1:I2638)+1,"")</f>
        <v>0</v>
      </c>
    </row>
    <row r="2640" spans="6:9">
      <c r="F2640" s="7">
        <f>IF('W rejestracji'!$C$2647="","",'W rejestracji'!$C$2647)</f>
        <v>0</v>
      </c>
      <c r="G2640" s="7">
        <f>IF(Zarejestrowane!$C$2647="","",Zarejestrowane!$C$2647)</f>
        <v>0</v>
      </c>
      <c r="H2640" s="9">
        <f>IF(AND($F2640&lt;&gt;"",ISNUMBER(SEARCH('Nr rejestracyjny'!$F$5,$F2640))),COUNT($H$1:H2639)+1,"")</f>
        <v>0</v>
      </c>
      <c r="I2640" s="9">
        <f>IF(AND($G2640&lt;&gt;"",ISNUMBER(SEARCH('Nr rejestracyjny'!$F$5,$G2640))),COUNT($I$1:I2639)+1,"")</f>
        <v>0</v>
      </c>
    </row>
    <row r="2641" spans="6:9">
      <c r="F2641" s="7">
        <f>IF('W rejestracji'!$C$2648="","",'W rejestracji'!$C$2648)</f>
        <v>0</v>
      </c>
      <c r="G2641" s="7">
        <f>IF(Zarejestrowane!$C$2648="","",Zarejestrowane!$C$2648)</f>
        <v>0</v>
      </c>
      <c r="H2641" s="9">
        <f>IF(AND($F2641&lt;&gt;"",ISNUMBER(SEARCH('Nr rejestracyjny'!$F$5,$F2641))),COUNT($H$1:H2640)+1,"")</f>
        <v>0</v>
      </c>
      <c r="I2641" s="9">
        <f>IF(AND($G2641&lt;&gt;"",ISNUMBER(SEARCH('Nr rejestracyjny'!$F$5,$G2641))),COUNT($I$1:I2640)+1,"")</f>
        <v>0</v>
      </c>
    </row>
    <row r="2642" spans="6:9">
      <c r="F2642" s="7">
        <f>IF('W rejestracji'!$C$2649="","",'W rejestracji'!$C$2649)</f>
        <v>0</v>
      </c>
      <c r="G2642" s="7">
        <f>IF(Zarejestrowane!$C$2649="","",Zarejestrowane!$C$2649)</f>
        <v>0</v>
      </c>
      <c r="H2642" s="9">
        <f>IF(AND($F2642&lt;&gt;"",ISNUMBER(SEARCH('Nr rejestracyjny'!$F$5,$F2642))),COUNT($H$1:H2641)+1,"")</f>
        <v>0</v>
      </c>
      <c r="I2642" s="9">
        <f>IF(AND($G2642&lt;&gt;"",ISNUMBER(SEARCH('Nr rejestracyjny'!$F$5,$G2642))),COUNT($I$1:I2641)+1,"")</f>
        <v>0</v>
      </c>
    </row>
    <row r="2643" spans="6:9">
      <c r="F2643" s="7">
        <f>IF('W rejestracji'!$C$2650="","",'W rejestracji'!$C$2650)</f>
        <v>0</v>
      </c>
      <c r="G2643" s="7">
        <f>IF(Zarejestrowane!$C$2650="","",Zarejestrowane!$C$2650)</f>
        <v>0</v>
      </c>
      <c r="H2643" s="9">
        <f>IF(AND($F2643&lt;&gt;"",ISNUMBER(SEARCH('Nr rejestracyjny'!$F$5,$F2643))),COUNT($H$1:H2642)+1,"")</f>
        <v>0</v>
      </c>
      <c r="I2643" s="9">
        <f>IF(AND($G2643&lt;&gt;"",ISNUMBER(SEARCH('Nr rejestracyjny'!$F$5,$G2643))),COUNT($I$1:I2642)+1,"")</f>
        <v>0</v>
      </c>
    </row>
    <row r="2644" spans="6:9">
      <c r="F2644" s="7">
        <f>IF('W rejestracji'!$C$2651="","",'W rejestracji'!$C$2651)</f>
        <v>0</v>
      </c>
      <c r="G2644" s="7">
        <f>IF(Zarejestrowane!$C$2651="","",Zarejestrowane!$C$2651)</f>
        <v>0</v>
      </c>
      <c r="H2644" s="9">
        <f>IF(AND($F2644&lt;&gt;"",ISNUMBER(SEARCH('Nr rejestracyjny'!$F$5,$F2644))),COUNT($H$1:H2643)+1,"")</f>
        <v>0</v>
      </c>
      <c r="I2644" s="9">
        <f>IF(AND($G2644&lt;&gt;"",ISNUMBER(SEARCH('Nr rejestracyjny'!$F$5,$G2644))),COUNT($I$1:I2643)+1,"")</f>
        <v>0</v>
      </c>
    </row>
    <row r="2645" spans="6:9">
      <c r="F2645" s="7">
        <f>IF('W rejestracji'!$C$2652="","",'W rejestracji'!$C$2652)</f>
        <v>0</v>
      </c>
      <c r="G2645" s="7">
        <f>IF(Zarejestrowane!$C$2652="","",Zarejestrowane!$C$2652)</f>
        <v>0</v>
      </c>
      <c r="H2645" s="9">
        <f>IF(AND($F2645&lt;&gt;"",ISNUMBER(SEARCH('Nr rejestracyjny'!$F$5,$F2645))),COUNT($H$1:H2644)+1,"")</f>
        <v>0</v>
      </c>
      <c r="I2645" s="9">
        <f>IF(AND($G2645&lt;&gt;"",ISNUMBER(SEARCH('Nr rejestracyjny'!$F$5,$G2645))),COUNT($I$1:I2644)+1,"")</f>
        <v>0</v>
      </c>
    </row>
    <row r="2646" spans="6:9">
      <c r="F2646" s="7">
        <f>IF('W rejestracji'!$C$2653="","",'W rejestracji'!$C$2653)</f>
        <v>0</v>
      </c>
      <c r="G2646" s="7">
        <f>IF(Zarejestrowane!$C$2653="","",Zarejestrowane!$C$2653)</f>
        <v>0</v>
      </c>
      <c r="H2646" s="9">
        <f>IF(AND($F2646&lt;&gt;"",ISNUMBER(SEARCH('Nr rejestracyjny'!$F$5,$F2646))),COUNT($H$1:H2645)+1,"")</f>
        <v>0</v>
      </c>
      <c r="I2646" s="9">
        <f>IF(AND($G2646&lt;&gt;"",ISNUMBER(SEARCH('Nr rejestracyjny'!$F$5,$G2646))),COUNT($I$1:I2645)+1,"")</f>
        <v>0</v>
      </c>
    </row>
    <row r="2647" spans="6:9">
      <c r="F2647" s="7">
        <f>IF('W rejestracji'!$C$2654="","",'W rejestracji'!$C$2654)</f>
        <v>0</v>
      </c>
      <c r="G2647" s="7">
        <f>IF(Zarejestrowane!$C$2654="","",Zarejestrowane!$C$2654)</f>
        <v>0</v>
      </c>
      <c r="H2647" s="9">
        <f>IF(AND($F2647&lt;&gt;"",ISNUMBER(SEARCH('Nr rejestracyjny'!$F$5,$F2647))),COUNT($H$1:H2646)+1,"")</f>
        <v>0</v>
      </c>
      <c r="I2647" s="9">
        <f>IF(AND($G2647&lt;&gt;"",ISNUMBER(SEARCH('Nr rejestracyjny'!$F$5,$G2647))),COUNT($I$1:I2646)+1,"")</f>
        <v>0</v>
      </c>
    </row>
    <row r="2648" spans="6:9">
      <c r="F2648" s="7">
        <f>IF('W rejestracji'!$C$2655="","",'W rejestracji'!$C$2655)</f>
        <v>0</v>
      </c>
      <c r="G2648" s="7">
        <f>IF(Zarejestrowane!$C$2655="","",Zarejestrowane!$C$2655)</f>
        <v>0</v>
      </c>
      <c r="H2648" s="9">
        <f>IF(AND($F2648&lt;&gt;"",ISNUMBER(SEARCH('Nr rejestracyjny'!$F$5,$F2648))),COUNT($H$1:H2647)+1,"")</f>
        <v>0</v>
      </c>
      <c r="I2648" s="9">
        <f>IF(AND($G2648&lt;&gt;"",ISNUMBER(SEARCH('Nr rejestracyjny'!$F$5,$G2648))),COUNT($I$1:I2647)+1,"")</f>
        <v>0</v>
      </c>
    </row>
    <row r="2649" spans="6:9">
      <c r="F2649" s="7">
        <f>IF('W rejestracji'!$C$2656="","",'W rejestracji'!$C$2656)</f>
        <v>0</v>
      </c>
      <c r="G2649" s="7">
        <f>IF(Zarejestrowane!$C$2656="","",Zarejestrowane!$C$2656)</f>
        <v>0</v>
      </c>
      <c r="H2649" s="9">
        <f>IF(AND($F2649&lt;&gt;"",ISNUMBER(SEARCH('Nr rejestracyjny'!$F$5,$F2649))),COUNT($H$1:H2648)+1,"")</f>
        <v>0</v>
      </c>
      <c r="I2649" s="9">
        <f>IF(AND($G2649&lt;&gt;"",ISNUMBER(SEARCH('Nr rejestracyjny'!$F$5,$G2649))),COUNT($I$1:I2648)+1,"")</f>
        <v>0</v>
      </c>
    </row>
    <row r="2650" spans="6:9">
      <c r="F2650" s="7">
        <f>IF('W rejestracji'!$C$2657="","",'W rejestracji'!$C$2657)</f>
        <v>0</v>
      </c>
      <c r="G2650" s="7">
        <f>IF(Zarejestrowane!$C$2657="","",Zarejestrowane!$C$2657)</f>
        <v>0</v>
      </c>
      <c r="H2650" s="9">
        <f>IF(AND($F2650&lt;&gt;"",ISNUMBER(SEARCH('Nr rejestracyjny'!$F$5,$F2650))),COUNT($H$1:H2649)+1,"")</f>
        <v>0</v>
      </c>
      <c r="I2650" s="9">
        <f>IF(AND($G2650&lt;&gt;"",ISNUMBER(SEARCH('Nr rejestracyjny'!$F$5,$G2650))),COUNT($I$1:I2649)+1,"")</f>
        <v>0</v>
      </c>
    </row>
    <row r="2651" spans="6:9">
      <c r="F2651" s="7">
        <f>IF('W rejestracji'!$C$2658="","",'W rejestracji'!$C$2658)</f>
        <v>0</v>
      </c>
      <c r="G2651" s="7">
        <f>IF(Zarejestrowane!$C$2658="","",Zarejestrowane!$C$2658)</f>
        <v>0</v>
      </c>
      <c r="H2651" s="9">
        <f>IF(AND($F2651&lt;&gt;"",ISNUMBER(SEARCH('Nr rejestracyjny'!$F$5,$F2651))),COUNT($H$1:H2650)+1,"")</f>
        <v>0</v>
      </c>
      <c r="I2651" s="9">
        <f>IF(AND($G2651&lt;&gt;"",ISNUMBER(SEARCH('Nr rejestracyjny'!$F$5,$G2651))),COUNT($I$1:I2650)+1,"")</f>
        <v>0</v>
      </c>
    </row>
    <row r="2652" spans="6:9">
      <c r="F2652" s="7">
        <f>IF('W rejestracji'!$C$2659="","",'W rejestracji'!$C$2659)</f>
        <v>0</v>
      </c>
      <c r="G2652" s="7">
        <f>IF(Zarejestrowane!$C$2659="","",Zarejestrowane!$C$2659)</f>
        <v>0</v>
      </c>
      <c r="H2652" s="9">
        <f>IF(AND($F2652&lt;&gt;"",ISNUMBER(SEARCH('Nr rejestracyjny'!$F$5,$F2652))),COUNT($H$1:H2651)+1,"")</f>
        <v>0</v>
      </c>
      <c r="I2652" s="9">
        <f>IF(AND($G2652&lt;&gt;"",ISNUMBER(SEARCH('Nr rejestracyjny'!$F$5,$G2652))),COUNT($I$1:I2651)+1,"")</f>
        <v>0</v>
      </c>
    </row>
    <row r="2653" spans="6:9">
      <c r="F2653" s="7">
        <f>IF('W rejestracji'!$C$2660="","",'W rejestracji'!$C$2660)</f>
        <v>0</v>
      </c>
      <c r="G2653" s="7">
        <f>IF(Zarejestrowane!$C$2660="","",Zarejestrowane!$C$2660)</f>
        <v>0</v>
      </c>
      <c r="H2653" s="9">
        <f>IF(AND($F2653&lt;&gt;"",ISNUMBER(SEARCH('Nr rejestracyjny'!$F$5,$F2653))),COUNT($H$1:H2652)+1,"")</f>
        <v>0</v>
      </c>
      <c r="I2653" s="9">
        <f>IF(AND($G2653&lt;&gt;"",ISNUMBER(SEARCH('Nr rejestracyjny'!$F$5,$G2653))),COUNT($I$1:I2652)+1,"")</f>
        <v>0</v>
      </c>
    </row>
    <row r="2654" spans="6:9">
      <c r="F2654" s="7">
        <f>IF('W rejestracji'!$C$2661="","",'W rejestracji'!$C$2661)</f>
        <v>0</v>
      </c>
      <c r="G2654" s="7">
        <f>IF(Zarejestrowane!$C$2661="","",Zarejestrowane!$C$2661)</f>
        <v>0</v>
      </c>
      <c r="H2654" s="9">
        <f>IF(AND($F2654&lt;&gt;"",ISNUMBER(SEARCH('Nr rejestracyjny'!$F$5,$F2654))),COUNT($H$1:H2653)+1,"")</f>
        <v>0</v>
      </c>
      <c r="I2654" s="9">
        <f>IF(AND($G2654&lt;&gt;"",ISNUMBER(SEARCH('Nr rejestracyjny'!$F$5,$G2654))),COUNT($I$1:I2653)+1,"")</f>
        <v>0</v>
      </c>
    </row>
    <row r="2655" spans="6:9">
      <c r="F2655" s="7">
        <f>IF('W rejestracji'!$C$2662="","",'W rejestracji'!$C$2662)</f>
        <v>0</v>
      </c>
      <c r="G2655" s="7">
        <f>IF(Zarejestrowane!$C$2662="","",Zarejestrowane!$C$2662)</f>
        <v>0</v>
      </c>
      <c r="H2655" s="9">
        <f>IF(AND($F2655&lt;&gt;"",ISNUMBER(SEARCH('Nr rejestracyjny'!$F$5,$F2655))),COUNT($H$1:H2654)+1,"")</f>
        <v>0</v>
      </c>
      <c r="I2655" s="9">
        <f>IF(AND($G2655&lt;&gt;"",ISNUMBER(SEARCH('Nr rejestracyjny'!$F$5,$G2655))),COUNT($I$1:I2654)+1,"")</f>
        <v>0</v>
      </c>
    </row>
    <row r="2656" spans="6:9">
      <c r="F2656" s="7">
        <f>IF('W rejestracji'!$C$2663="","",'W rejestracji'!$C$2663)</f>
        <v>0</v>
      </c>
      <c r="G2656" s="7">
        <f>IF(Zarejestrowane!$C$2663="","",Zarejestrowane!$C$2663)</f>
        <v>0</v>
      </c>
      <c r="H2656" s="9">
        <f>IF(AND($F2656&lt;&gt;"",ISNUMBER(SEARCH('Nr rejestracyjny'!$F$5,$F2656))),COUNT($H$1:H2655)+1,"")</f>
        <v>0</v>
      </c>
      <c r="I2656" s="9">
        <f>IF(AND($G2656&lt;&gt;"",ISNUMBER(SEARCH('Nr rejestracyjny'!$F$5,$G2656))),COUNT($I$1:I2655)+1,"")</f>
        <v>0</v>
      </c>
    </row>
    <row r="2657" spans="6:9">
      <c r="F2657" s="7">
        <f>IF('W rejestracji'!$C$2664="","",'W rejestracji'!$C$2664)</f>
        <v>0</v>
      </c>
      <c r="G2657" s="7">
        <f>IF(Zarejestrowane!$C$2664="","",Zarejestrowane!$C$2664)</f>
        <v>0</v>
      </c>
      <c r="H2657" s="9">
        <f>IF(AND($F2657&lt;&gt;"",ISNUMBER(SEARCH('Nr rejestracyjny'!$F$5,$F2657))),COUNT($H$1:H2656)+1,"")</f>
        <v>0</v>
      </c>
      <c r="I2657" s="9">
        <f>IF(AND($G2657&lt;&gt;"",ISNUMBER(SEARCH('Nr rejestracyjny'!$F$5,$G2657))),COUNT($I$1:I2656)+1,"")</f>
        <v>0</v>
      </c>
    </row>
    <row r="2658" spans="6:9">
      <c r="F2658" s="7">
        <f>IF('W rejestracji'!$C$2665="","",'W rejestracji'!$C$2665)</f>
        <v>0</v>
      </c>
      <c r="G2658" s="7">
        <f>IF(Zarejestrowane!$C$2665="","",Zarejestrowane!$C$2665)</f>
        <v>0</v>
      </c>
      <c r="H2658" s="9">
        <f>IF(AND($F2658&lt;&gt;"",ISNUMBER(SEARCH('Nr rejestracyjny'!$F$5,$F2658))),COUNT($H$1:H2657)+1,"")</f>
        <v>0</v>
      </c>
      <c r="I2658" s="9">
        <f>IF(AND($G2658&lt;&gt;"",ISNUMBER(SEARCH('Nr rejestracyjny'!$F$5,$G2658))),COUNT($I$1:I2657)+1,"")</f>
        <v>0</v>
      </c>
    </row>
    <row r="2659" spans="6:9">
      <c r="F2659" s="7">
        <f>IF('W rejestracji'!$C$2666="","",'W rejestracji'!$C$2666)</f>
        <v>0</v>
      </c>
      <c r="G2659" s="7">
        <f>IF(Zarejestrowane!$C$2666="","",Zarejestrowane!$C$2666)</f>
        <v>0</v>
      </c>
      <c r="H2659" s="9">
        <f>IF(AND($F2659&lt;&gt;"",ISNUMBER(SEARCH('Nr rejestracyjny'!$F$5,$F2659))),COUNT($H$1:H2658)+1,"")</f>
        <v>0</v>
      </c>
      <c r="I2659" s="9">
        <f>IF(AND($G2659&lt;&gt;"",ISNUMBER(SEARCH('Nr rejestracyjny'!$F$5,$G2659))),COUNT($I$1:I2658)+1,"")</f>
        <v>0</v>
      </c>
    </row>
    <row r="2660" spans="6:9">
      <c r="F2660" s="7">
        <f>IF('W rejestracji'!$C$2667="","",'W rejestracji'!$C$2667)</f>
        <v>0</v>
      </c>
      <c r="G2660" s="7">
        <f>IF(Zarejestrowane!$C$2667="","",Zarejestrowane!$C$2667)</f>
        <v>0</v>
      </c>
      <c r="H2660" s="9">
        <f>IF(AND($F2660&lt;&gt;"",ISNUMBER(SEARCH('Nr rejestracyjny'!$F$5,$F2660))),COUNT($H$1:H2659)+1,"")</f>
        <v>0</v>
      </c>
      <c r="I2660" s="9">
        <f>IF(AND($G2660&lt;&gt;"",ISNUMBER(SEARCH('Nr rejestracyjny'!$F$5,$G2660))),COUNT($I$1:I2659)+1,"")</f>
        <v>0</v>
      </c>
    </row>
    <row r="2661" spans="6:9">
      <c r="F2661" s="7">
        <f>IF('W rejestracji'!$C$2668="","",'W rejestracji'!$C$2668)</f>
        <v>0</v>
      </c>
      <c r="G2661" s="7">
        <f>IF(Zarejestrowane!$C$2668="","",Zarejestrowane!$C$2668)</f>
        <v>0</v>
      </c>
      <c r="H2661" s="9">
        <f>IF(AND($F2661&lt;&gt;"",ISNUMBER(SEARCH('Nr rejestracyjny'!$F$5,$F2661))),COUNT($H$1:H2660)+1,"")</f>
        <v>0</v>
      </c>
      <c r="I2661" s="9">
        <f>IF(AND($G2661&lt;&gt;"",ISNUMBER(SEARCH('Nr rejestracyjny'!$F$5,$G2661))),COUNT($I$1:I2660)+1,"")</f>
        <v>0</v>
      </c>
    </row>
    <row r="2662" spans="6:9">
      <c r="F2662" s="7">
        <f>IF('W rejestracji'!$C$2669="","",'W rejestracji'!$C$2669)</f>
        <v>0</v>
      </c>
      <c r="G2662" s="7">
        <f>IF(Zarejestrowane!$C$2669="","",Zarejestrowane!$C$2669)</f>
        <v>0</v>
      </c>
      <c r="H2662" s="9">
        <f>IF(AND($F2662&lt;&gt;"",ISNUMBER(SEARCH('Nr rejestracyjny'!$F$5,$F2662))),COUNT($H$1:H2661)+1,"")</f>
        <v>0</v>
      </c>
      <c r="I2662" s="9">
        <f>IF(AND($G2662&lt;&gt;"",ISNUMBER(SEARCH('Nr rejestracyjny'!$F$5,$G2662))),COUNT($I$1:I2661)+1,"")</f>
        <v>0</v>
      </c>
    </row>
    <row r="2663" spans="6:9">
      <c r="F2663" s="7">
        <f>IF('W rejestracji'!$C$2670="","",'W rejestracji'!$C$2670)</f>
        <v>0</v>
      </c>
      <c r="G2663" s="7">
        <f>IF(Zarejestrowane!$C$2670="","",Zarejestrowane!$C$2670)</f>
        <v>0</v>
      </c>
      <c r="H2663" s="9">
        <f>IF(AND($F2663&lt;&gt;"",ISNUMBER(SEARCH('Nr rejestracyjny'!$F$5,$F2663))),COUNT($H$1:H2662)+1,"")</f>
        <v>0</v>
      </c>
      <c r="I2663" s="9">
        <f>IF(AND($G2663&lt;&gt;"",ISNUMBER(SEARCH('Nr rejestracyjny'!$F$5,$G2663))),COUNT($I$1:I2662)+1,"")</f>
        <v>0</v>
      </c>
    </row>
    <row r="2664" spans="6:9">
      <c r="F2664" s="7">
        <f>IF('W rejestracji'!$C$2671="","",'W rejestracji'!$C$2671)</f>
        <v>0</v>
      </c>
      <c r="G2664" s="7">
        <f>IF(Zarejestrowane!$C$2671="","",Zarejestrowane!$C$2671)</f>
        <v>0</v>
      </c>
      <c r="H2664" s="9">
        <f>IF(AND($F2664&lt;&gt;"",ISNUMBER(SEARCH('Nr rejestracyjny'!$F$5,$F2664))),COUNT($H$1:H2663)+1,"")</f>
        <v>0</v>
      </c>
      <c r="I2664" s="9">
        <f>IF(AND($G2664&lt;&gt;"",ISNUMBER(SEARCH('Nr rejestracyjny'!$F$5,$G2664))),COUNT($I$1:I2663)+1,"")</f>
        <v>0</v>
      </c>
    </row>
    <row r="2665" spans="6:9">
      <c r="F2665" s="7">
        <f>IF('W rejestracji'!$C$2672="","",'W rejestracji'!$C$2672)</f>
        <v>0</v>
      </c>
      <c r="G2665" s="7">
        <f>IF(Zarejestrowane!$C$2672="","",Zarejestrowane!$C$2672)</f>
        <v>0</v>
      </c>
      <c r="H2665" s="9">
        <f>IF(AND($F2665&lt;&gt;"",ISNUMBER(SEARCH('Nr rejestracyjny'!$F$5,$F2665))),COUNT($H$1:H2664)+1,"")</f>
        <v>0</v>
      </c>
      <c r="I2665" s="9">
        <f>IF(AND($G2665&lt;&gt;"",ISNUMBER(SEARCH('Nr rejestracyjny'!$F$5,$G2665))),COUNT($I$1:I2664)+1,"")</f>
        <v>0</v>
      </c>
    </row>
    <row r="2666" spans="6:9">
      <c r="F2666" s="7">
        <f>IF('W rejestracji'!$C$2673="","",'W rejestracji'!$C$2673)</f>
        <v>0</v>
      </c>
      <c r="G2666" s="7">
        <f>IF(Zarejestrowane!$C$2673="","",Zarejestrowane!$C$2673)</f>
        <v>0</v>
      </c>
      <c r="H2666" s="9">
        <f>IF(AND($F2666&lt;&gt;"",ISNUMBER(SEARCH('Nr rejestracyjny'!$F$5,$F2666))),COUNT($H$1:H2665)+1,"")</f>
        <v>0</v>
      </c>
      <c r="I2666" s="9">
        <f>IF(AND($G2666&lt;&gt;"",ISNUMBER(SEARCH('Nr rejestracyjny'!$F$5,$G2666))),COUNT($I$1:I2665)+1,"")</f>
        <v>0</v>
      </c>
    </row>
    <row r="2667" spans="6:9">
      <c r="F2667" s="7">
        <f>IF('W rejestracji'!$C$2674="","",'W rejestracji'!$C$2674)</f>
        <v>0</v>
      </c>
      <c r="G2667" s="7">
        <f>IF(Zarejestrowane!$C$2674="","",Zarejestrowane!$C$2674)</f>
        <v>0</v>
      </c>
      <c r="H2667" s="9">
        <f>IF(AND($F2667&lt;&gt;"",ISNUMBER(SEARCH('Nr rejestracyjny'!$F$5,$F2667))),COUNT($H$1:H2666)+1,"")</f>
        <v>0</v>
      </c>
      <c r="I2667" s="9">
        <f>IF(AND($G2667&lt;&gt;"",ISNUMBER(SEARCH('Nr rejestracyjny'!$F$5,$G2667))),COUNT($I$1:I2666)+1,"")</f>
        <v>0</v>
      </c>
    </row>
    <row r="2668" spans="6:9">
      <c r="F2668" s="7">
        <f>IF('W rejestracji'!$C$2675="","",'W rejestracji'!$C$2675)</f>
        <v>0</v>
      </c>
      <c r="G2668" s="7">
        <f>IF(Zarejestrowane!$C$2675="","",Zarejestrowane!$C$2675)</f>
        <v>0</v>
      </c>
      <c r="H2668" s="9">
        <f>IF(AND($F2668&lt;&gt;"",ISNUMBER(SEARCH('Nr rejestracyjny'!$F$5,$F2668))),COUNT($H$1:H2667)+1,"")</f>
        <v>0</v>
      </c>
      <c r="I2668" s="9">
        <f>IF(AND($G2668&lt;&gt;"",ISNUMBER(SEARCH('Nr rejestracyjny'!$F$5,$G2668))),COUNT($I$1:I2667)+1,"")</f>
        <v>0</v>
      </c>
    </row>
    <row r="2669" spans="6:9">
      <c r="F2669" s="7">
        <f>IF('W rejestracji'!$C$2676="","",'W rejestracji'!$C$2676)</f>
        <v>0</v>
      </c>
      <c r="G2669" s="7">
        <f>IF(Zarejestrowane!$C$2676="","",Zarejestrowane!$C$2676)</f>
        <v>0</v>
      </c>
      <c r="H2669" s="9">
        <f>IF(AND($F2669&lt;&gt;"",ISNUMBER(SEARCH('Nr rejestracyjny'!$F$5,$F2669))),COUNT($H$1:H2668)+1,"")</f>
        <v>0</v>
      </c>
      <c r="I2669" s="9">
        <f>IF(AND($G2669&lt;&gt;"",ISNUMBER(SEARCH('Nr rejestracyjny'!$F$5,$G2669))),COUNT($I$1:I2668)+1,"")</f>
        <v>0</v>
      </c>
    </row>
    <row r="2670" spans="6:9">
      <c r="F2670" s="7">
        <f>IF('W rejestracji'!$C$2677="","",'W rejestracji'!$C$2677)</f>
        <v>0</v>
      </c>
      <c r="G2670" s="7">
        <f>IF(Zarejestrowane!$C$2677="","",Zarejestrowane!$C$2677)</f>
        <v>0</v>
      </c>
      <c r="H2670" s="9">
        <f>IF(AND($F2670&lt;&gt;"",ISNUMBER(SEARCH('Nr rejestracyjny'!$F$5,$F2670))),COUNT($H$1:H2669)+1,"")</f>
        <v>0</v>
      </c>
      <c r="I2670" s="9">
        <f>IF(AND($G2670&lt;&gt;"",ISNUMBER(SEARCH('Nr rejestracyjny'!$F$5,$G2670))),COUNT($I$1:I2669)+1,"")</f>
        <v>0</v>
      </c>
    </row>
    <row r="2671" spans="6:9">
      <c r="F2671" s="7">
        <f>IF('W rejestracji'!$C$2678="","",'W rejestracji'!$C$2678)</f>
        <v>0</v>
      </c>
      <c r="G2671" s="7">
        <f>IF(Zarejestrowane!$C$2678="","",Zarejestrowane!$C$2678)</f>
        <v>0</v>
      </c>
      <c r="H2671" s="9">
        <f>IF(AND($F2671&lt;&gt;"",ISNUMBER(SEARCH('Nr rejestracyjny'!$F$5,$F2671))),COUNT($H$1:H2670)+1,"")</f>
        <v>0</v>
      </c>
      <c r="I2671" s="9">
        <f>IF(AND($G2671&lt;&gt;"",ISNUMBER(SEARCH('Nr rejestracyjny'!$F$5,$G2671))),COUNT($I$1:I2670)+1,"")</f>
        <v>0</v>
      </c>
    </row>
    <row r="2672" spans="6:9">
      <c r="F2672" s="7">
        <f>IF('W rejestracji'!$C$2679="","",'W rejestracji'!$C$2679)</f>
        <v>0</v>
      </c>
      <c r="G2672" s="7">
        <f>IF(Zarejestrowane!$C$2679="","",Zarejestrowane!$C$2679)</f>
        <v>0</v>
      </c>
      <c r="H2672" s="9">
        <f>IF(AND($F2672&lt;&gt;"",ISNUMBER(SEARCH('Nr rejestracyjny'!$F$5,$F2672))),COUNT($H$1:H2671)+1,"")</f>
        <v>0</v>
      </c>
      <c r="I2672" s="9">
        <f>IF(AND($G2672&lt;&gt;"",ISNUMBER(SEARCH('Nr rejestracyjny'!$F$5,$G2672))),COUNT($I$1:I2671)+1,"")</f>
        <v>0</v>
      </c>
    </row>
    <row r="2673" spans="6:9">
      <c r="F2673" s="7">
        <f>IF('W rejestracji'!$C$2680="","",'W rejestracji'!$C$2680)</f>
        <v>0</v>
      </c>
      <c r="G2673" s="7">
        <f>IF(Zarejestrowane!$C$2680="","",Zarejestrowane!$C$2680)</f>
        <v>0</v>
      </c>
      <c r="H2673" s="9">
        <f>IF(AND($F2673&lt;&gt;"",ISNUMBER(SEARCH('Nr rejestracyjny'!$F$5,$F2673))),COUNT($H$1:H2672)+1,"")</f>
        <v>0</v>
      </c>
      <c r="I2673" s="9">
        <f>IF(AND($G2673&lt;&gt;"",ISNUMBER(SEARCH('Nr rejestracyjny'!$F$5,$G2673))),COUNT($I$1:I2672)+1,"")</f>
        <v>0</v>
      </c>
    </row>
    <row r="2674" spans="6:9">
      <c r="F2674" s="7">
        <f>IF('W rejestracji'!$C$2681="","",'W rejestracji'!$C$2681)</f>
        <v>0</v>
      </c>
      <c r="G2674" s="7">
        <f>IF(Zarejestrowane!$C$2681="","",Zarejestrowane!$C$2681)</f>
        <v>0</v>
      </c>
      <c r="H2674" s="9">
        <f>IF(AND($F2674&lt;&gt;"",ISNUMBER(SEARCH('Nr rejestracyjny'!$F$5,$F2674))),COUNT($H$1:H2673)+1,"")</f>
        <v>0</v>
      </c>
      <c r="I2674" s="9">
        <f>IF(AND($G2674&lt;&gt;"",ISNUMBER(SEARCH('Nr rejestracyjny'!$F$5,$G2674))),COUNT($I$1:I2673)+1,"")</f>
        <v>0</v>
      </c>
    </row>
    <row r="2675" spans="6:9">
      <c r="F2675" s="7">
        <f>IF('W rejestracji'!$C$2682="","",'W rejestracji'!$C$2682)</f>
        <v>0</v>
      </c>
      <c r="G2675" s="7">
        <f>IF(Zarejestrowane!$C$2682="","",Zarejestrowane!$C$2682)</f>
        <v>0</v>
      </c>
      <c r="H2675" s="9">
        <f>IF(AND($F2675&lt;&gt;"",ISNUMBER(SEARCH('Nr rejestracyjny'!$F$5,$F2675))),COUNT($H$1:H2674)+1,"")</f>
        <v>0</v>
      </c>
      <c r="I2675" s="9">
        <f>IF(AND($G2675&lt;&gt;"",ISNUMBER(SEARCH('Nr rejestracyjny'!$F$5,$G2675))),COUNT($I$1:I2674)+1,"")</f>
        <v>0</v>
      </c>
    </row>
    <row r="2676" spans="6:9">
      <c r="F2676" s="7">
        <f>IF('W rejestracji'!$C$2683="","",'W rejestracji'!$C$2683)</f>
        <v>0</v>
      </c>
      <c r="G2676" s="7">
        <f>IF(Zarejestrowane!$C$2683="","",Zarejestrowane!$C$2683)</f>
        <v>0</v>
      </c>
      <c r="H2676" s="9">
        <f>IF(AND($F2676&lt;&gt;"",ISNUMBER(SEARCH('Nr rejestracyjny'!$F$5,$F2676))),COUNT($H$1:H2675)+1,"")</f>
        <v>0</v>
      </c>
      <c r="I2676" s="9">
        <f>IF(AND($G2676&lt;&gt;"",ISNUMBER(SEARCH('Nr rejestracyjny'!$F$5,$G2676))),COUNT($I$1:I2675)+1,"")</f>
        <v>0</v>
      </c>
    </row>
    <row r="2677" spans="6:9">
      <c r="F2677" s="7">
        <f>IF('W rejestracji'!$C$2684="","",'W rejestracji'!$C$2684)</f>
        <v>0</v>
      </c>
      <c r="G2677" s="7">
        <f>IF(Zarejestrowane!$C$2684="","",Zarejestrowane!$C$2684)</f>
        <v>0</v>
      </c>
      <c r="H2677" s="9">
        <f>IF(AND($F2677&lt;&gt;"",ISNUMBER(SEARCH('Nr rejestracyjny'!$F$5,$F2677))),COUNT($H$1:H2676)+1,"")</f>
        <v>0</v>
      </c>
      <c r="I2677" s="9">
        <f>IF(AND($G2677&lt;&gt;"",ISNUMBER(SEARCH('Nr rejestracyjny'!$F$5,$G2677))),COUNT($I$1:I2676)+1,"")</f>
        <v>0</v>
      </c>
    </row>
    <row r="2678" spans="6:9">
      <c r="F2678" s="7">
        <f>IF('W rejestracji'!$C$2685="","",'W rejestracji'!$C$2685)</f>
        <v>0</v>
      </c>
      <c r="G2678" s="7">
        <f>IF(Zarejestrowane!$C$2685="","",Zarejestrowane!$C$2685)</f>
        <v>0</v>
      </c>
      <c r="H2678" s="9">
        <f>IF(AND($F2678&lt;&gt;"",ISNUMBER(SEARCH('Nr rejestracyjny'!$F$5,$F2678))),COUNT($H$1:H2677)+1,"")</f>
        <v>0</v>
      </c>
      <c r="I2678" s="9">
        <f>IF(AND($G2678&lt;&gt;"",ISNUMBER(SEARCH('Nr rejestracyjny'!$F$5,$G2678))),COUNT($I$1:I2677)+1,"")</f>
        <v>0</v>
      </c>
    </row>
    <row r="2679" spans="6:9">
      <c r="F2679" s="7">
        <f>IF('W rejestracji'!$C$2686="","",'W rejestracji'!$C$2686)</f>
        <v>0</v>
      </c>
      <c r="G2679" s="7">
        <f>IF(Zarejestrowane!$C$2686="","",Zarejestrowane!$C$2686)</f>
        <v>0</v>
      </c>
      <c r="H2679" s="9">
        <f>IF(AND($F2679&lt;&gt;"",ISNUMBER(SEARCH('Nr rejestracyjny'!$F$5,$F2679))),COUNT($H$1:H2678)+1,"")</f>
        <v>0</v>
      </c>
      <c r="I2679" s="9">
        <f>IF(AND($G2679&lt;&gt;"",ISNUMBER(SEARCH('Nr rejestracyjny'!$F$5,$G2679))),COUNT($I$1:I2678)+1,"")</f>
        <v>0</v>
      </c>
    </row>
    <row r="2680" spans="6:9">
      <c r="F2680" s="7">
        <f>IF('W rejestracji'!$C$2687="","",'W rejestracji'!$C$2687)</f>
        <v>0</v>
      </c>
      <c r="G2680" s="7">
        <f>IF(Zarejestrowane!$C$2687="","",Zarejestrowane!$C$2687)</f>
        <v>0</v>
      </c>
      <c r="H2680" s="9">
        <f>IF(AND($F2680&lt;&gt;"",ISNUMBER(SEARCH('Nr rejestracyjny'!$F$5,$F2680))),COUNT($H$1:H2679)+1,"")</f>
        <v>0</v>
      </c>
      <c r="I2680" s="9">
        <f>IF(AND($G2680&lt;&gt;"",ISNUMBER(SEARCH('Nr rejestracyjny'!$F$5,$G2680))),COUNT($I$1:I2679)+1,"")</f>
        <v>0</v>
      </c>
    </row>
    <row r="2681" spans="6:9">
      <c r="F2681" s="7">
        <f>IF('W rejestracji'!$C$2688="","",'W rejestracji'!$C$2688)</f>
        <v>0</v>
      </c>
      <c r="G2681" s="7">
        <f>IF(Zarejestrowane!$C$2688="","",Zarejestrowane!$C$2688)</f>
        <v>0</v>
      </c>
      <c r="H2681" s="9">
        <f>IF(AND($F2681&lt;&gt;"",ISNUMBER(SEARCH('Nr rejestracyjny'!$F$5,$F2681))),COUNT($H$1:H2680)+1,"")</f>
        <v>0</v>
      </c>
      <c r="I2681" s="9">
        <f>IF(AND($G2681&lt;&gt;"",ISNUMBER(SEARCH('Nr rejestracyjny'!$F$5,$G2681))),COUNT($I$1:I2680)+1,"")</f>
        <v>0</v>
      </c>
    </row>
    <row r="2682" spans="6:9">
      <c r="F2682" s="7">
        <f>IF('W rejestracji'!$C$2689="","",'W rejestracji'!$C$2689)</f>
        <v>0</v>
      </c>
      <c r="G2682" s="7">
        <f>IF(Zarejestrowane!$C$2689="","",Zarejestrowane!$C$2689)</f>
        <v>0</v>
      </c>
      <c r="H2682" s="9">
        <f>IF(AND($F2682&lt;&gt;"",ISNUMBER(SEARCH('Nr rejestracyjny'!$F$5,$F2682))),COUNT($H$1:H2681)+1,"")</f>
        <v>0</v>
      </c>
      <c r="I2682" s="9">
        <f>IF(AND($G2682&lt;&gt;"",ISNUMBER(SEARCH('Nr rejestracyjny'!$F$5,$G2682))),COUNT($I$1:I2681)+1,"")</f>
        <v>0</v>
      </c>
    </row>
    <row r="2683" spans="6:9">
      <c r="F2683" s="7">
        <f>IF('W rejestracji'!$C$2690="","",'W rejestracji'!$C$2690)</f>
        <v>0</v>
      </c>
      <c r="G2683" s="7">
        <f>IF(Zarejestrowane!$C$2690="","",Zarejestrowane!$C$2690)</f>
        <v>0</v>
      </c>
      <c r="H2683" s="9">
        <f>IF(AND($F2683&lt;&gt;"",ISNUMBER(SEARCH('Nr rejestracyjny'!$F$5,$F2683))),COUNT($H$1:H2682)+1,"")</f>
        <v>0</v>
      </c>
      <c r="I2683" s="9">
        <f>IF(AND($G2683&lt;&gt;"",ISNUMBER(SEARCH('Nr rejestracyjny'!$F$5,$G2683))),COUNT($I$1:I2682)+1,"")</f>
        <v>0</v>
      </c>
    </row>
    <row r="2684" spans="6:9">
      <c r="F2684" s="7">
        <f>IF('W rejestracji'!$C$2691="","",'W rejestracji'!$C$2691)</f>
        <v>0</v>
      </c>
      <c r="G2684" s="7">
        <f>IF(Zarejestrowane!$C$2691="","",Zarejestrowane!$C$2691)</f>
        <v>0</v>
      </c>
      <c r="H2684" s="9">
        <f>IF(AND($F2684&lt;&gt;"",ISNUMBER(SEARCH('Nr rejestracyjny'!$F$5,$F2684))),COUNT($H$1:H2683)+1,"")</f>
        <v>0</v>
      </c>
      <c r="I2684" s="9">
        <f>IF(AND($G2684&lt;&gt;"",ISNUMBER(SEARCH('Nr rejestracyjny'!$F$5,$G2684))),COUNT($I$1:I2683)+1,"")</f>
        <v>0</v>
      </c>
    </row>
    <row r="2685" spans="6:9">
      <c r="F2685" s="7">
        <f>IF('W rejestracji'!$C$2692="","",'W rejestracji'!$C$2692)</f>
        <v>0</v>
      </c>
      <c r="G2685" s="7">
        <f>IF(Zarejestrowane!$C$2692="","",Zarejestrowane!$C$2692)</f>
        <v>0</v>
      </c>
      <c r="H2685" s="9">
        <f>IF(AND($F2685&lt;&gt;"",ISNUMBER(SEARCH('Nr rejestracyjny'!$F$5,$F2685))),COUNT($H$1:H2684)+1,"")</f>
        <v>0</v>
      </c>
      <c r="I2685" s="9">
        <f>IF(AND($G2685&lt;&gt;"",ISNUMBER(SEARCH('Nr rejestracyjny'!$F$5,$G2685))),COUNT($I$1:I2684)+1,"")</f>
        <v>0</v>
      </c>
    </row>
    <row r="2686" spans="6:9">
      <c r="F2686" s="7">
        <f>IF('W rejestracji'!$C$2693="","",'W rejestracji'!$C$2693)</f>
        <v>0</v>
      </c>
      <c r="G2686" s="7">
        <f>IF(Zarejestrowane!$C$2693="","",Zarejestrowane!$C$2693)</f>
        <v>0</v>
      </c>
      <c r="H2686" s="9">
        <f>IF(AND($F2686&lt;&gt;"",ISNUMBER(SEARCH('Nr rejestracyjny'!$F$5,$F2686))),COUNT($H$1:H2685)+1,"")</f>
        <v>0</v>
      </c>
      <c r="I2686" s="9">
        <f>IF(AND($G2686&lt;&gt;"",ISNUMBER(SEARCH('Nr rejestracyjny'!$F$5,$G2686))),COUNT($I$1:I2685)+1,"")</f>
        <v>0</v>
      </c>
    </row>
    <row r="2687" spans="6:9">
      <c r="F2687" s="7">
        <f>IF('W rejestracji'!$C$2694="","",'W rejestracji'!$C$2694)</f>
        <v>0</v>
      </c>
      <c r="G2687" s="7">
        <f>IF(Zarejestrowane!$C$2694="","",Zarejestrowane!$C$2694)</f>
        <v>0</v>
      </c>
      <c r="H2687" s="9">
        <f>IF(AND($F2687&lt;&gt;"",ISNUMBER(SEARCH('Nr rejestracyjny'!$F$5,$F2687))),COUNT($H$1:H2686)+1,"")</f>
        <v>0</v>
      </c>
      <c r="I2687" s="9">
        <f>IF(AND($G2687&lt;&gt;"",ISNUMBER(SEARCH('Nr rejestracyjny'!$F$5,$G2687))),COUNT($I$1:I2686)+1,"")</f>
        <v>0</v>
      </c>
    </row>
    <row r="2688" spans="6:9">
      <c r="F2688" s="7">
        <f>IF('W rejestracji'!$C$2695="","",'W rejestracji'!$C$2695)</f>
        <v>0</v>
      </c>
      <c r="G2688" s="7">
        <f>IF(Zarejestrowane!$C$2695="","",Zarejestrowane!$C$2695)</f>
        <v>0</v>
      </c>
      <c r="H2688" s="9">
        <f>IF(AND($F2688&lt;&gt;"",ISNUMBER(SEARCH('Nr rejestracyjny'!$F$5,$F2688))),COUNT($H$1:H2687)+1,"")</f>
        <v>0</v>
      </c>
      <c r="I2688" s="9">
        <f>IF(AND($G2688&lt;&gt;"",ISNUMBER(SEARCH('Nr rejestracyjny'!$F$5,$G2688))),COUNT($I$1:I2687)+1,"")</f>
        <v>0</v>
      </c>
    </row>
    <row r="2689" spans="6:9">
      <c r="F2689" s="7">
        <f>IF('W rejestracji'!$C$2696="","",'W rejestracji'!$C$2696)</f>
        <v>0</v>
      </c>
      <c r="G2689" s="7">
        <f>IF(Zarejestrowane!$C$2696="","",Zarejestrowane!$C$2696)</f>
        <v>0</v>
      </c>
      <c r="H2689" s="9">
        <f>IF(AND($F2689&lt;&gt;"",ISNUMBER(SEARCH('Nr rejestracyjny'!$F$5,$F2689))),COUNT($H$1:H2688)+1,"")</f>
        <v>0</v>
      </c>
      <c r="I2689" s="9">
        <f>IF(AND($G2689&lt;&gt;"",ISNUMBER(SEARCH('Nr rejestracyjny'!$F$5,$G2689))),COUNT($I$1:I2688)+1,"")</f>
        <v>0</v>
      </c>
    </row>
    <row r="2690" spans="6:9">
      <c r="F2690" s="7">
        <f>IF('W rejestracji'!$C$2697="","",'W rejestracji'!$C$2697)</f>
        <v>0</v>
      </c>
      <c r="G2690" s="7">
        <f>IF(Zarejestrowane!$C$2697="","",Zarejestrowane!$C$2697)</f>
        <v>0</v>
      </c>
      <c r="H2690" s="9">
        <f>IF(AND($F2690&lt;&gt;"",ISNUMBER(SEARCH('Nr rejestracyjny'!$F$5,$F2690))),COUNT($H$1:H2689)+1,"")</f>
        <v>0</v>
      </c>
      <c r="I2690" s="9">
        <f>IF(AND($G2690&lt;&gt;"",ISNUMBER(SEARCH('Nr rejestracyjny'!$F$5,$G2690))),COUNT($I$1:I2689)+1,"")</f>
        <v>0</v>
      </c>
    </row>
    <row r="2691" spans="6:9">
      <c r="F2691" s="7">
        <f>IF('W rejestracji'!$C$2698="","",'W rejestracji'!$C$2698)</f>
        <v>0</v>
      </c>
      <c r="G2691" s="7">
        <f>IF(Zarejestrowane!$C$2698="","",Zarejestrowane!$C$2698)</f>
        <v>0</v>
      </c>
      <c r="H2691" s="9">
        <f>IF(AND($F2691&lt;&gt;"",ISNUMBER(SEARCH('Nr rejestracyjny'!$F$5,$F2691))),COUNT($H$1:H2690)+1,"")</f>
        <v>0</v>
      </c>
      <c r="I2691" s="9">
        <f>IF(AND($G2691&lt;&gt;"",ISNUMBER(SEARCH('Nr rejestracyjny'!$F$5,$G2691))),COUNT($I$1:I2690)+1,"")</f>
        <v>0</v>
      </c>
    </row>
    <row r="2692" spans="6:9">
      <c r="F2692" s="7">
        <f>IF('W rejestracji'!$C$2699="","",'W rejestracji'!$C$2699)</f>
        <v>0</v>
      </c>
      <c r="G2692" s="7">
        <f>IF(Zarejestrowane!$C$2699="","",Zarejestrowane!$C$2699)</f>
        <v>0</v>
      </c>
      <c r="H2692" s="9">
        <f>IF(AND($F2692&lt;&gt;"",ISNUMBER(SEARCH('Nr rejestracyjny'!$F$5,$F2692))),COUNT($H$1:H2691)+1,"")</f>
        <v>0</v>
      </c>
      <c r="I2692" s="9">
        <f>IF(AND($G2692&lt;&gt;"",ISNUMBER(SEARCH('Nr rejestracyjny'!$F$5,$G2692))),COUNT($I$1:I2691)+1,"")</f>
        <v>0</v>
      </c>
    </row>
    <row r="2693" spans="6:9">
      <c r="F2693" s="7">
        <f>IF('W rejestracji'!$C$2700="","",'W rejestracji'!$C$2700)</f>
        <v>0</v>
      </c>
      <c r="G2693" s="7">
        <f>IF(Zarejestrowane!$C$2700="","",Zarejestrowane!$C$2700)</f>
        <v>0</v>
      </c>
      <c r="H2693" s="9">
        <f>IF(AND($F2693&lt;&gt;"",ISNUMBER(SEARCH('Nr rejestracyjny'!$F$5,$F2693))),COUNT($H$1:H2692)+1,"")</f>
        <v>0</v>
      </c>
      <c r="I2693" s="9">
        <f>IF(AND($G2693&lt;&gt;"",ISNUMBER(SEARCH('Nr rejestracyjny'!$F$5,$G2693))),COUNT($I$1:I2692)+1,"")</f>
        <v>0</v>
      </c>
    </row>
    <row r="2694" spans="6:9">
      <c r="F2694" s="7">
        <f>IF('W rejestracji'!$C$2701="","",'W rejestracji'!$C$2701)</f>
        <v>0</v>
      </c>
      <c r="G2694" s="7">
        <f>IF(Zarejestrowane!$C$2701="","",Zarejestrowane!$C$2701)</f>
        <v>0</v>
      </c>
      <c r="H2694" s="9">
        <f>IF(AND($F2694&lt;&gt;"",ISNUMBER(SEARCH('Nr rejestracyjny'!$F$5,$F2694))),COUNT($H$1:H2693)+1,"")</f>
        <v>0</v>
      </c>
      <c r="I2694" s="9">
        <f>IF(AND($G2694&lt;&gt;"",ISNUMBER(SEARCH('Nr rejestracyjny'!$F$5,$G2694))),COUNT($I$1:I2693)+1,"")</f>
        <v>0</v>
      </c>
    </row>
    <row r="2695" spans="6:9">
      <c r="F2695" s="7">
        <f>IF('W rejestracji'!$C$2702="","",'W rejestracji'!$C$2702)</f>
        <v>0</v>
      </c>
      <c r="G2695" s="7">
        <f>IF(Zarejestrowane!$C$2702="","",Zarejestrowane!$C$2702)</f>
        <v>0</v>
      </c>
      <c r="H2695" s="9">
        <f>IF(AND($F2695&lt;&gt;"",ISNUMBER(SEARCH('Nr rejestracyjny'!$F$5,$F2695))),COUNT($H$1:H2694)+1,"")</f>
        <v>0</v>
      </c>
      <c r="I2695" s="9">
        <f>IF(AND($G2695&lt;&gt;"",ISNUMBER(SEARCH('Nr rejestracyjny'!$F$5,$G2695))),COUNT($I$1:I2694)+1,"")</f>
        <v>0</v>
      </c>
    </row>
    <row r="2696" spans="6:9">
      <c r="F2696" s="7">
        <f>IF('W rejestracji'!$C$2703="","",'W rejestracji'!$C$2703)</f>
        <v>0</v>
      </c>
      <c r="G2696" s="7">
        <f>IF(Zarejestrowane!$C$2703="","",Zarejestrowane!$C$2703)</f>
        <v>0</v>
      </c>
      <c r="H2696" s="9">
        <f>IF(AND($F2696&lt;&gt;"",ISNUMBER(SEARCH('Nr rejestracyjny'!$F$5,$F2696))),COUNT($H$1:H2695)+1,"")</f>
        <v>0</v>
      </c>
      <c r="I2696" s="9">
        <f>IF(AND($G2696&lt;&gt;"",ISNUMBER(SEARCH('Nr rejestracyjny'!$F$5,$G2696))),COUNT($I$1:I2695)+1,"")</f>
        <v>0</v>
      </c>
    </row>
    <row r="2697" spans="6:9">
      <c r="F2697" s="7">
        <f>IF('W rejestracji'!$C$2704="","",'W rejestracji'!$C$2704)</f>
        <v>0</v>
      </c>
      <c r="G2697" s="7">
        <f>IF(Zarejestrowane!$C$2704="","",Zarejestrowane!$C$2704)</f>
        <v>0</v>
      </c>
      <c r="H2697" s="9">
        <f>IF(AND($F2697&lt;&gt;"",ISNUMBER(SEARCH('Nr rejestracyjny'!$F$5,$F2697))),COUNT($H$1:H2696)+1,"")</f>
        <v>0</v>
      </c>
      <c r="I2697" s="9">
        <f>IF(AND($G2697&lt;&gt;"",ISNUMBER(SEARCH('Nr rejestracyjny'!$F$5,$G2697))),COUNT($I$1:I2696)+1,"")</f>
        <v>0</v>
      </c>
    </row>
    <row r="2698" spans="6:9">
      <c r="F2698" s="7">
        <f>IF('W rejestracji'!$C$2705="","",'W rejestracji'!$C$2705)</f>
        <v>0</v>
      </c>
      <c r="G2698" s="7">
        <f>IF(Zarejestrowane!$C$2705="","",Zarejestrowane!$C$2705)</f>
        <v>0</v>
      </c>
      <c r="H2698" s="9">
        <f>IF(AND($F2698&lt;&gt;"",ISNUMBER(SEARCH('Nr rejestracyjny'!$F$5,$F2698))),COUNT($H$1:H2697)+1,"")</f>
        <v>0</v>
      </c>
      <c r="I2698" s="9">
        <f>IF(AND($G2698&lt;&gt;"",ISNUMBER(SEARCH('Nr rejestracyjny'!$F$5,$G2698))),COUNT($I$1:I2697)+1,"")</f>
        <v>0</v>
      </c>
    </row>
    <row r="2699" spans="6:9">
      <c r="F2699" s="7">
        <f>IF('W rejestracji'!$C$2706="","",'W rejestracji'!$C$2706)</f>
        <v>0</v>
      </c>
      <c r="G2699" s="7">
        <f>IF(Zarejestrowane!$C$2706="","",Zarejestrowane!$C$2706)</f>
        <v>0</v>
      </c>
      <c r="H2699" s="9">
        <f>IF(AND($F2699&lt;&gt;"",ISNUMBER(SEARCH('Nr rejestracyjny'!$F$5,$F2699))),COUNT($H$1:H2698)+1,"")</f>
        <v>0</v>
      </c>
      <c r="I2699" s="9">
        <f>IF(AND($G2699&lt;&gt;"",ISNUMBER(SEARCH('Nr rejestracyjny'!$F$5,$G2699))),COUNT($I$1:I2698)+1,"")</f>
        <v>0</v>
      </c>
    </row>
    <row r="2700" spans="6:9">
      <c r="F2700" s="7">
        <f>IF('W rejestracji'!$C$2707="","",'W rejestracji'!$C$2707)</f>
        <v>0</v>
      </c>
      <c r="G2700" s="7">
        <f>IF(Zarejestrowane!$C$2707="","",Zarejestrowane!$C$2707)</f>
        <v>0</v>
      </c>
      <c r="H2700" s="9">
        <f>IF(AND($F2700&lt;&gt;"",ISNUMBER(SEARCH('Nr rejestracyjny'!$F$5,$F2700))),COUNT($H$1:H2699)+1,"")</f>
        <v>0</v>
      </c>
      <c r="I2700" s="9">
        <f>IF(AND($G2700&lt;&gt;"",ISNUMBER(SEARCH('Nr rejestracyjny'!$F$5,$G2700))),COUNT($I$1:I2699)+1,"")</f>
        <v>0</v>
      </c>
    </row>
    <row r="2701" spans="6:9">
      <c r="F2701" s="7">
        <f>IF('W rejestracji'!$C$2708="","",'W rejestracji'!$C$2708)</f>
        <v>0</v>
      </c>
      <c r="G2701" s="7">
        <f>IF(Zarejestrowane!$C$2708="","",Zarejestrowane!$C$2708)</f>
        <v>0</v>
      </c>
      <c r="H2701" s="9">
        <f>IF(AND($F2701&lt;&gt;"",ISNUMBER(SEARCH('Nr rejestracyjny'!$F$5,$F2701))),COUNT($H$1:H2700)+1,"")</f>
        <v>0</v>
      </c>
      <c r="I2701" s="9">
        <f>IF(AND($G2701&lt;&gt;"",ISNUMBER(SEARCH('Nr rejestracyjny'!$F$5,$G2701))),COUNT($I$1:I2700)+1,"")</f>
        <v>0</v>
      </c>
    </row>
    <row r="2702" spans="6:9">
      <c r="F2702" s="7">
        <f>IF('W rejestracji'!$C$2709="","",'W rejestracji'!$C$2709)</f>
        <v>0</v>
      </c>
      <c r="G2702" s="7">
        <f>IF(Zarejestrowane!$C$2709="","",Zarejestrowane!$C$2709)</f>
        <v>0</v>
      </c>
      <c r="H2702" s="9">
        <f>IF(AND($F2702&lt;&gt;"",ISNUMBER(SEARCH('Nr rejestracyjny'!$F$5,$F2702))),COUNT($H$1:H2701)+1,"")</f>
        <v>0</v>
      </c>
      <c r="I2702" s="9">
        <f>IF(AND($G2702&lt;&gt;"",ISNUMBER(SEARCH('Nr rejestracyjny'!$F$5,$G2702))),COUNT($I$1:I2701)+1,"")</f>
        <v>0</v>
      </c>
    </row>
    <row r="2703" spans="6:9">
      <c r="F2703" s="7">
        <f>IF('W rejestracji'!$C$2710="","",'W rejestracji'!$C$2710)</f>
        <v>0</v>
      </c>
      <c r="G2703" s="7">
        <f>IF(Zarejestrowane!$C$2710="","",Zarejestrowane!$C$2710)</f>
        <v>0</v>
      </c>
      <c r="H2703" s="9">
        <f>IF(AND($F2703&lt;&gt;"",ISNUMBER(SEARCH('Nr rejestracyjny'!$F$5,$F2703))),COUNT($H$1:H2702)+1,"")</f>
        <v>0</v>
      </c>
      <c r="I2703" s="9">
        <f>IF(AND($G2703&lt;&gt;"",ISNUMBER(SEARCH('Nr rejestracyjny'!$F$5,$G2703))),COUNT($I$1:I2702)+1,"")</f>
        <v>0</v>
      </c>
    </row>
    <row r="2704" spans="6:9">
      <c r="F2704" s="7">
        <f>IF('W rejestracji'!$C$2711="","",'W rejestracji'!$C$2711)</f>
        <v>0</v>
      </c>
      <c r="G2704" s="7">
        <f>IF(Zarejestrowane!$C$2711="","",Zarejestrowane!$C$2711)</f>
        <v>0</v>
      </c>
      <c r="H2704" s="9">
        <f>IF(AND($F2704&lt;&gt;"",ISNUMBER(SEARCH('Nr rejestracyjny'!$F$5,$F2704))),COUNT($H$1:H2703)+1,"")</f>
        <v>0</v>
      </c>
      <c r="I2704" s="9">
        <f>IF(AND($G2704&lt;&gt;"",ISNUMBER(SEARCH('Nr rejestracyjny'!$F$5,$G2704))),COUNT($I$1:I2703)+1,"")</f>
        <v>0</v>
      </c>
    </row>
    <row r="2705" spans="6:9">
      <c r="F2705" s="7">
        <f>IF('W rejestracji'!$C$2712="","",'W rejestracji'!$C$2712)</f>
        <v>0</v>
      </c>
      <c r="G2705" s="7">
        <f>IF(Zarejestrowane!$C$2712="","",Zarejestrowane!$C$2712)</f>
        <v>0</v>
      </c>
      <c r="H2705" s="9">
        <f>IF(AND($F2705&lt;&gt;"",ISNUMBER(SEARCH('Nr rejestracyjny'!$F$5,$F2705))),COUNT($H$1:H2704)+1,"")</f>
        <v>0</v>
      </c>
      <c r="I2705" s="9">
        <f>IF(AND($G2705&lt;&gt;"",ISNUMBER(SEARCH('Nr rejestracyjny'!$F$5,$G2705))),COUNT($I$1:I2704)+1,"")</f>
        <v>0</v>
      </c>
    </row>
    <row r="2706" spans="6:9">
      <c r="F2706" s="7">
        <f>IF('W rejestracji'!$C$2713="","",'W rejestracji'!$C$2713)</f>
        <v>0</v>
      </c>
      <c r="G2706" s="7">
        <f>IF(Zarejestrowane!$C$2713="","",Zarejestrowane!$C$2713)</f>
        <v>0</v>
      </c>
      <c r="H2706" s="9">
        <f>IF(AND($F2706&lt;&gt;"",ISNUMBER(SEARCH('Nr rejestracyjny'!$F$5,$F2706))),COUNT($H$1:H2705)+1,"")</f>
        <v>0</v>
      </c>
      <c r="I2706" s="9">
        <f>IF(AND($G2706&lt;&gt;"",ISNUMBER(SEARCH('Nr rejestracyjny'!$F$5,$G2706))),COUNT($I$1:I2705)+1,"")</f>
        <v>0</v>
      </c>
    </row>
    <row r="2707" spans="6:9">
      <c r="F2707" s="7">
        <f>IF('W rejestracji'!$C$2714="","",'W rejestracji'!$C$2714)</f>
        <v>0</v>
      </c>
      <c r="G2707" s="7">
        <f>IF(Zarejestrowane!$C$2714="","",Zarejestrowane!$C$2714)</f>
        <v>0</v>
      </c>
      <c r="H2707" s="9">
        <f>IF(AND($F2707&lt;&gt;"",ISNUMBER(SEARCH('Nr rejestracyjny'!$F$5,$F2707))),COUNT($H$1:H2706)+1,"")</f>
        <v>0</v>
      </c>
      <c r="I2707" s="9">
        <f>IF(AND($G2707&lt;&gt;"",ISNUMBER(SEARCH('Nr rejestracyjny'!$F$5,$G2707))),COUNT($I$1:I2706)+1,"")</f>
        <v>0</v>
      </c>
    </row>
    <row r="2708" spans="6:9">
      <c r="F2708" s="7">
        <f>IF('W rejestracji'!$C$2715="","",'W rejestracji'!$C$2715)</f>
        <v>0</v>
      </c>
      <c r="G2708" s="7">
        <f>IF(Zarejestrowane!$C$2715="","",Zarejestrowane!$C$2715)</f>
        <v>0</v>
      </c>
      <c r="H2708" s="9">
        <f>IF(AND($F2708&lt;&gt;"",ISNUMBER(SEARCH('Nr rejestracyjny'!$F$5,$F2708))),COUNT($H$1:H2707)+1,"")</f>
        <v>0</v>
      </c>
      <c r="I2708" s="9">
        <f>IF(AND($G2708&lt;&gt;"",ISNUMBER(SEARCH('Nr rejestracyjny'!$F$5,$G2708))),COUNT($I$1:I2707)+1,"")</f>
        <v>0</v>
      </c>
    </row>
    <row r="2709" spans="6:9">
      <c r="F2709" s="7">
        <f>IF('W rejestracji'!$C$2716="","",'W rejestracji'!$C$2716)</f>
        <v>0</v>
      </c>
      <c r="G2709" s="7">
        <f>IF(Zarejestrowane!$C$2716="","",Zarejestrowane!$C$2716)</f>
        <v>0</v>
      </c>
      <c r="H2709" s="9">
        <f>IF(AND($F2709&lt;&gt;"",ISNUMBER(SEARCH('Nr rejestracyjny'!$F$5,$F2709))),COUNT($H$1:H2708)+1,"")</f>
        <v>0</v>
      </c>
      <c r="I2709" s="9">
        <f>IF(AND($G2709&lt;&gt;"",ISNUMBER(SEARCH('Nr rejestracyjny'!$F$5,$G2709))),COUNT($I$1:I2708)+1,"")</f>
        <v>0</v>
      </c>
    </row>
    <row r="2710" spans="6:9">
      <c r="F2710" s="7">
        <f>IF('W rejestracji'!$C$2717="","",'W rejestracji'!$C$2717)</f>
        <v>0</v>
      </c>
      <c r="G2710" s="7">
        <f>IF(Zarejestrowane!$C$2717="","",Zarejestrowane!$C$2717)</f>
        <v>0</v>
      </c>
      <c r="H2710" s="9">
        <f>IF(AND($F2710&lt;&gt;"",ISNUMBER(SEARCH('Nr rejestracyjny'!$F$5,$F2710))),COUNT($H$1:H2709)+1,"")</f>
        <v>0</v>
      </c>
      <c r="I2710" s="9">
        <f>IF(AND($G2710&lt;&gt;"",ISNUMBER(SEARCH('Nr rejestracyjny'!$F$5,$G2710))),COUNT($I$1:I2709)+1,"")</f>
        <v>0</v>
      </c>
    </row>
    <row r="2711" spans="6:9">
      <c r="F2711" s="7">
        <f>IF('W rejestracji'!$C$2718="","",'W rejestracji'!$C$2718)</f>
        <v>0</v>
      </c>
      <c r="G2711" s="7">
        <f>IF(Zarejestrowane!$C$2718="","",Zarejestrowane!$C$2718)</f>
        <v>0</v>
      </c>
      <c r="H2711" s="9">
        <f>IF(AND($F2711&lt;&gt;"",ISNUMBER(SEARCH('Nr rejestracyjny'!$F$5,$F2711))),COUNT($H$1:H2710)+1,"")</f>
        <v>0</v>
      </c>
      <c r="I2711" s="9">
        <f>IF(AND($G2711&lt;&gt;"",ISNUMBER(SEARCH('Nr rejestracyjny'!$F$5,$G2711))),COUNT($I$1:I2710)+1,"")</f>
        <v>0</v>
      </c>
    </row>
    <row r="2712" spans="6:9">
      <c r="F2712" s="7">
        <f>IF('W rejestracji'!$C$2719="","",'W rejestracji'!$C$2719)</f>
        <v>0</v>
      </c>
      <c r="G2712" s="7">
        <f>IF(Zarejestrowane!$C$2719="","",Zarejestrowane!$C$2719)</f>
        <v>0</v>
      </c>
      <c r="H2712" s="9">
        <f>IF(AND($F2712&lt;&gt;"",ISNUMBER(SEARCH('Nr rejestracyjny'!$F$5,$F2712))),COUNT($H$1:H2711)+1,"")</f>
        <v>0</v>
      </c>
      <c r="I2712" s="9">
        <f>IF(AND($G2712&lt;&gt;"",ISNUMBER(SEARCH('Nr rejestracyjny'!$F$5,$G2712))),COUNT($I$1:I2711)+1,"")</f>
        <v>0</v>
      </c>
    </row>
    <row r="2713" spans="6:9">
      <c r="F2713" s="7">
        <f>IF('W rejestracji'!$C$2720="","",'W rejestracji'!$C$2720)</f>
        <v>0</v>
      </c>
      <c r="G2713" s="7">
        <f>IF(Zarejestrowane!$C$2720="","",Zarejestrowane!$C$2720)</f>
        <v>0</v>
      </c>
      <c r="H2713" s="9">
        <f>IF(AND($F2713&lt;&gt;"",ISNUMBER(SEARCH('Nr rejestracyjny'!$F$5,$F2713))),COUNT($H$1:H2712)+1,"")</f>
        <v>0</v>
      </c>
      <c r="I2713" s="9">
        <f>IF(AND($G2713&lt;&gt;"",ISNUMBER(SEARCH('Nr rejestracyjny'!$F$5,$G2713))),COUNT($I$1:I2712)+1,"")</f>
        <v>0</v>
      </c>
    </row>
    <row r="2714" spans="6:9">
      <c r="F2714" s="7">
        <f>IF('W rejestracji'!$C$2721="","",'W rejestracji'!$C$2721)</f>
        <v>0</v>
      </c>
      <c r="G2714" s="7">
        <f>IF(Zarejestrowane!$C$2721="","",Zarejestrowane!$C$2721)</f>
        <v>0</v>
      </c>
      <c r="H2714" s="9">
        <f>IF(AND($F2714&lt;&gt;"",ISNUMBER(SEARCH('Nr rejestracyjny'!$F$5,$F2714))),COUNT($H$1:H2713)+1,"")</f>
        <v>0</v>
      </c>
      <c r="I2714" s="9">
        <f>IF(AND($G2714&lt;&gt;"",ISNUMBER(SEARCH('Nr rejestracyjny'!$F$5,$G2714))),COUNT($I$1:I2713)+1,"")</f>
        <v>0</v>
      </c>
    </row>
    <row r="2715" spans="6:9">
      <c r="F2715" s="7">
        <f>IF('W rejestracji'!$C$2722="","",'W rejestracji'!$C$2722)</f>
        <v>0</v>
      </c>
      <c r="G2715" s="7">
        <f>IF(Zarejestrowane!$C$2722="","",Zarejestrowane!$C$2722)</f>
        <v>0</v>
      </c>
      <c r="H2715" s="9">
        <f>IF(AND($F2715&lt;&gt;"",ISNUMBER(SEARCH('Nr rejestracyjny'!$F$5,$F2715))),COUNT($H$1:H2714)+1,"")</f>
        <v>0</v>
      </c>
      <c r="I2715" s="9">
        <f>IF(AND($G2715&lt;&gt;"",ISNUMBER(SEARCH('Nr rejestracyjny'!$F$5,$G2715))),COUNT($I$1:I2714)+1,"")</f>
        <v>0</v>
      </c>
    </row>
    <row r="2716" spans="6:9">
      <c r="F2716" s="7">
        <f>IF('W rejestracji'!$C$2723="","",'W rejestracji'!$C$2723)</f>
        <v>0</v>
      </c>
      <c r="G2716" s="7">
        <f>IF(Zarejestrowane!$C$2723="","",Zarejestrowane!$C$2723)</f>
        <v>0</v>
      </c>
      <c r="H2716" s="9">
        <f>IF(AND($F2716&lt;&gt;"",ISNUMBER(SEARCH('Nr rejestracyjny'!$F$5,$F2716))),COUNT($H$1:H2715)+1,"")</f>
        <v>0</v>
      </c>
      <c r="I2716" s="9">
        <f>IF(AND($G2716&lt;&gt;"",ISNUMBER(SEARCH('Nr rejestracyjny'!$F$5,$G2716))),COUNT($I$1:I2715)+1,"")</f>
        <v>0</v>
      </c>
    </row>
    <row r="2717" spans="6:9">
      <c r="F2717" s="7">
        <f>IF('W rejestracji'!$C$2724="","",'W rejestracji'!$C$2724)</f>
        <v>0</v>
      </c>
      <c r="G2717" s="7">
        <f>IF(Zarejestrowane!$C$2724="","",Zarejestrowane!$C$2724)</f>
        <v>0</v>
      </c>
      <c r="H2717" s="9">
        <f>IF(AND($F2717&lt;&gt;"",ISNUMBER(SEARCH('Nr rejestracyjny'!$F$5,$F2717))),COUNT($H$1:H2716)+1,"")</f>
        <v>0</v>
      </c>
      <c r="I2717" s="9">
        <f>IF(AND($G2717&lt;&gt;"",ISNUMBER(SEARCH('Nr rejestracyjny'!$F$5,$G2717))),COUNT($I$1:I2716)+1,"")</f>
        <v>0</v>
      </c>
    </row>
    <row r="2718" spans="6:9">
      <c r="F2718" s="7">
        <f>IF('W rejestracji'!$C$2725="","",'W rejestracji'!$C$2725)</f>
        <v>0</v>
      </c>
      <c r="G2718" s="7">
        <f>IF(Zarejestrowane!$C$2725="","",Zarejestrowane!$C$2725)</f>
        <v>0</v>
      </c>
      <c r="H2718" s="9">
        <f>IF(AND($F2718&lt;&gt;"",ISNUMBER(SEARCH('Nr rejestracyjny'!$F$5,$F2718))),COUNT($H$1:H2717)+1,"")</f>
        <v>0</v>
      </c>
      <c r="I2718" s="9">
        <f>IF(AND($G2718&lt;&gt;"",ISNUMBER(SEARCH('Nr rejestracyjny'!$F$5,$G2718))),COUNT($I$1:I2717)+1,"")</f>
        <v>0</v>
      </c>
    </row>
    <row r="2719" spans="6:9">
      <c r="F2719" s="7">
        <f>IF('W rejestracji'!$C$2726="","",'W rejestracji'!$C$2726)</f>
        <v>0</v>
      </c>
      <c r="G2719" s="7">
        <f>IF(Zarejestrowane!$C$2726="","",Zarejestrowane!$C$2726)</f>
        <v>0</v>
      </c>
      <c r="H2719" s="9">
        <f>IF(AND($F2719&lt;&gt;"",ISNUMBER(SEARCH('Nr rejestracyjny'!$F$5,$F2719))),COUNT($H$1:H2718)+1,"")</f>
        <v>0</v>
      </c>
      <c r="I2719" s="9">
        <f>IF(AND($G2719&lt;&gt;"",ISNUMBER(SEARCH('Nr rejestracyjny'!$F$5,$G2719))),COUNT($I$1:I2718)+1,"")</f>
        <v>0</v>
      </c>
    </row>
    <row r="2720" spans="6:9">
      <c r="F2720" s="7">
        <f>IF('W rejestracji'!$C$2727="","",'W rejestracji'!$C$2727)</f>
        <v>0</v>
      </c>
      <c r="G2720" s="7">
        <f>IF(Zarejestrowane!$C$2727="","",Zarejestrowane!$C$2727)</f>
        <v>0</v>
      </c>
      <c r="H2720" s="9">
        <f>IF(AND($F2720&lt;&gt;"",ISNUMBER(SEARCH('Nr rejestracyjny'!$F$5,$F2720))),COUNT($H$1:H2719)+1,"")</f>
        <v>0</v>
      </c>
      <c r="I2720" s="9">
        <f>IF(AND($G2720&lt;&gt;"",ISNUMBER(SEARCH('Nr rejestracyjny'!$F$5,$G2720))),COUNT($I$1:I2719)+1,"")</f>
        <v>0</v>
      </c>
    </row>
    <row r="2721" spans="6:9">
      <c r="F2721" s="7">
        <f>IF('W rejestracji'!$C$2728="","",'W rejestracji'!$C$2728)</f>
        <v>0</v>
      </c>
      <c r="G2721" s="7">
        <f>IF(Zarejestrowane!$C$2728="","",Zarejestrowane!$C$2728)</f>
        <v>0</v>
      </c>
      <c r="H2721" s="9">
        <f>IF(AND($F2721&lt;&gt;"",ISNUMBER(SEARCH('Nr rejestracyjny'!$F$5,$F2721))),COUNT($H$1:H2720)+1,"")</f>
        <v>0</v>
      </c>
      <c r="I2721" s="9">
        <f>IF(AND($G2721&lt;&gt;"",ISNUMBER(SEARCH('Nr rejestracyjny'!$F$5,$G2721))),COUNT($I$1:I2720)+1,"")</f>
        <v>0</v>
      </c>
    </row>
    <row r="2722" spans="6:9">
      <c r="F2722" s="7">
        <f>IF('W rejestracji'!$C$2729="","",'W rejestracji'!$C$2729)</f>
        <v>0</v>
      </c>
      <c r="G2722" s="7">
        <f>IF(Zarejestrowane!$C$2729="","",Zarejestrowane!$C$2729)</f>
        <v>0</v>
      </c>
      <c r="H2722" s="9">
        <f>IF(AND($F2722&lt;&gt;"",ISNUMBER(SEARCH('Nr rejestracyjny'!$F$5,$F2722))),COUNT($H$1:H2721)+1,"")</f>
        <v>0</v>
      </c>
      <c r="I2722" s="9">
        <f>IF(AND($G2722&lt;&gt;"",ISNUMBER(SEARCH('Nr rejestracyjny'!$F$5,$G2722))),COUNT($I$1:I2721)+1,"")</f>
        <v>0</v>
      </c>
    </row>
    <row r="2723" spans="6:9">
      <c r="F2723" s="7">
        <f>IF('W rejestracji'!$C$2730="","",'W rejestracji'!$C$2730)</f>
        <v>0</v>
      </c>
      <c r="G2723" s="7">
        <f>IF(Zarejestrowane!$C$2730="","",Zarejestrowane!$C$2730)</f>
        <v>0</v>
      </c>
      <c r="H2723" s="9">
        <f>IF(AND($F2723&lt;&gt;"",ISNUMBER(SEARCH('Nr rejestracyjny'!$F$5,$F2723))),COUNT($H$1:H2722)+1,"")</f>
        <v>0</v>
      </c>
      <c r="I2723" s="9">
        <f>IF(AND($G2723&lt;&gt;"",ISNUMBER(SEARCH('Nr rejestracyjny'!$F$5,$G2723))),COUNT($I$1:I2722)+1,"")</f>
        <v>0</v>
      </c>
    </row>
    <row r="2724" spans="6:9">
      <c r="F2724" s="7">
        <f>IF('W rejestracji'!$C$2731="","",'W rejestracji'!$C$2731)</f>
        <v>0</v>
      </c>
      <c r="G2724" s="7">
        <f>IF(Zarejestrowane!$C$2731="","",Zarejestrowane!$C$2731)</f>
        <v>0</v>
      </c>
      <c r="H2724" s="9">
        <f>IF(AND($F2724&lt;&gt;"",ISNUMBER(SEARCH('Nr rejestracyjny'!$F$5,$F2724))),COUNT($H$1:H2723)+1,"")</f>
        <v>0</v>
      </c>
      <c r="I2724" s="9">
        <f>IF(AND($G2724&lt;&gt;"",ISNUMBER(SEARCH('Nr rejestracyjny'!$F$5,$G2724))),COUNT($I$1:I2723)+1,"")</f>
        <v>0</v>
      </c>
    </row>
    <row r="2725" spans="6:9">
      <c r="F2725" s="7">
        <f>IF('W rejestracji'!$C$2732="","",'W rejestracji'!$C$2732)</f>
        <v>0</v>
      </c>
      <c r="G2725" s="7">
        <f>IF(Zarejestrowane!$C$2732="","",Zarejestrowane!$C$2732)</f>
        <v>0</v>
      </c>
      <c r="H2725" s="9">
        <f>IF(AND($F2725&lt;&gt;"",ISNUMBER(SEARCH('Nr rejestracyjny'!$F$5,$F2725))),COUNT($H$1:H2724)+1,"")</f>
        <v>0</v>
      </c>
      <c r="I2725" s="9">
        <f>IF(AND($G2725&lt;&gt;"",ISNUMBER(SEARCH('Nr rejestracyjny'!$F$5,$G2725))),COUNT($I$1:I2724)+1,"")</f>
        <v>0</v>
      </c>
    </row>
    <row r="2726" spans="6:9">
      <c r="F2726" s="7">
        <f>IF('W rejestracji'!$C$2733="","",'W rejestracji'!$C$2733)</f>
        <v>0</v>
      </c>
      <c r="G2726" s="7">
        <f>IF(Zarejestrowane!$C$2733="","",Zarejestrowane!$C$2733)</f>
        <v>0</v>
      </c>
      <c r="H2726" s="9">
        <f>IF(AND($F2726&lt;&gt;"",ISNUMBER(SEARCH('Nr rejestracyjny'!$F$5,$F2726))),COUNT($H$1:H2725)+1,"")</f>
        <v>0</v>
      </c>
      <c r="I2726" s="9">
        <f>IF(AND($G2726&lt;&gt;"",ISNUMBER(SEARCH('Nr rejestracyjny'!$F$5,$G2726))),COUNT($I$1:I2725)+1,"")</f>
        <v>0</v>
      </c>
    </row>
    <row r="2727" spans="6:9">
      <c r="F2727" s="7">
        <f>IF('W rejestracji'!$C$2734="","",'W rejestracji'!$C$2734)</f>
        <v>0</v>
      </c>
      <c r="G2727" s="7">
        <f>IF(Zarejestrowane!$C$2734="","",Zarejestrowane!$C$2734)</f>
        <v>0</v>
      </c>
      <c r="H2727" s="9">
        <f>IF(AND($F2727&lt;&gt;"",ISNUMBER(SEARCH('Nr rejestracyjny'!$F$5,$F2727))),COUNT($H$1:H2726)+1,"")</f>
        <v>0</v>
      </c>
      <c r="I2727" s="9">
        <f>IF(AND($G2727&lt;&gt;"",ISNUMBER(SEARCH('Nr rejestracyjny'!$F$5,$G2727))),COUNT($I$1:I2726)+1,"")</f>
        <v>0</v>
      </c>
    </row>
    <row r="2728" spans="6:9">
      <c r="F2728" s="7">
        <f>IF('W rejestracji'!$C$2735="","",'W rejestracji'!$C$2735)</f>
        <v>0</v>
      </c>
      <c r="G2728" s="7">
        <f>IF(Zarejestrowane!$C$2735="","",Zarejestrowane!$C$2735)</f>
        <v>0</v>
      </c>
      <c r="H2728" s="9">
        <f>IF(AND($F2728&lt;&gt;"",ISNUMBER(SEARCH('Nr rejestracyjny'!$F$5,$F2728))),COUNT($H$1:H2727)+1,"")</f>
        <v>0</v>
      </c>
      <c r="I2728" s="9">
        <f>IF(AND($G2728&lt;&gt;"",ISNUMBER(SEARCH('Nr rejestracyjny'!$F$5,$G2728))),COUNT($I$1:I2727)+1,"")</f>
        <v>0</v>
      </c>
    </row>
    <row r="2729" spans="6:9">
      <c r="F2729" s="7">
        <f>IF('W rejestracji'!$C$2736="","",'W rejestracji'!$C$2736)</f>
        <v>0</v>
      </c>
      <c r="G2729" s="7">
        <f>IF(Zarejestrowane!$C$2736="","",Zarejestrowane!$C$2736)</f>
        <v>0</v>
      </c>
      <c r="H2729" s="9">
        <f>IF(AND($F2729&lt;&gt;"",ISNUMBER(SEARCH('Nr rejestracyjny'!$F$5,$F2729))),COUNT($H$1:H2728)+1,"")</f>
        <v>0</v>
      </c>
      <c r="I2729" s="9">
        <f>IF(AND($G2729&lt;&gt;"",ISNUMBER(SEARCH('Nr rejestracyjny'!$F$5,$G2729))),COUNT($I$1:I2728)+1,"")</f>
        <v>0</v>
      </c>
    </row>
    <row r="2730" spans="6:9">
      <c r="F2730" s="7">
        <f>IF('W rejestracji'!$C$2737="","",'W rejestracji'!$C$2737)</f>
        <v>0</v>
      </c>
      <c r="G2730" s="7">
        <f>IF(Zarejestrowane!$C$2737="","",Zarejestrowane!$C$2737)</f>
        <v>0</v>
      </c>
      <c r="H2730" s="9">
        <f>IF(AND($F2730&lt;&gt;"",ISNUMBER(SEARCH('Nr rejestracyjny'!$F$5,$F2730))),COUNT($H$1:H2729)+1,"")</f>
        <v>0</v>
      </c>
      <c r="I2730" s="9">
        <f>IF(AND($G2730&lt;&gt;"",ISNUMBER(SEARCH('Nr rejestracyjny'!$F$5,$G2730))),COUNT($I$1:I2729)+1,"")</f>
        <v>0</v>
      </c>
    </row>
    <row r="2731" spans="6:9">
      <c r="F2731" s="7">
        <f>IF('W rejestracji'!$C$2738="","",'W rejestracji'!$C$2738)</f>
        <v>0</v>
      </c>
      <c r="G2731" s="7">
        <f>IF(Zarejestrowane!$C$2738="","",Zarejestrowane!$C$2738)</f>
        <v>0</v>
      </c>
      <c r="H2731" s="9">
        <f>IF(AND($F2731&lt;&gt;"",ISNUMBER(SEARCH('Nr rejestracyjny'!$F$5,$F2731))),COUNT($H$1:H2730)+1,"")</f>
        <v>0</v>
      </c>
      <c r="I2731" s="9">
        <f>IF(AND($G2731&lt;&gt;"",ISNUMBER(SEARCH('Nr rejestracyjny'!$F$5,$G2731))),COUNT($I$1:I2730)+1,"")</f>
        <v>0</v>
      </c>
    </row>
    <row r="2732" spans="6:9">
      <c r="F2732" s="7">
        <f>IF('W rejestracji'!$C$2739="","",'W rejestracji'!$C$2739)</f>
        <v>0</v>
      </c>
      <c r="G2732" s="7">
        <f>IF(Zarejestrowane!$C$2739="","",Zarejestrowane!$C$2739)</f>
        <v>0</v>
      </c>
      <c r="H2732" s="9">
        <f>IF(AND($F2732&lt;&gt;"",ISNUMBER(SEARCH('Nr rejestracyjny'!$F$5,$F2732))),COUNT($H$1:H2731)+1,"")</f>
        <v>0</v>
      </c>
      <c r="I2732" s="9">
        <f>IF(AND($G2732&lt;&gt;"",ISNUMBER(SEARCH('Nr rejestracyjny'!$F$5,$G2732))),COUNT($I$1:I2731)+1,"")</f>
        <v>0</v>
      </c>
    </row>
    <row r="2733" spans="6:9">
      <c r="F2733" s="7">
        <f>IF('W rejestracji'!$C$2740="","",'W rejestracji'!$C$2740)</f>
        <v>0</v>
      </c>
      <c r="G2733" s="7">
        <f>IF(Zarejestrowane!$C$2740="","",Zarejestrowane!$C$2740)</f>
        <v>0</v>
      </c>
      <c r="H2733" s="9">
        <f>IF(AND($F2733&lt;&gt;"",ISNUMBER(SEARCH('Nr rejestracyjny'!$F$5,$F2733))),COUNT($H$1:H2732)+1,"")</f>
        <v>0</v>
      </c>
      <c r="I2733" s="9">
        <f>IF(AND($G2733&lt;&gt;"",ISNUMBER(SEARCH('Nr rejestracyjny'!$F$5,$G2733))),COUNT($I$1:I2732)+1,"")</f>
        <v>0</v>
      </c>
    </row>
    <row r="2734" spans="6:9">
      <c r="F2734" s="7">
        <f>IF('W rejestracji'!$C$2741="","",'W rejestracji'!$C$2741)</f>
        <v>0</v>
      </c>
      <c r="G2734" s="7">
        <f>IF(Zarejestrowane!$C$2741="","",Zarejestrowane!$C$2741)</f>
        <v>0</v>
      </c>
      <c r="H2734" s="9">
        <f>IF(AND($F2734&lt;&gt;"",ISNUMBER(SEARCH('Nr rejestracyjny'!$F$5,$F2734))),COUNT($H$1:H2733)+1,"")</f>
        <v>0</v>
      </c>
      <c r="I2734" s="9">
        <f>IF(AND($G2734&lt;&gt;"",ISNUMBER(SEARCH('Nr rejestracyjny'!$F$5,$G2734))),COUNT($I$1:I2733)+1,"")</f>
        <v>0</v>
      </c>
    </row>
    <row r="2735" spans="6:9">
      <c r="F2735" s="7">
        <f>IF('W rejestracji'!$C$2742="","",'W rejestracji'!$C$2742)</f>
        <v>0</v>
      </c>
      <c r="G2735" s="7">
        <f>IF(Zarejestrowane!$C$2742="","",Zarejestrowane!$C$2742)</f>
        <v>0</v>
      </c>
      <c r="H2735" s="9">
        <f>IF(AND($F2735&lt;&gt;"",ISNUMBER(SEARCH('Nr rejestracyjny'!$F$5,$F2735))),COUNT($H$1:H2734)+1,"")</f>
        <v>0</v>
      </c>
      <c r="I2735" s="9">
        <f>IF(AND($G2735&lt;&gt;"",ISNUMBER(SEARCH('Nr rejestracyjny'!$F$5,$G2735))),COUNT($I$1:I2734)+1,"")</f>
        <v>0</v>
      </c>
    </row>
    <row r="2736" spans="6:9">
      <c r="F2736" s="7">
        <f>IF('W rejestracji'!$C$2743="","",'W rejestracji'!$C$2743)</f>
        <v>0</v>
      </c>
      <c r="G2736" s="7">
        <f>IF(Zarejestrowane!$C$2743="","",Zarejestrowane!$C$2743)</f>
        <v>0</v>
      </c>
      <c r="H2736" s="9">
        <f>IF(AND($F2736&lt;&gt;"",ISNUMBER(SEARCH('Nr rejestracyjny'!$F$5,$F2736))),COUNT($H$1:H2735)+1,"")</f>
        <v>0</v>
      </c>
      <c r="I2736" s="9">
        <f>IF(AND($G2736&lt;&gt;"",ISNUMBER(SEARCH('Nr rejestracyjny'!$F$5,$G2736))),COUNT($I$1:I2735)+1,"")</f>
        <v>0</v>
      </c>
    </row>
    <row r="2737" spans="6:9">
      <c r="F2737" s="7">
        <f>IF('W rejestracji'!$C$2744="","",'W rejestracji'!$C$2744)</f>
        <v>0</v>
      </c>
      <c r="G2737" s="7">
        <f>IF(Zarejestrowane!$C$2744="","",Zarejestrowane!$C$2744)</f>
        <v>0</v>
      </c>
      <c r="H2737" s="9">
        <f>IF(AND($F2737&lt;&gt;"",ISNUMBER(SEARCH('Nr rejestracyjny'!$F$5,$F2737))),COUNT($H$1:H2736)+1,"")</f>
        <v>0</v>
      </c>
      <c r="I2737" s="9">
        <f>IF(AND($G2737&lt;&gt;"",ISNUMBER(SEARCH('Nr rejestracyjny'!$F$5,$G2737))),COUNT($I$1:I2736)+1,"")</f>
        <v>0</v>
      </c>
    </row>
    <row r="2738" spans="6:9">
      <c r="F2738" s="7">
        <f>IF('W rejestracji'!$C$2745="","",'W rejestracji'!$C$2745)</f>
        <v>0</v>
      </c>
      <c r="G2738" s="7">
        <f>IF(Zarejestrowane!$C$2745="","",Zarejestrowane!$C$2745)</f>
        <v>0</v>
      </c>
      <c r="H2738" s="9">
        <f>IF(AND($F2738&lt;&gt;"",ISNUMBER(SEARCH('Nr rejestracyjny'!$F$5,$F2738))),COUNT($H$1:H2737)+1,"")</f>
        <v>0</v>
      </c>
      <c r="I2738" s="9">
        <f>IF(AND($G2738&lt;&gt;"",ISNUMBER(SEARCH('Nr rejestracyjny'!$F$5,$G2738))),COUNT($I$1:I2737)+1,"")</f>
        <v>0</v>
      </c>
    </row>
    <row r="2739" spans="6:9">
      <c r="F2739" s="7">
        <f>IF('W rejestracji'!$C$2746="","",'W rejestracji'!$C$2746)</f>
        <v>0</v>
      </c>
      <c r="G2739" s="7">
        <f>IF(Zarejestrowane!$C$2746="","",Zarejestrowane!$C$2746)</f>
        <v>0</v>
      </c>
      <c r="H2739" s="9">
        <f>IF(AND($F2739&lt;&gt;"",ISNUMBER(SEARCH('Nr rejestracyjny'!$F$5,$F2739))),COUNT($H$1:H2738)+1,"")</f>
        <v>0</v>
      </c>
      <c r="I2739" s="9">
        <f>IF(AND($G2739&lt;&gt;"",ISNUMBER(SEARCH('Nr rejestracyjny'!$F$5,$G2739))),COUNT($I$1:I2738)+1,"")</f>
        <v>0</v>
      </c>
    </row>
    <row r="2740" spans="6:9">
      <c r="F2740" s="7">
        <f>IF('W rejestracji'!$C$2747="","",'W rejestracji'!$C$2747)</f>
        <v>0</v>
      </c>
      <c r="G2740" s="7">
        <f>IF(Zarejestrowane!$C$2747="","",Zarejestrowane!$C$2747)</f>
        <v>0</v>
      </c>
      <c r="H2740" s="9">
        <f>IF(AND($F2740&lt;&gt;"",ISNUMBER(SEARCH('Nr rejestracyjny'!$F$5,$F2740))),COUNT($H$1:H2739)+1,"")</f>
        <v>0</v>
      </c>
      <c r="I2740" s="9">
        <f>IF(AND($G2740&lt;&gt;"",ISNUMBER(SEARCH('Nr rejestracyjny'!$F$5,$G2740))),COUNT($I$1:I2739)+1,"")</f>
        <v>0</v>
      </c>
    </row>
    <row r="2741" spans="6:9">
      <c r="F2741" s="7">
        <f>IF('W rejestracji'!$C$2748="","",'W rejestracji'!$C$2748)</f>
        <v>0</v>
      </c>
      <c r="G2741" s="7">
        <f>IF(Zarejestrowane!$C$2748="","",Zarejestrowane!$C$2748)</f>
        <v>0</v>
      </c>
      <c r="H2741" s="9">
        <f>IF(AND($F2741&lt;&gt;"",ISNUMBER(SEARCH('Nr rejestracyjny'!$F$5,$F2741))),COUNT($H$1:H2740)+1,"")</f>
        <v>0</v>
      </c>
      <c r="I2741" s="9">
        <f>IF(AND($G2741&lt;&gt;"",ISNUMBER(SEARCH('Nr rejestracyjny'!$F$5,$G2741))),COUNT($I$1:I2740)+1,"")</f>
        <v>0</v>
      </c>
    </row>
    <row r="2742" spans="6:9">
      <c r="F2742" s="7">
        <f>IF('W rejestracji'!$C$2749="","",'W rejestracji'!$C$2749)</f>
        <v>0</v>
      </c>
      <c r="G2742" s="7">
        <f>IF(Zarejestrowane!$C$2749="","",Zarejestrowane!$C$2749)</f>
        <v>0</v>
      </c>
      <c r="H2742" s="9">
        <f>IF(AND($F2742&lt;&gt;"",ISNUMBER(SEARCH('Nr rejestracyjny'!$F$5,$F2742))),COUNT($H$1:H2741)+1,"")</f>
        <v>0</v>
      </c>
      <c r="I2742" s="9">
        <f>IF(AND($G2742&lt;&gt;"",ISNUMBER(SEARCH('Nr rejestracyjny'!$F$5,$G2742))),COUNT($I$1:I2741)+1,"")</f>
        <v>0</v>
      </c>
    </row>
    <row r="2743" spans="6:9">
      <c r="F2743" s="7">
        <f>IF('W rejestracji'!$C$2750="","",'W rejestracji'!$C$2750)</f>
        <v>0</v>
      </c>
      <c r="G2743" s="7">
        <f>IF(Zarejestrowane!$C$2750="","",Zarejestrowane!$C$2750)</f>
        <v>0</v>
      </c>
      <c r="H2743" s="9">
        <f>IF(AND($F2743&lt;&gt;"",ISNUMBER(SEARCH('Nr rejestracyjny'!$F$5,$F2743))),COUNT($H$1:H2742)+1,"")</f>
        <v>0</v>
      </c>
      <c r="I2743" s="9">
        <f>IF(AND($G2743&lt;&gt;"",ISNUMBER(SEARCH('Nr rejestracyjny'!$F$5,$G2743))),COUNT($I$1:I2742)+1,"")</f>
        <v>0</v>
      </c>
    </row>
    <row r="2744" spans="6:9">
      <c r="F2744" s="7">
        <f>IF('W rejestracji'!$C$2751="","",'W rejestracji'!$C$2751)</f>
        <v>0</v>
      </c>
      <c r="G2744" s="7">
        <f>IF(Zarejestrowane!$C$2751="","",Zarejestrowane!$C$2751)</f>
        <v>0</v>
      </c>
      <c r="H2744" s="9">
        <f>IF(AND($F2744&lt;&gt;"",ISNUMBER(SEARCH('Nr rejestracyjny'!$F$5,$F2744))),COUNT($H$1:H2743)+1,"")</f>
        <v>0</v>
      </c>
      <c r="I2744" s="9">
        <f>IF(AND($G2744&lt;&gt;"",ISNUMBER(SEARCH('Nr rejestracyjny'!$F$5,$G2744))),COUNT($I$1:I2743)+1,"")</f>
        <v>0</v>
      </c>
    </row>
    <row r="2745" spans="6:9">
      <c r="F2745" s="7">
        <f>IF('W rejestracji'!$C$2752="","",'W rejestracji'!$C$2752)</f>
        <v>0</v>
      </c>
      <c r="G2745" s="7">
        <f>IF(Zarejestrowane!$C$2752="","",Zarejestrowane!$C$2752)</f>
        <v>0</v>
      </c>
      <c r="H2745" s="9">
        <f>IF(AND($F2745&lt;&gt;"",ISNUMBER(SEARCH('Nr rejestracyjny'!$F$5,$F2745))),COUNT($H$1:H2744)+1,"")</f>
        <v>0</v>
      </c>
      <c r="I2745" s="9">
        <f>IF(AND($G2745&lt;&gt;"",ISNUMBER(SEARCH('Nr rejestracyjny'!$F$5,$G2745))),COUNT($I$1:I2744)+1,"")</f>
        <v>0</v>
      </c>
    </row>
    <row r="2746" spans="6:9">
      <c r="F2746" s="7">
        <f>IF('W rejestracji'!$C$2753="","",'W rejestracji'!$C$2753)</f>
        <v>0</v>
      </c>
      <c r="G2746" s="7">
        <f>IF(Zarejestrowane!$C$2753="","",Zarejestrowane!$C$2753)</f>
        <v>0</v>
      </c>
      <c r="H2746" s="9">
        <f>IF(AND($F2746&lt;&gt;"",ISNUMBER(SEARCH('Nr rejestracyjny'!$F$5,$F2746))),COUNT($H$1:H2745)+1,"")</f>
        <v>0</v>
      </c>
      <c r="I2746" s="9">
        <f>IF(AND($G2746&lt;&gt;"",ISNUMBER(SEARCH('Nr rejestracyjny'!$F$5,$G2746))),COUNT($I$1:I2745)+1,"")</f>
        <v>0</v>
      </c>
    </row>
    <row r="2747" spans="6:9">
      <c r="F2747" s="7">
        <f>IF('W rejestracji'!$C$2754="","",'W rejestracji'!$C$2754)</f>
        <v>0</v>
      </c>
      <c r="G2747" s="7">
        <f>IF(Zarejestrowane!$C$2754="","",Zarejestrowane!$C$2754)</f>
        <v>0</v>
      </c>
      <c r="H2747" s="9">
        <f>IF(AND($F2747&lt;&gt;"",ISNUMBER(SEARCH('Nr rejestracyjny'!$F$5,$F2747))),COUNT($H$1:H2746)+1,"")</f>
        <v>0</v>
      </c>
      <c r="I2747" s="9">
        <f>IF(AND($G2747&lt;&gt;"",ISNUMBER(SEARCH('Nr rejestracyjny'!$F$5,$G2747))),COUNT($I$1:I2746)+1,"")</f>
        <v>0</v>
      </c>
    </row>
    <row r="2748" spans="6:9">
      <c r="F2748" s="7">
        <f>IF('W rejestracji'!$C$2755="","",'W rejestracji'!$C$2755)</f>
        <v>0</v>
      </c>
      <c r="G2748" s="7">
        <f>IF(Zarejestrowane!$C$2755="","",Zarejestrowane!$C$2755)</f>
        <v>0</v>
      </c>
      <c r="H2748" s="9">
        <f>IF(AND($F2748&lt;&gt;"",ISNUMBER(SEARCH('Nr rejestracyjny'!$F$5,$F2748))),COUNT($H$1:H2747)+1,"")</f>
        <v>0</v>
      </c>
      <c r="I2748" s="9">
        <f>IF(AND($G2748&lt;&gt;"",ISNUMBER(SEARCH('Nr rejestracyjny'!$F$5,$G2748))),COUNT($I$1:I2747)+1,"")</f>
        <v>0</v>
      </c>
    </row>
    <row r="2749" spans="6:9">
      <c r="F2749" s="7">
        <f>IF('W rejestracji'!$C$2756="","",'W rejestracji'!$C$2756)</f>
        <v>0</v>
      </c>
      <c r="G2749" s="7">
        <f>IF(Zarejestrowane!$C$2756="","",Zarejestrowane!$C$2756)</f>
        <v>0</v>
      </c>
      <c r="H2749" s="9">
        <f>IF(AND($F2749&lt;&gt;"",ISNUMBER(SEARCH('Nr rejestracyjny'!$F$5,$F2749))),COUNT($H$1:H2748)+1,"")</f>
        <v>0</v>
      </c>
      <c r="I2749" s="9">
        <f>IF(AND($G2749&lt;&gt;"",ISNUMBER(SEARCH('Nr rejestracyjny'!$F$5,$G2749))),COUNT($I$1:I2748)+1,"")</f>
        <v>0</v>
      </c>
    </row>
    <row r="2750" spans="6:9">
      <c r="F2750" s="7">
        <f>IF('W rejestracji'!$C$2757="","",'W rejestracji'!$C$2757)</f>
        <v>0</v>
      </c>
      <c r="G2750" s="7">
        <f>IF(Zarejestrowane!$C$2757="","",Zarejestrowane!$C$2757)</f>
        <v>0</v>
      </c>
      <c r="H2750" s="9">
        <f>IF(AND($F2750&lt;&gt;"",ISNUMBER(SEARCH('Nr rejestracyjny'!$F$5,$F2750))),COUNT($H$1:H2749)+1,"")</f>
        <v>0</v>
      </c>
      <c r="I2750" s="9">
        <f>IF(AND($G2750&lt;&gt;"",ISNUMBER(SEARCH('Nr rejestracyjny'!$F$5,$G2750))),COUNT($I$1:I2749)+1,"")</f>
        <v>0</v>
      </c>
    </row>
    <row r="2751" spans="6:9">
      <c r="F2751" s="7">
        <f>IF('W rejestracji'!$C$2758="","",'W rejestracji'!$C$2758)</f>
        <v>0</v>
      </c>
      <c r="G2751" s="7">
        <f>IF(Zarejestrowane!$C$2758="","",Zarejestrowane!$C$2758)</f>
        <v>0</v>
      </c>
      <c r="H2751" s="9">
        <f>IF(AND($F2751&lt;&gt;"",ISNUMBER(SEARCH('Nr rejestracyjny'!$F$5,$F2751))),COUNT($H$1:H2750)+1,"")</f>
        <v>0</v>
      </c>
      <c r="I2751" s="9">
        <f>IF(AND($G2751&lt;&gt;"",ISNUMBER(SEARCH('Nr rejestracyjny'!$F$5,$G2751))),COUNT($I$1:I2750)+1,"")</f>
        <v>0</v>
      </c>
    </row>
    <row r="2752" spans="6:9">
      <c r="F2752" s="7">
        <f>IF('W rejestracji'!$C$2759="","",'W rejestracji'!$C$2759)</f>
        <v>0</v>
      </c>
      <c r="G2752" s="7">
        <f>IF(Zarejestrowane!$C$2759="","",Zarejestrowane!$C$2759)</f>
        <v>0</v>
      </c>
      <c r="H2752" s="9">
        <f>IF(AND($F2752&lt;&gt;"",ISNUMBER(SEARCH('Nr rejestracyjny'!$F$5,$F2752))),COUNT($H$1:H2751)+1,"")</f>
        <v>0</v>
      </c>
      <c r="I2752" s="9">
        <f>IF(AND($G2752&lt;&gt;"",ISNUMBER(SEARCH('Nr rejestracyjny'!$F$5,$G2752))),COUNT($I$1:I2751)+1,"")</f>
        <v>0</v>
      </c>
    </row>
    <row r="2753" spans="6:9">
      <c r="F2753" s="7">
        <f>IF('W rejestracji'!$C$2760="","",'W rejestracji'!$C$2760)</f>
        <v>0</v>
      </c>
      <c r="G2753" s="7">
        <f>IF(Zarejestrowane!$C$2760="","",Zarejestrowane!$C$2760)</f>
        <v>0</v>
      </c>
      <c r="H2753" s="9">
        <f>IF(AND($F2753&lt;&gt;"",ISNUMBER(SEARCH('Nr rejestracyjny'!$F$5,$F2753))),COUNT($H$1:H2752)+1,"")</f>
        <v>0</v>
      </c>
      <c r="I2753" s="9">
        <f>IF(AND($G2753&lt;&gt;"",ISNUMBER(SEARCH('Nr rejestracyjny'!$F$5,$G2753))),COUNT($I$1:I2752)+1,"")</f>
        <v>0</v>
      </c>
    </row>
    <row r="2754" spans="6:9">
      <c r="F2754" s="7">
        <f>IF('W rejestracji'!$C$2761="","",'W rejestracji'!$C$2761)</f>
        <v>0</v>
      </c>
      <c r="G2754" s="7">
        <f>IF(Zarejestrowane!$C$2761="","",Zarejestrowane!$C$2761)</f>
        <v>0</v>
      </c>
      <c r="H2754" s="9">
        <f>IF(AND($F2754&lt;&gt;"",ISNUMBER(SEARCH('Nr rejestracyjny'!$F$5,$F2754))),COUNT($H$1:H2753)+1,"")</f>
        <v>0</v>
      </c>
      <c r="I2754" s="9">
        <f>IF(AND($G2754&lt;&gt;"",ISNUMBER(SEARCH('Nr rejestracyjny'!$F$5,$G2754))),COUNT($I$1:I2753)+1,"")</f>
        <v>0</v>
      </c>
    </row>
    <row r="2755" spans="6:9">
      <c r="F2755" s="7">
        <f>IF('W rejestracji'!$C$2762="","",'W rejestracji'!$C$2762)</f>
        <v>0</v>
      </c>
      <c r="G2755" s="7">
        <f>IF(Zarejestrowane!$C$2762="","",Zarejestrowane!$C$2762)</f>
        <v>0</v>
      </c>
      <c r="H2755" s="9">
        <f>IF(AND($F2755&lt;&gt;"",ISNUMBER(SEARCH('Nr rejestracyjny'!$F$5,$F2755))),COUNT($H$1:H2754)+1,"")</f>
        <v>0</v>
      </c>
      <c r="I2755" s="9">
        <f>IF(AND($G2755&lt;&gt;"",ISNUMBER(SEARCH('Nr rejestracyjny'!$F$5,$G2755))),COUNT($I$1:I2754)+1,"")</f>
        <v>0</v>
      </c>
    </row>
    <row r="2756" spans="6:9">
      <c r="F2756" s="7">
        <f>IF('W rejestracji'!$C$2763="","",'W rejestracji'!$C$2763)</f>
        <v>0</v>
      </c>
      <c r="G2756" s="7">
        <f>IF(Zarejestrowane!$C$2763="","",Zarejestrowane!$C$2763)</f>
        <v>0</v>
      </c>
      <c r="H2756" s="9">
        <f>IF(AND($F2756&lt;&gt;"",ISNUMBER(SEARCH('Nr rejestracyjny'!$F$5,$F2756))),COUNT($H$1:H2755)+1,"")</f>
        <v>0</v>
      </c>
      <c r="I2756" s="9">
        <f>IF(AND($G2756&lt;&gt;"",ISNUMBER(SEARCH('Nr rejestracyjny'!$F$5,$G2756))),COUNT($I$1:I2755)+1,"")</f>
        <v>0</v>
      </c>
    </row>
    <row r="2757" spans="6:9">
      <c r="F2757" s="7">
        <f>IF('W rejestracji'!$C$2764="","",'W rejestracji'!$C$2764)</f>
        <v>0</v>
      </c>
      <c r="G2757" s="7">
        <f>IF(Zarejestrowane!$C$2764="","",Zarejestrowane!$C$2764)</f>
        <v>0</v>
      </c>
      <c r="H2757" s="9">
        <f>IF(AND($F2757&lt;&gt;"",ISNUMBER(SEARCH('Nr rejestracyjny'!$F$5,$F2757))),COUNT($H$1:H2756)+1,"")</f>
        <v>0</v>
      </c>
      <c r="I2757" s="9">
        <f>IF(AND($G2757&lt;&gt;"",ISNUMBER(SEARCH('Nr rejestracyjny'!$F$5,$G2757))),COUNT($I$1:I2756)+1,"")</f>
        <v>0</v>
      </c>
    </row>
    <row r="2758" spans="6:9">
      <c r="F2758" s="7">
        <f>IF('W rejestracji'!$C$2765="","",'W rejestracji'!$C$2765)</f>
        <v>0</v>
      </c>
      <c r="G2758" s="7">
        <f>IF(Zarejestrowane!$C$2765="","",Zarejestrowane!$C$2765)</f>
        <v>0</v>
      </c>
      <c r="H2758" s="9">
        <f>IF(AND($F2758&lt;&gt;"",ISNUMBER(SEARCH('Nr rejestracyjny'!$F$5,$F2758))),COUNT($H$1:H2757)+1,"")</f>
        <v>0</v>
      </c>
      <c r="I2758" s="9">
        <f>IF(AND($G2758&lt;&gt;"",ISNUMBER(SEARCH('Nr rejestracyjny'!$F$5,$G2758))),COUNT($I$1:I2757)+1,"")</f>
        <v>0</v>
      </c>
    </row>
    <row r="2759" spans="6:9">
      <c r="F2759" s="7">
        <f>IF('W rejestracji'!$C$2766="","",'W rejestracji'!$C$2766)</f>
        <v>0</v>
      </c>
      <c r="G2759" s="7">
        <f>IF(Zarejestrowane!$C$2766="","",Zarejestrowane!$C$2766)</f>
        <v>0</v>
      </c>
      <c r="H2759" s="9">
        <f>IF(AND($F2759&lt;&gt;"",ISNUMBER(SEARCH('Nr rejestracyjny'!$F$5,$F2759))),COUNT($H$1:H2758)+1,"")</f>
        <v>0</v>
      </c>
      <c r="I2759" s="9">
        <f>IF(AND($G2759&lt;&gt;"",ISNUMBER(SEARCH('Nr rejestracyjny'!$F$5,$G2759))),COUNT($I$1:I2758)+1,"")</f>
        <v>0</v>
      </c>
    </row>
    <row r="2760" spans="6:9">
      <c r="F2760" s="7">
        <f>IF('W rejestracji'!$C$2767="","",'W rejestracji'!$C$2767)</f>
        <v>0</v>
      </c>
      <c r="G2760" s="7">
        <f>IF(Zarejestrowane!$C$2767="","",Zarejestrowane!$C$2767)</f>
        <v>0</v>
      </c>
      <c r="H2760" s="9">
        <f>IF(AND($F2760&lt;&gt;"",ISNUMBER(SEARCH('Nr rejestracyjny'!$F$5,$F2760))),COUNT($H$1:H2759)+1,"")</f>
        <v>0</v>
      </c>
      <c r="I2760" s="9">
        <f>IF(AND($G2760&lt;&gt;"",ISNUMBER(SEARCH('Nr rejestracyjny'!$F$5,$G2760))),COUNT($I$1:I2759)+1,"")</f>
        <v>0</v>
      </c>
    </row>
    <row r="2761" spans="6:9">
      <c r="F2761" s="7">
        <f>IF('W rejestracji'!$C$2768="","",'W rejestracji'!$C$2768)</f>
        <v>0</v>
      </c>
      <c r="G2761" s="7">
        <f>IF(Zarejestrowane!$C$2768="","",Zarejestrowane!$C$2768)</f>
        <v>0</v>
      </c>
      <c r="H2761" s="9">
        <f>IF(AND($F2761&lt;&gt;"",ISNUMBER(SEARCH('Nr rejestracyjny'!$F$5,$F2761))),COUNT($H$1:H2760)+1,"")</f>
        <v>0</v>
      </c>
      <c r="I2761" s="9">
        <f>IF(AND($G2761&lt;&gt;"",ISNUMBER(SEARCH('Nr rejestracyjny'!$F$5,$G2761))),COUNT($I$1:I2760)+1,"")</f>
        <v>0</v>
      </c>
    </row>
    <row r="2762" spans="6:9">
      <c r="F2762" s="7">
        <f>IF('W rejestracji'!$C$2769="","",'W rejestracji'!$C$2769)</f>
        <v>0</v>
      </c>
      <c r="G2762" s="7">
        <f>IF(Zarejestrowane!$C$2769="","",Zarejestrowane!$C$2769)</f>
        <v>0</v>
      </c>
      <c r="H2762" s="9">
        <f>IF(AND($F2762&lt;&gt;"",ISNUMBER(SEARCH('Nr rejestracyjny'!$F$5,$F2762))),COUNT($H$1:H2761)+1,"")</f>
        <v>0</v>
      </c>
      <c r="I2762" s="9">
        <f>IF(AND($G2762&lt;&gt;"",ISNUMBER(SEARCH('Nr rejestracyjny'!$F$5,$G2762))),COUNT($I$1:I2761)+1,"")</f>
        <v>0</v>
      </c>
    </row>
    <row r="2763" spans="6:9">
      <c r="F2763" s="7">
        <f>IF('W rejestracji'!$C$2770="","",'W rejestracji'!$C$2770)</f>
        <v>0</v>
      </c>
      <c r="G2763" s="7">
        <f>IF(Zarejestrowane!$C$2770="","",Zarejestrowane!$C$2770)</f>
        <v>0</v>
      </c>
      <c r="H2763" s="9">
        <f>IF(AND($F2763&lt;&gt;"",ISNUMBER(SEARCH('Nr rejestracyjny'!$F$5,$F2763))),COUNT($H$1:H2762)+1,"")</f>
        <v>0</v>
      </c>
      <c r="I2763" s="9">
        <f>IF(AND($G2763&lt;&gt;"",ISNUMBER(SEARCH('Nr rejestracyjny'!$F$5,$G2763))),COUNT($I$1:I2762)+1,"")</f>
        <v>0</v>
      </c>
    </row>
    <row r="2764" spans="6:9">
      <c r="F2764" s="7">
        <f>IF('W rejestracji'!$C$2771="","",'W rejestracji'!$C$2771)</f>
        <v>0</v>
      </c>
      <c r="G2764" s="7">
        <f>IF(Zarejestrowane!$C$2771="","",Zarejestrowane!$C$2771)</f>
        <v>0</v>
      </c>
      <c r="H2764" s="9">
        <f>IF(AND($F2764&lt;&gt;"",ISNUMBER(SEARCH('Nr rejestracyjny'!$F$5,$F2764))),COUNT($H$1:H2763)+1,"")</f>
        <v>0</v>
      </c>
      <c r="I2764" s="9">
        <f>IF(AND($G2764&lt;&gt;"",ISNUMBER(SEARCH('Nr rejestracyjny'!$F$5,$G2764))),COUNT($I$1:I2763)+1,"")</f>
        <v>0</v>
      </c>
    </row>
    <row r="2765" spans="6:9">
      <c r="F2765" s="7">
        <f>IF('W rejestracji'!$C$2772="","",'W rejestracji'!$C$2772)</f>
        <v>0</v>
      </c>
      <c r="G2765" s="7">
        <f>IF(Zarejestrowane!$C$2772="","",Zarejestrowane!$C$2772)</f>
        <v>0</v>
      </c>
      <c r="H2765" s="9">
        <f>IF(AND($F2765&lt;&gt;"",ISNUMBER(SEARCH('Nr rejestracyjny'!$F$5,$F2765))),COUNT($H$1:H2764)+1,"")</f>
        <v>0</v>
      </c>
      <c r="I2765" s="9">
        <f>IF(AND($G2765&lt;&gt;"",ISNUMBER(SEARCH('Nr rejestracyjny'!$F$5,$G2765))),COUNT($I$1:I2764)+1,"")</f>
        <v>0</v>
      </c>
    </row>
    <row r="2766" spans="6:9">
      <c r="F2766" s="7">
        <f>IF('W rejestracji'!$C$2773="","",'W rejestracji'!$C$2773)</f>
        <v>0</v>
      </c>
      <c r="G2766" s="7">
        <f>IF(Zarejestrowane!$C$2773="","",Zarejestrowane!$C$2773)</f>
        <v>0</v>
      </c>
      <c r="H2766" s="9">
        <f>IF(AND($F2766&lt;&gt;"",ISNUMBER(SEARCH('Nr rejestracyjny'!$F$5,$F2766))),COUNT($H$1:H2765)+1,"")</f>
        <v>0</v>
      </c>
      <c r="I2766" s="9">
        <f>IF(AND($G2766&lt;&gt;"",ISNUMBER(SEARCH('Nr rejestracyjny'!$F$5,$G2766))),COUNT($I$1:I2765)+1,"")</f>
        <v>0</v>
      </c>
    </row>
    <row r="2767" spans="6:9">
      <c r="F2767" s="7">
        <f>IF('W rejestracji'!$C$2774="","",'W rejestracji'!$C$2774)</f>
        <v>0</v>
      </c>
      <c r="G2767" s="7">
        <f>IF(Zarejestrowane!$C$2774="","",Zarejestrowane!$C$2774)</f>
        <v>0</v>
      </c>
      <c r="H2767" s="9">
        <f>IF(AND($F2767&lt;&gt;"",ISNUMBER(SEARCH('Nr rejestracyjny'!$F$5,$F2767))),COUNT($H$1:H2766)+1,"")</f>
        <v>0</v>
      </c>
      <c r="I2767" s="9">
        <f>IF(AND($G2767&lt;&gt;"",ISNUMBER(SEARCH('Nr rejestracyjny'!$F$5,$G2767))),COUNT($I$1:I2766)+1,"")</f>
        <v>0</v>
      </c>
    </row>
    <row r="2768" spans="6:9">
      <c r="F2768" s="7">
        <f>IF('W rejestracji'!$C$2775="","",'W rejestracji'!$C$2775)</f>
        <v>0</v>
      </c>
      <c r="G2768" s="7">
        <f>IF(Zarejestrowane!$C$2775="","",Zarejestrowane!$C$2775)</f>
        <v>0</v>
      </c>
      <c r="H2768" s="9">
        <f>IF(AND($F2768&lt;&gt;"",ISNUMBER(SEARCH('Nr rejestracyjny'!$F$5,$F2768))),COUNT($H$1:H2767)+1,"")</f>
        <v>0</v>
      </c>
      <c r="I2768" s="9">
        <f>IF(AND($G2768&lt;&gt;"",ISNUMBER(SEARCH('Nr rejestracyjny'!$F$5,$G2768))),COUNT($I$1:I2767)+1,"")</f>
        <v>0</v>
      </c>
    </row>
    <row r="2769" spans="6:9">
      <c r="F2769" s="7">
        <f>IF('W rejestracji'!$C$2776="","",'W rejestracji'!$C$2776)</f>
        <v>0</v>
      </c>
      <c r="G2769" s="7">
        <f>IF(Zarejestrowane!$C$2776="","",Zarejestrowane!$C$2776)</f>
        <v>0</v>
      </c>
      <c r="H2769" s="9">
        <f>IF(AND($F2769&lt;&gt;"",ISNUMBER(SEARCH('Nr rejestracyjny'!$F$5,$F2769))),COUNT($H$1:H2768)+1,"")</f>
        <v>0</v>
      </c>
      <c r="I2769" s="9">
        <f>IF(AND($G2769&lt;&gt;"",ISNUMBER(SEARCH('Nr rejestracyjny'!$F$5,$G2769))),COUNT($I$1:I2768)+1,"")</f>
        <v>0</v>
      </c>
    </row>
    <row r="2770" spans="6:9">
      <c r="F2770" s="7">
        <f>IF('W rejestracji'!$C$2777="","",'W rejestracji'!$C$2777)</f>
        <v>0</v>
      </c>
      <c r="G2770" s="7">
        <f>IF(Zarejestrowane!$C$2777="","",Zarejestrowane!$C$2777)</f>
        <v>0</v>
      </c>
      <c r="H2770" s="9">
        <f>IF(AND($F2770&lt;&gt;"",ISNUMBER(SEARCH('Nr rejestracyjny'!$F$5,$F2770))),COUNT($H$1:H2769)+1,"")</f>
        <v>0</v>
      </c>
      <c r="I2770" s="9">
        <f>IF(AND($G2770&lt;&gt;"",ISNUMBER(SEARCH('Nr rejestracyjny'!$F$5,$G2770))),COUNT($I$1:I2769)+1,"")</f>
        <v>0</v>
      </c>
    </row>
    <row r="2771" spans="6:9">
      <c r="F2771" s="7">
        <f>IF('W rejestracji'!$C$2778="","",'W rejestracji'!$C$2778)</f>
        <v>0</v>
      </c>
      <c r="G2771" s="7">
        <f>IF(Zarejestrowane!$C$2778="","",Zarejestrowane!$C$2778)</f>
        <v>0</v>
      </c>
      <c r="H2771" s="9">
        <f>IF(AND($F2771&lt;&gt;"",ISNUMBER(SEARCH('Nr rejestracyjny'!$F$5,$F2771))),COUNT($H$1:H2770)+1,"")</f>
        <v>0</v>
      </c>
      <c r="I2771" s="9">
        <f>IF(AND($G2771&lt;&gt;"",ISNUMBER(SEARCH('Nr rejestracyjny'!$F$5,$G2771))),COUNT($I$1:I2770)+1,"")</f>
        <v>0</v>
      </c>
    </row>
    <row r="2772" spans="6:9">
      <c r="F2772" s="7">
        <f>IF('W rejestracji'!$C$2779="","",'W rejestracji'!$C$2779)</f>
        <v>0</v>
      </c>
      <c r="G2772" s="7">
        <f>IF(Zarejestrowane!$C$2779="","",Zarejestrowane!$C$2779)</f>
        <v>0</v>
      </c>
      <c r="H2772" s="9">
        <f>IF(AND($F2772&lt;&gt;"",ISNUMBER(SEARCH('Nr rejestracyjny'!$F$5,$F2772))),COUNT($H$1:H2771)+1,"")</f>
        <v>0</v>
      </c>
      <c r="I2772" s="9">
        <f>IF(AND($G2772&lt;&gt;"",ISNUMBER(SEARCH('Nr rejestracyjny'!$F$5,$G2772))),COUNT($I$1:I2771)+1,"")</f>
        <v>0</v>
      </c>
    </row>
    <row r="2773" spans="6:9">
      <c r="F2773" s="7">
        <f>IF('W rejestracji'!$C$2780="","",'W rejestracji'!$C$2780)</f>
        <v>0</v>
      </c>
      <c r="G2773" s="7">
        <f>IF(Zarejestrowane!$C$2780="","",Zarejestrowane!$C$2780)</f>
        <v>0</v>
      </c>
      <c r="H2773" s="9">
        <f>IF(AND($F2773&lt;&gt;"",ISNUMBER(SEARCH('Nr rejestracyjny'!$F$5,$F2773))),COUNT($H$1:H2772)+1,"")</f>
        <v>0</v>
      </c>
      <c r="I2773" s="9">
        <f>IF(AND($G2773&lt;&gt;"",ISNUMBER(SEARCH('Nr rejestracyjny'!$F$5,$G2773))),COUNT($I$1:I2772)+1,"")</f>
        <v>0</v>
      </c>
    </row>
    <row r="2774" spans="6:9">
      <c r="F2774" s="7">
        <f>IF('W rejestracji'!$C$2781="","",'W rejestracji'!$C$2781)</f>
        <v>0</v>
      </c>
      <c r="G2774" s="7">
        <f>IF(Zarejestrowane!$C$2781="","",Zarejestrowane!$C$2781)</f>
        <v>0</v>
      </c>
      <c r="H2774" s="9">
        <f>IF(AND($F2774&lt;&gt;"",ISNUMBER(SEARCH('Nr rejestracyjny'!$F$5,$F2774))),COUNT($H$1:H2773)+1,"")</f>
        <v>0</v>
      </c>
      <c r="I2774" s="9">
        <f>IF(AND($G2774&lt;&gt;"",ISNUMBER(SEARCH('Nr rejestracyjny'!$F$5,$G2774))),COUNT($I$1:I2773)+1,"")</f>
        <v>0</v>
      </c>
    </row>
    <row r="2775" spans="6:9">
      <c r="F2775" s="7">
        <f>IF('W rejestracji'!$C$2782="","",'W rejestracji'!$C$2782)</f>
        <v>0</v>
      </c>
      <c r="G2775" s="7">
        <f>IF(Zarejestrowane!$C$2782="","",Zarejestrowane!$C$2782)</f>
        <v>0</v>
      </c>
      <c r="H2775" s="9">
        <f>IF(AND($F2775&lt;&gt;"",ISNUMBER(SEARCH('Nr rejestracyjny'!$F$5,$F2775))),COUNT($H$1:H2774)+1,"")</f>
        <v>0</v>
      </c>
      <c r="I2775" s="9">
        <f>IF(AND($G2775&lt;&gt;"",ISNUMBER(SEARCH('Nr rejestracyjny'!$F$5,$G2775))),COUNT($I$1:I2774)+1,"")</f>
        <v>0</v>
      </c>
    </row>
    <row r="2776" spans="6:9">
      <c r="F2776" s="7">
        <f>IF('W rejestracji'!$C$2783="","",'W rejestracji'!$C$2783)</f>
        <v>0</v>
      </c>
      <c r="G2776" s="7">
        <f>IF(Zarejestrowane!$C$2783="","",Zarejestrowane!$C$2783)</f>
        <v>0</v>
      </c>
      <c r="H2776" s="9">
        <f>IF(AND($F2776&lt;&gt;"",ISNUMBER(SEARCH('Nr rejestracyjny'!$F$5,$F2776))),COUNT($H$1:H2775)+1,"")</f>
        <v>0</v>
      </c>
      <c r="I2776" s="9">
        <f>IF(AND($G2776&lt;&gt;"",ISNUMBER(SEARCH('Nr rejestracyjny'!$F$5,$G2776))),COUNT($I$1:I2775)+1,"")</f>
        <v>0</v>
      </c>
    </row>
    <row r="2777" spans="6:9">
      <c r="F2777" s="7">
        <f>IF('W rejestracji'!$C$2784="","",'W rejestracji'!$C$2784)</f>
        <v>0</v>
      </c>
      <c r="G2777" s="7">
        <f>IF(Zarejestrowane!$C$2784="","",Zarejestrowane!$C$2784)</f>
        <v>0</v>
      </c>
      <c r="H2777" s="9">
        <f>IF(AND($F2777&lt;&gt;"",ISNUMBER(SEARCH('Nr rejestracyjny'!$F$5,$F2777))),COUNT($H$1:H2776)+1,"")</f>
        <v>0</v>
      </c>
      <c r="I2777" s="9">
        <f>IF(AND($G2777&lt;&gt;"",ISNUMBER(SEARCH('Nr rejestracyjny'!$F$5,$G2777))),COUNT($I$1:I2776)+1,"")</f>
        <v>0</v>
      </c>
    </row>
    <row r="2778" spans="6:9">
      <c r="F2778" s="7">
        <f>IF('W rejestracji'!$C$2785="","",'W rejestracji'!$C$2785)</f>
        <v>0</v>
      </c>
      <c r="G2778" s="7">
        <f>IF(Zarejestrowane!$C$2785="","",Zarejestrowane!$C$2785)</f>
        <v>0</v>
      </c>
      <c r="H2778" s="9">
        <f>IF(AND($F2778&lt;&gt;"",ISNUMBER(SEARCH('Nr rejestracyjny'!$F$5,$F2778))),COUNT($H$1:H2777)+1,"")</f>
        <v>0</v>
      </c>
      <c r="I2778" s="9">
        <f>IF(AND($G2778&lt;&gt;"",ISNUMBER(SEARCH('Nr rejestracyjny'!$F$5,$G2778))),COUNT($I$1:I2777)+1,"")</f>
        <v>0</v>
      </c>
    </row>
    <row r="2779" spans="6:9">
      <c r="F2779" s="7">
        <f>IF('W rejestracji'!$C$2786="","",'W rejestracji'!$C$2786)</f>
        <v>0</v>
      </c>
      <c r="G2779" s="7">
        <f>IF(Zarejestrowane!$C$2786="","",Zarejestrowane!$C$2786)</f>
        <v>0</v>
      </c>
      <c r="H2779" s="9">
        <f>IF(AND($F2779&lt;&gt;"",ISNUMBER(SEARCH('Nr rejestracyjny'!$F$5,$F2779))),COUNT($H$1:H2778)+1,"")</f>
        <v>0</v>
      </c>
      <c r="I2779" s="9">
        <f>IF(AND($G2779&lt;&gt;"",ISNUMBER(SEARCH('Nr rejestracyjny'!$F$5,$G2779))),COUNT($I$1:I2778)+1,"")</f>
        <v>0</v>
      </c>
    </row>
    <row r="2780" spans="6:9">
      <c r="F2780" s="7">
        <f>IF('W rejestracji'!$C$2787="","",'W rejestracji'!$C$2787)</f>
        <v>0</v>
      </c>
      <c r="G2780" s="7">
        <f>IF(Zarejestrowane!$C$2787="","",Zarejestrowane!$C$2787)</f>
        <v>0</v>
      </c>
      <c r="H2780" s="9">
        <f>IF(AND($F2780&lt;&gt;"",ISNUMBER(SEARCH('Nr rejestracyjny'!$F$5,$F2780))),COUNT($H$1:H2779)+1,"")</f>
        <v>0</v>
      </c>
      <c r="I2780" s="9">
        <f>IF(AND($G2780&lt;&gt;"",ISNUMBER(SEARCH('Nr rejestracyjny'!$F$5,$G2780))),COUNT($I$1:I2779)+1,"")</f>
        <v>0</v>
      </c>
    </row>
    <row r="2781" spans="6:9">
      <c r="F2781" s="7">
        <f>IF('W rejestracji'!$C$2788="","",'W rejestracji'!$C$2788)</f>
        <v>0</v>
      </c>
      <c r="G2781" s="7">
        <f>IF(Zarejestrowane!$C$2788="","",Zarejestrowane!$C$2788)</f>
        <v>0</v>
      </c>
      <c r="H2781" s="9">
        <f>IF(AND($F2781&lt;&gt;"",ISNUMBER(SEARCH('Nr rejestracyjny'!$F$5,$F2781))),COUNT($H$1:H2780)+1,"")</f>
        <v>0</v>
      </c>
      <c r="I2781" s="9">
        <f>IF(AND($G2781&lt;&gt;"",ISNUMBER(SEARCH('Nr rejestracyjny'!$F$5,$G2781))),COUNT($I$1:I2780)+1,"")</f>
        <v>0</v>
      </c>
    </row>
    <row r="2782" spans="6:9">
      <c r="F2782" s="7">
        <f>IF('W rejestracji'!$C$2789="","",'W rejestracji'!$C$2789)</f>
        <v>0</v>
      </c>
      <c r="G2782" s="7">
        <f>IF(Zarejestrowane!$C$2789="","",Zarejestrowane!$C$2789)</f>
        <v>0</v>
      </c>
      <c r="H2782" s="9">
        <f>IF(AND($F2782&lt;&gt;"",ISNUMBER(SEARCH('Nr rejestracyjny'!$F$5,$F2782))),COUNT($H$1:H2781)+1,"")</f>
        <v>0</v>
      </c>
      <c r="I2782" s="9">
        <f>IF(AND($G2782&lt;&gt;"",ISNUMBER(SEARCH('Nr rejestracyjny'!$F$5,$G2782))),COUNT($I$1:I2781)+1,"")</f>
        <v>0</v>
      </c>
    </row>
    <row r="2783" spans="6:9">
      <c r="F2783" s="7">
        <f>IF('W rejestracji'!$C$2790="","",'W rejestracji'!$C$2790)</f>
        <v>0</v>
      </c>
      <c r="G2783" s="7">
        <f>IF(Zarejestrowane!$C$2790="","",Zarejestrowane!$C$2790)</f>
        <v>0</v>
      </c>
      <c r="H2783" s="9">
        <f>IF(AND($F2783&lt;&gt;"",ISNUMBER(SEARCH('Nr rejestracyjny'!$F$5,$F2783))),COUNT($H$1:H2782)+1,"")</f>
        <v>0</v>
      </c>
      <c r="I2783" s="9">
        <f>IF(AND($G2783&lt;&gt;"",ISNUMBER(SEARCH('Nr rejestracyjny'!$F$5,$G2783))),COUNT($I$1:I2782)+1,"")</f>
        <v>0</v>
      </c>
    </row>
    <row r="2784" spans="6:9">
      <c r="F2784" s="7">
        <f>IF('W rejestracji'!$C$2791="","",'W rejestracji'!$C$2791)</f>
        <v>0</v>
      </c>
      <c r="G2784" s="7">
        <f>IF(Zarejestrowane!$C$2791="","",Zarejestrowane!$C$2791)</f>
        <v>0</v>
      </c>
      <c r="H2784" s="9">
        <f>IF(AND($F2784&lt;&gt;"",ISNUMBER(SEARCH('Nr rejestracyjny'!$F$5,$F2784))),COUNT($H$1:H2783)+1,"")</f>
        <v>0</v>
      </c>
      <c r="I2784" s="9">
        <f>IF(AND($G2784&lt;&gt;"",ISNUMBER(SEARCH('Nr rejestracyjny'!$F$5,$G2784))),COUNT($I$1:I2783)+1,"")</f>
        <v>0</v>
      </c>
    </row>
    <row r="2785" spans="6:9">
      <c r="F2785" s="7">
        <f>IF('W rejestracji'!$C$2792="","",'W rejestracji'!$C$2792)</f>
        <v>0</v>
      </c>
      <c r="G2785" s="7">
        <f>IF(Zarejestrowane!$C$2792="","",Zarejestrowane!$C$2792)</f>
        <v>0</v>
      </c>
      <c r="H2785" s="9">
        <f>IF(AND($F2785&lt;&gt;"",ISNUMBER(SEARCH('Nr rejestracyjny'!$F$5,$F2785))),COUNT($H$1:H2784)+1,"")</f>
        <v>0</v>
      </c>
      <c r="I2785" s="9">
        <f>IF(AND($G2785&lt;&gt;"",ISNUMBER(SEARCH('Nr rejestracyjny'!$F$5,$G2785))),COUNT($I$1:I2784)+1,"")</f>
        <v>0</v>
      </c>
    </row>
    <row r="2786" spans="6:9">
      <c r="F2786" s="7">
        <f>IF('W rejestracji'!$C$2793="","",'W rejestracji'!$C$2793)</f>
        <v>0</v>
      </c>
      <c r="G2786" s="7">
        <f>IF(Zarejestrowane!$C$2793="","",Zarejestrowane!$C$2793)</f>
        <v>0</v>
      </c>
      <c r="H2786" s="9">
        <f>IF(AND($F2786&lt;&gt;"",ISNUMBER(SEARCH('Nr rejestracyjny'!$F$5,$F2786))),COUNT($H$1:H2785)+1,"")</f>
        <v>0</v>
      </c>
      <c r="I2786" s="9">
        <f>IF(AND($G2786&lt;&gt;"",ISNUMBER(SEARCH('Nr rejestracyjny'!$F$5,$G2786))),COUNT($I$1:I2785)+1,"")</f>
        <v>0</v>
      </c>
    </row>
    <row r="2787" spans="6:9">
      <c r="F2787" s="7">
        <f>IF('W rejestracji'!$C$2794="","",'W rejestracji'!$C$2794)</f>
        <v>0</v>
      </c>
      <c r="G2787" s="7">
        <f>IF(Zarejestrowane!$C$2794="","",Zarejestrowane!$C$2794)</f>
        <v>0</v>
      </c>
      <c r="H2787" s="9">
        <f>IF(AND($F2787&lt;&gt;"",ISNUMBER(SEARCH('Nr rejestracyjny'!$F$5,$F2787))),COUNT($H$1:H2786)+1,"")</f>
        <v>0</v>
      </c>
      <c r="I2787" s="9">
        <f>IF(AND($G2787&lt;&gt;"",ISNUMBER(SEARCH('Nr rejestracyjny'!$F$5,$G2787))),COUNT($I$1:I2786)+1,"")</f>
        <v>0</v>
      </c>
    </row>
    <row r="2788" spans="6:9">
      <c r="F2788" s="7">
        <f>IF('W rejestracji'!$C$2795="","",'W rejestracji'!$C$2795)</f>
        <v>0</v>
      </c>
      <c r="G2788" s="7">
        <f>IF(Zarejestrowane!$C$2795="","",Zarejestrowane!$C$2795)</f>
        <v>0</v>
      </c>
      <c r="H2788" s="9">
        <f>IF(AND($F2788&lt;&gt;"",ISNUMBER(SEARCH('Nr rejestracyjny'!$F$5,$F2788))),COUNT($H$1:H2787)+1,"")</f>
        <v>0</v>
      </c>
      <c r="I2788" s="9">
        <f>IF(AND($G2788&lt;&gt;"",ISNUMBER(SEARCH('Nr rejestracyjny'!$F$5,$G2788))),COUNT($I$1:I2787)+1,"")</f>
        <v>0</v>
      </c>
    </row>
    <row r="2789" spans="6:9">
      <c r="F2789" s="7">
        <f>IF('W rejestracji'!$C$2796="","",'W rejestracji'!$C$2796)</f>
        <v>0</v>
      </c>
      <c r="G2789" s="7">
        <f>IF(Zarejestrowane!$C$2796="","",Zarejestrowane!$C$2796)</f>
        <v>0</v>
      </c>
      <c r="H2789" s="9">
        <f>IF(AND($F2789&lt;&gt;"",ISNUMBER(SEARCH('Nr rejestracyjny'!$F$5,$F2789))),COUNT($H$1:H2788)+1,"")</f>
        <v>0</v>
      </c>
      <c r="I2789" s="9">
        <f>IF(AND($G2789&lt;&gt;"",ISNUMBER(SEARCH('Nr rejestracyjny'!$F$5,$G2789))),COUNT($I$1:I2788)+1,"")</f>
        <v>0</v>
      </c>
    </row>
    <row r="2790" spans="6:9">
      <c r="F2790" s="7">
        <f>IF('W rejestracji'!$C$2797="","",'W rejestracji'!$C$2797)</f>
        <v>0</v>
      </c>
      <c r="G2790" s="7">
        <f>IF(Zarejestrowane!$C$2797="","",Zarejestrowane!$C$2797)</f>
        <v>0</v>
      </c>
      <c r="H2790" s="9">
        <f>IF(AND($F2790&lt;&gt;"",ISNUMBER(SEARCH('Nr rejestracyjny'!$F$5,$F2790))),COUNT($H$1:H2789)+1,"")</f>
        <v>0</v>
      </c>
      <c r="I2790" s="9">
        <f>IF(AND($G2790&lt;&gt;"",ISNUMBER(SEARCH('Nr rejestracyjny'!$F$5,$G2790))),COUNT($I$1:I2789)+1,"")</f>
        <v>0</v>
      </c>
    </row>
    <row r="2791" spans="6:9">
      <c r="F2791" s="7">
        <f>IF('W rejestracji'!$C$2798="","",'W rejestracji'!$C$2798)</f>
        <v>0</v>
      </c>
      <c r="G2791" s="7">
        <f>IF(Zarejestrowane!$C$2798="","",Zarejestrowane!$C$2798)</f>
        <v>0</v>
      </c>
      <c r="H2791" s="9">
        <f>IF(AND($F2791&lt;&gt;"",ISNUMBER(SEARCH('Nr rejestracyjny'!$F$5,$F2791))),COUNT($H$1:H2790)+1,"")</f>
        <v>0</v>
      </c>
      <c r="I2791" s="9">
        <f>IF(AND($G2791&lt;&gt;"",ISNUMBER(SEARCH('Nr rejestracyjny'!$F$5,$G2791))),COUNT($I$1:I2790)+1,"")</f>
        <v>0</v>
      </c>
    </row>
    <row r="2792" spans="6:9">
      <c r="F2792" s="7">
        <f>IF('W rejestracji'!$C$2799="","",'W rejestracji'!$C$2799)</f>
        <v>0</v>
      </c>
      <c r="G2792" s="7">
        <f>IF(Zarejestrowane!$C$2799="","",Zarejestrowane!$C$2799)</f>
        <v>0</v>
      </c>
      <c r="H2792" s="9">
        <f>IF(AND($F2792&lt;&gt;"",ISNUMBER(SEARCH('Nr rejestracyjny'!$F$5,$F2792))),COUNT($H$1:H2791)+1,"")</f>
        <v>0</v>
      </c>
      <c r="I2792" s="9">
        <f>IF(AND($G2792&lt;&gt;"",ISNUMBER(SEARCH('Nr rejestracyjny'!$F$5,$G2792))),COUNT($I$1:I2791)+1,"")</f>
        <v>0</v>
      </c>
    </row>
    <row r="2793" spans="6:9">
      <c r="F2793" s="7">
        <f>IF('W rejestracji'!$C$2800="","",'W rejestracji'!$C$2800)</f>
        <v>0</v>
      </c>
      <c r="G2793" s="7">
        <f>IF(Zarejestrowane!$C$2800="","",Zarejestrowane!$C$2800)</f>
        <v>0</v>
      </c>
      <c r="H2793" s="9">
        <f>IF(AND($F2793&lt;&gt;"",ISNUMBER(SEARCH('Nr rejestracyjny'!$F$5,$F2793))),COUNT($H$1:H2792)+1,"")</f>
        <v>0</v>
      </c>
      <c r="I2793" s="9">
        <f>IF(AND($G2793&lt;&gt;"",ISNUMBER(SEARCH('Nr rejestracyjny'!$F$5,$G2793))),COUNT($I$1:I2792)+1,"")</f>
        <v>0</v>
      </c>
    </row>
    <row r="2794" spans="6:9">
      <c r="F2794" s="7">
        <f>IF('W rejestracji'!$C$2801="","",'W rejestracji'!$C$2801)</f>
        <v>0</v>
      </c>
      <c r="G2794" s="7">
        <f>IF(Zarejestrowane!$C$2801="","",Zarejestrowane!$C$2801)</f>
        <v>0</v>
      </c>
      <c r="H2794" s="9">
        <f>IF(AND($F2794&lt;&gt;"",ISNUMBER(SEARCH('Nr rejestracyjny'!$F$5,$F2794))),COUNT($H$1:H2793)+1,"")</f>
        <v>0</v>
      </c>
      <c r="I2794" s="9">
        <f>IF(AND($G2794&lt;&gt;"",ISNUMBER(SEARCH('Nr rejestracyjny'!$F$5,$G2794))),COUNT($I$1:I2793)+1,"")</f>
        <v>0</v>
      </c>
    </row>
    <row r="2795" spans="6:9">
      <c r="F2795" s="7">
        <f>IF('W rejestracji'!$C$2802="","",'W rejestracji'!$C$2802)</f>
        <v>0</v>
      </c>
      <c r="G2795" s="7">
        <f>IF(Zarejestrowane!$C$2802="","",Zarejestrowane!$C$2802)</f>
        <v>0</v>
      </c>
      <c r="H2795" s="9">
        <f>IF(AND($F2795&lt;&gt;"",ISNUMBER(SEARCH('Nr rejestracyjny'!$F$5,$F2795))),COUNT($H$1:H2794)+1,"")</f>
        <v>0</v>
      </c>
      <c r="I2795" s="9">
        <f>IF(AND($G2795&lt;&gt;"",ISNUMBER(SEARCH('Nr rejestracyjny'!$F$5,$G2795))),COUNT($I$1:I2794)+1,"")</f>
        <v>0</v>
      </c>
    </row>
    <row r="2796" spans="6:9">
      <c r="F2796" s="7">
        <f>IF('W rejestracji'!$C$2803="","",'W rejestracji'!$C$2803)</f>
        <v>0</v>
      </c>
      <c r="G2796" s="7">
        <f>IF(Zarejestrowane!$C$2803="","",Zarejestrowane!$C$2803)</f>
        <v>0</v>
      </c>
      <c r="H2796" s="9">
        <f>IF(AND($F2796&lt;&gt;"",ISNUMBER(SEARCH('Nr rejestracyjny'!$F$5,$F2796))),COUNT($H$1:H2795)+1,"")</f>
        <v>0</v>
      </c>
      <c r="I2796" s="9">
        <f>IF(AND($G2796&lt;&gt;"",ISNUMBER(SEARCH('Nr rejestracyjny'!$F$5,$G2796))),COUNT($I$1:I2795)+1,"")</f>
        <v>0</v>
      </c>
    </row>
    <row r="2797" spans="6:9">
      <c r="F2797" s="7">
        <f>IF('W rejestracji'!$C$2804="","",'W rejestracji'!$C$2804)</f>
        <v>0</v>
      </c>
      <c r="G2797" s="7">
        <f>IF(Zarejestrowane!$C$2804="","",Zarejestrowane!$C$2804)</f>
        <v>0</v>
      </c>
      <c r="H2797" s="9">
        <f>IF(AND($F2797&lt;&gt;"",ISNUMBER(SEARCH('Nr rejestracyjny'!$F$5,$F2797))),COUNT($H$1:H2796)+1,"")</f>
        <v>0</v>
      </c>
      <c r="I2797" s="9">
        <f>IF(AND($G2797&lt;&gt;"",ISNUMBER(SEARCH('Nr rejestracyjny'!$F$5,$G2797))),COUNT($I$1:I2796)+1,"")</f>
        <v>0</v>
      </c>
    </row>
    <row r="2798" spans="6:9">
      <c r="F2798" s="7">
        <f>IF('W rejestracji'!$C$2805="","",'W rejestracji'!$C$2805)</f>
        <v>0</v>
      </c>
      <c r="G2798" s="7">
        <f>IF(Zarejestrowane!$C$2805="","",Zarejestrowane!$C$2805)</f>
        <v>0</v>
      </c>
      <c r="H2798" s="9">
        <f>IF(AND($F2798&lt;&gt;"",ISNUMBER(SEARCH('Nr rejestracyjny'!$F$5,$F2798))),COUNT($H$1:H2797)+1,"")</f>
        <v>0</v>
      </c>
      <c r="I2798" s="9">
        <f>IF(AND($G2798&lt;&gt;"",ISNUMBER(SEARCH('Nr rejestracyjny'!$F$5,$G2798))),COUNT($I$1:I2797)+1,"")</f>
        <v>0</v>
      </c>
    </row>
    <row r="2799" spans="6:9">
      <c r="F2799" s="7">
        <f>IF('W rejestracji'!$C$2806="","",'W rejestracji'!$C$2806)</f>
        <v>0</v>
      </c>
      <c r="G2799" s="7">
        <f>IF(Zarejestrowane!$C$2806="","",Zarejestrowane!$C$2806)</f>
        <v>0</v>
      </c>
      <c r="H2799" s="9">
        <f>IF(AND($F2799&lt;&gt;"",ISNUMBER(SEARCH('Nr rejestracyjny'!$F$5,$F2799))),COUNT($H$1:H2798)+1,"")</f>
        <v>0</v>
      </c>
      <c r="I2799" s="9">
        <f>IF(AND($G2799&lt;&gt;"",ISNUMBER(SEARCH('Nr rejestracyjny'!$F$5,$G2799))),COUNT($I$1:I2798)+1,"")</f>
        <v>0</v>
      </c>
    </row>
    <row r="2800" spans="6:9">
      <c r="F2800" s="7">
        <f>IF('W rejestracji'!$C$2807="","",'W rejestracji'!$C$2807)</f>
        <v>0</v>
      </c>
      <c r="G2800" s="7">
        <f>IF(Zarejestrowane!$C$2807="","",Zarejestrowane!$C$2807)</f>
        <v>0</v>
      </c>
      <c r="H2800" s="9">
        <f>IF(AND($F2800&lt;&gt;"",ISNUMBER(SEARCH('Nr rejestracyjny'!$F$5,$F2800))),COUNT($H$1:H2799)+1,"")</f>
        <v>0</v>
      </c>
      <c r="I2800" s="9">
        <f>IF(AND($G2800&lt;&gt;"",ISNUMBER(SEARCH('Nr rejestracyjny'!$F$5,$G2800))),COUNT($I$1:I2799)+1,"")</f>
        <v>0</v>
      </c>
    </row>
    <row r="2801" spans="6:9">
      <c r="F2801" s="7">
        <f>IF('W rejestracji'!$C$2808="","",'W rejestracji'!$C$2808)</f>
        <v>0</v>
      </c>
      <c r="G2801" s="7">
        <f>IF(Zarejestrowane!$C$2808="","",Zarejestrowane!$C$2808)</f>
        <v>0</v>
      </c>
      <c r="H2801" s="9">
        <f>IF(AND($F2801&lt;&gt;"",ISNUMBER(SEARCH('Nr rejestracyjny'!$F$5,$F2801))),COUNT($H$1:H2800)+1,"")</f>
        <v>0</v>
      </c>
      <c r="I2801" s="9">
        <f>IF(AND($G2801&lt;&gt;"",ISNUMBER(SEARCH('Nr rejestracyjny'!$F$5,$G2801))),COUNT($I$1:I2800)+1,"")</f>
        <v>0</v>
      </c>
    </row>
    <row r="2802" spans="6:9">
      <c r="F2802" s="7">
        <f>IF('W rejestracji'!$C$2809="","",'W rejestracji'!$C$2809)</f>
        <v>0</v>
      </c>
      <c r="G2802" s="7">
        <f>IF(Zarejestrowane!$C$2809="","",Zarejestrowane!$C$2809)</f>
        <v>0</v>
      </c>
      <c r="H2802" s="9">
        <f>IF(AND($F2802&lt;&gt;"",ISNUMBER(SEARCH('Nr rejestracyjny'!$F$5,$F2802))),COUNT($H$1:H2801)+1,"")</f>
        <v>0</v>
      </c>
      <c r="I2802" s="9">
        <f>IF(AND($G2802&lt;&gt;"",ISNUMBER(SEARCH('Nr rejestracyjny'!$F$5,$G2802))),COUNT($I$1:I2801)+1,"")</f>
        <v>0</v>
      </c>
    </row>
    <row r="2803" spans="6:9">
      <c r="F2803" s="7">
        <f>IF('W rejestracji'!$C$2810="","",'W rejestracji'!$C$2810)</f>
        <v>0</v>
      </c>
      <c r="G2803" s="7">
        <f>IF(Zarejestrowane!$C$2810="","",Zarejestrowane!$C$2810)</f>
        <v>0</v>
      </c>
      <c r="H2803" s="9">
        <f>IF(AND($F2803&lt;&gt;"",ISNUMBER(SEARCH('Nr rejestracyjny'!$F$5,$F2803))),COUNT($H$1:H2802)+1,"")</f>
        <v>0</v>
      </c>
      <c r="I2803" s="9">
        <f>IF(AND($G2803&lt;&gt;"",ISNUMBER(SEARCH('Nr rejestracyjny'!$F$5,$G2803))),COUNT($I$1:I2802)+1,"")</f>
        <v>0</v>
      </c>
    </row>
    <row r="2804" spans="6:9">
      <c r="F2804" s="7">
        <f>IF('W rejestracji'!$C$2811="","",'W rejestracji'!$C$2811)</f>
        <v>0</v>
      </c>
      <c r="G2804" s="7">
        <f>IF(Zarejestrowane!$C$2811="","",Zarejestrowane!$C$2811)</f>
        <v>0</v>
      </c>
      <c r="H2804" s="9">
        <f>IF(AND($F2804&lt;&gt;"",ISNUMBER(SEARCH('Nr rejestracyjny'!$F$5,$F2804))),COUNT($H$1:H2803)+1,"")</f>
        <v>0</v>
      </c>
      <c r="I2804" s="9">
        <f>IF(AND($G2804&lt;&gt;"",ISNUMBER(SEARCH('Nr rejestracyjny'!$F$5,$G2804))),COUNT($I$1:I2803)+1,"")</f>
        <v>0</v>
      </c>
    </row>
    <row r="2805" spans="6:9">
      <c r="F2805" s="7">
        <f>IF('W rejestracji'!$C$2812="","",'W rejestracji'!$C$2812)</f>
        <v>0</v>
      </c>
      <c r="G2805" s="7">
        <f>IF(Zarejestrowane!$C$2812="","",Zarejestrowane!$C$2812)</f>
        <v>0</v>
      </c>
      <c r="H2805" s="9">
        <f>IF(AND($F2805&lt;&gt;"",ISNUMBER(SEARCH('Nr rejestracyjny'!$F$5,$F2805))),COUNT($H$1:H2804)+1,"")</f>
        <v>0</v>
      </c>
      <c r="I2805" s="9">
        <f>IF(AND($G2805&lt;&gt;"",ISNUMBER(SEARCH('Nr rejestracyjny'!$F$5,$G2805))),COUNT($I$1:I2804)+1,"")</f>
        <v>0</v>
      </c>
    </row>
    <row r="2806" spans="6:9">
      <c r="F2806" s="7">
        <f>IF('W rejestracji'!$C$2813="","",'W rejestracji'!$C$2813)</f>
        <v>0</v>
      </c>
      <c r="G2806" s="7">
        <f>IF(Zarejestrowane!$C$2813="","",Zarejestrowane!$C$2813)</f>
        <v>0</v>
      </c>
      <c r="H2806" s="9">
        <f>IF(AND($F2806&lt;&gt;"",ISNUMBER(SEARCH('Nr rejestracyjny'!$F$5,$F2806))),COUNT($H$1:H2805)+1,"")</f>
        <v>0</v>
      </c>
      <c r="I2806" s="9">
        <f>IF(AND($G2806&lt;&gt;"",ISNUMBER(SEARCH('Nr rejestracyjny'!$F$5,$G2806))),COUNT($I$1:I2805)+1,"")</f>
        <v>0</v>
      </c>
    </row>
    <row r="2807" spans="6:9">
      <c r="F2807" s="7">
        <f>IF('W rejestracji'!$C$2814="","",'W rejestracji'!$C$2814)</f>
        <v>0</v>
      </c>
      <c r="G2807" s="7">
        <f>IF(Zarejestrowane!$C$2814="","",Zarejestrowane!$C$2814)</f>
        <v>0</v>
      </c>
      <c r="H2807" s="9">
        <f>IF(AND($F2807&lt;&gt;"",ISNUMBER(SEARCH('Nr rejestracyjny'!$F$5,$F2807))),COUNT($H$1:H2806)+1,"")</f>
        <v>0</v>
      </c>
      <c r="I2807" s="9">
        <f>IF(AND($G2807&lt;&gt;"",ISNUMBER(SEARCH('Nr rejestracyjny'!$F$5,$G2807))),COUNT($I$1:I2806)+1,"")</f>
        <v>0</v>
      </c>
    </row>
    <row r="2808" spans="6:9">
      <c r="F2808" s="7">
        <f>IF('W rejestracji'!$C$2815="","",'W rejestracji'!$C$2815)</f>
        <v>0</v>
      </c>
      <c r="G2808" s="7">
        <f>IF(Zarejestrowane!$C$2815="","",Zarejestrowane!$C$2815)</f>
        <v>0</v>
      </c>
      <c r="H2808" s="9">
        <f>IF(AND($F2808&lt;&gt;"",ISNUMBER(SEARCH('Nr rejestracyjny'!$F$5,$F2808))),COUNT($H$1:H2807)+1,"")</f>
        <v>0</v>
      </c>
      <c r="I2808" s="9">
        <f>IF(AND($G2808&lt;&gt;"",ISNUMBER(SEARCH('Nr rejestracyjny'!$F$5,$G2808))),COUNT($I$1:I2807)+1,"")</f>
        <v>0</v>
      </c>
    </row>
    <row r="2809" spans="6:9">
      <c r="F2809" s="7">
        <f>IF('W rejestracji'!$C$2816="","",'W rejestracji'!$C$2816)</f>
        <v>0</v>
      </c>
      <c r="G2809" s="7">
        <f>IF(Zarejestrowane!$C$2816="","",Zarejestrowane!$C$2816)</f>
        <v>0</v>
      </c>
      <c r="H2809" s="9">
        <f>IF(AND($F2809&lt;&gt;"",ISNUMBER(SEARCH('Nr rejestracyjny'!$F$5,$F2809))),COUNT($H$1:H2808)+1,"")</f>
        <v>0</v>
      </c>
      <c r="I2809" s="9">
        <f>IF(AND($G2809&lt;&gt;"",ISNUMBER(SEARCH('Nr rejestracyjny'!$F$5,$G2809))),COUNT($I$1:I2808)+1,"")</f>
        <v>0</v>
      </c>
    </row>
    <row r="2810" spans="6:9">
      <c r="F2810" s="7">
        <f>IF('W rejestracji'!$C$2817="","",'W rejestracji'!$C$2817)</f>
        <v>0</v>
      </c>
      <c r="G2810" s="7">
        <f>IF(Zarejestrowane!$C$2817="","",Zarejestrowane!$C$2817)</f>
        <v>0</v>
      </c>
      <c r="H2810" s="9">
        <f>IF(AND($F2810&lt;&gt;"",ISNUMBER(SEARCH('Nr rejestracyjny'!$F$5,$F2810))),COUNT($H$1:H2809)+1,"")</f>
        <v>0</v>
      </c>
      <c r="I2810" s="9">
        <f>IF(AND($G2810&lt;&gt;"",ISNUMBER(SEARCH('Nr rejestracyjny'!$F$5,$G2810))),COUNT($I$1:I2809)+1,"")</f>
        <v>0</v>
      </c>
    </row>
    <row r="2811" spans="6:9">
      <c r="F2811" s="7">
        <f>IF('W rejestracji'!$C$2818="","",'W rejestracji'!$C$2818)</f>
        <v>0</v>
      </c>
      <c r="G2811" s="7">
        <f>IF(Zarejestrowane!$C$2818="","",Zarejestrowane!$C$2818)</f>
        <v>0</v>
      </c>
      <c r="H2811" s="9">
        <f>IF(AND($F2811&lt;&gt;"",ISNUMBER(SEARCH('Nr rejestracyjny'!$F$5,$F2811))),COUNT($H$1:H2810)+1,"")</f>
        <v>0</v>
      </c>
      <c r="I2811" s="9">
        <f>IF(AND($G2811&lt;&gt;"",ISNUMBER(SEARCH('Nr rejestracyjny'!$F$5,$G2811))),COUNT($I$1:I2810)+1,"")</f>
        <v>0</v>
      </c>
    </row>
    <row r="2812" spans="6:9">
      <c r="F2812" s="7">
        <f>IF('W rejestracji'!$C$2819="","",'W rejestracji'!$C$2819)</f>
        <v>0</v>
      </c>
      <c r="G2812" s="7">
        <f>IF(Zarejestrowane!$C$2819="","",Zarejestrowane!$C$2819)</f>
        <v>0</v>
      </c>
      <c r="H2812" s="9">
        <f>IF(AND($F2812&lt;&gt;"",ISNUMBER(SEARCH('Nr rejestracyjny'!$F$5,$F2812))),COUNT($H$1:H2811)+1,"")</f>
        <v>0</v>
      </c>
      <c r="I2812" s="9">
        <f>IF(AND($G2812&lt;&gt;"",ISNUMBER(SEARCH('Nr rejestracyjny'!$F$5,$G2812))),COUNT($I$1:I2811)+1,"")</f>
        <v>0</v>
      </c>
    </row>
    <row r="2813" spans="6:9">
      <c r="F2813" s="7">
        <f>IF('W rejestracji'!$C$2820="","",'W rejestracji'!$C$2820)</f>
        <v>0</v>
      </c>
      <c r="G2813" s="7">
        <f>IF(Zarejestrowane!$C$2820="","",Zarejestrowane!$C$2820)</f>
        <v>0</v>
      </c>
      <c r="H2813" s="9">
        <f>IF(AND($F2813&lt;&gt;"",ISNUMBER(SEARCH('Nr rejestracyjny'!$F$5,$F2813))),COUNT($H$1:H2812)+1,"")</f>
        <v>0</v>
      </c>
      <c r="I2813" s="9">
        <f>IF(AND($G2813&lt;&gt;"",ISNUMBER(SEARCH('Nr rejestracyjny'!$F$5,$G2813))),COUNT($I$1:I2812)+1,"")</f>
        <v>0</v>
      </c>
    </row>
    <row r="2814" spans="6:9">
      <c r="F2814" s="7">
        <f>IF('W rejestracji'!$C$2821="","",'W rejestracji'!$C$2821)</f>
        <v>0</v>
      </c>
      <c r="G2814" s="7">
        <f>IF(Zarejestrowane!$C$2821="","",Zarejestrowane!$C$2821)</f>
        <v>0</v>
      </c>
      <c r="H2814" s="9">
        <f>IF(AND($F2814&lt;&gt;"",ISNUMBER(SEARCH('Nr rejestracyjny'!$F$5,$F2814))),COUNT($H$1:H2813)+1,"")</f>
        <v>0</v>
      </c>
      <c r="I2814" s="9">
        <f>IF(AND($G2814&lt;&gt;"",ISNUMBER(SEARCH('Nr rejestracyjny'!$F$5,$G2814))),COUNT($I$1:I2813)+1,"")</f>
        <v>0</v>
      </c>
    </row>
    <row r="2815" spans="6:9">
      <c r="F2815" s="7">
        <f>IF('W rejestracji'!$C$2822="","",'W rejestracji'!$C$2822)</f>
        <v>0</v>
      </c>
      <c r="G2815" s="7">
        <f>IF(Zarejestrowane!$C$2822="","",Zarejestrowane!$C$2822)</f>
        <v>0</v>
      </c>
      <c r="H2815" s="9">
        <f>IF(AND($F2815&lt;&gt;"",ISNUMBER(SEARCH('Nr rejestracyjny'!$F$5,$F2815))),COUNT($H$1:H2814)+1,"")</f>
        <v>0</v>
      </c>
      <c r="I2815" s="9">
        <f>IF(AND($G2815&lt;&gt;"",ISNUMBER(SEARCH('Nr rejestracyjny'!$F$5,$G2815))),COUNT($I$1:I2814)+1,"")</f>
        <v>0</v>
      </c>
    </row>
    <row r="2816" spans="6:9">
      <c r="F2816" s="7">
        <f>IF('W rejestracji'!$C$2823="","",'W rejestracji'!$C$2823)</f>
        <v>0</v>
      </c>
      <c r="G2816" s="7">
        <f>IF(Zarejestrowane!$C$2823="","",Zarejestrowane!$C$2823)</f>
        <v>0</v>
      </c>
      <c r="H2816" s="9">
        <f>IF(AND($F2816&lt;&gt;"",ISNUMBER(SEARCH('Nr rejestracyjny'!$F$5,$F2816))),COUNT($H$1:H2815)+1,"")</f>
        <v>0</v>
      </c>
      <c r="I2816" s="9">
        <f>IF(AND($G2816&lt;&gt;"",ISNUMBER(SEARCH('Nr rejestracyjny'!$F$5,$G2816))),COUNT($I$1:I2815)+1,"")</f>
        <v>0</v>
      </c>
    </row>
    <row r="2817" spans="6:9">
      <c r="F2817" s="7">
        <f>IF('W rejestracji'!$C$2824="","",'W rejestracji'!$C$2824)</f>
        <v>0</v>
      </c>
      <c r="G2817" s="7">
        <f>IF(Zarejestrowane!$C$2824="","",Zarejestrowane!$C$2824)</f>
        <v>0</v>
      </c>
      <c r="H2817" s="9">
        <f>IF(AND($F2817&lt;&gt;"",ISNUMBER(SEARCH('Nr rejestracyjny'!$F$5,$F2817))),COUNT($H$1:H2816)+1,"")</f>
        <v>0</v>
      </c>
      <c r="I2817" s="9">
        <f>IF(AND($G2817&lt;&gt;"",ISNUMBER(SEARCH('Nr rejestracyjny'!$F$5,$G2817))),COUNT($I$1:I2816)+1,"")</f>
        <v>0</v>
      </c>
    </row>
    <row r="2818" spans="6:9">
      <c r="F2818" s="7">
        <f>IF('W rejestracji'!$C$2825="","",'W rejestracji'!$C$2825)</f>
        <v>0</v>
      </c>
      <c r="G2818" s="7">
        <f>IF(Zarejestrowane!$C$2825="","",Zarejestrowane!$C$2825)</f>
        <v>0</v>
      </c>
      <c r="H2818" s="9">
        <f>IF(AND($F2818&lt;&gt;"",ISNUMBER(SEARCH('Nr rejestracyjny'!$F$5,$F2818))),COUNT($H$1:H2817)+1,"")</f>
        <v>0</v>
      </c>
      <c r="I2818" s="9">
        <f>IF(AND($G2818&lt;&gt;"",ISNUMBER(SEARCH('Nr rejestracyjny'!$F$5,$G2818))),COUNT($I$1:I2817)+1,"")</f>
        <v>0</v>
      </c>
    </row>
    <row r="2819" spans="6:9">
      <c r="F2819" s="7">
        <f>IF('W rejestracji'!$C$2826="","",'W rejestracji'!$C$2826)</f>
        <v>0</v>
      </c>
      <c r="G2819" s="7">
        <f>IF(Zarejestrowane!$C$2826="","",Zarejestrowane!$C$2826)</f>
        <v>0</v>
      </c>
      <c r="H2819" s="9">
        <f>IF(AND($F2819&lt;&gt;"",ISNUMBER(SEARCH('Nr rejestracyjny'!$F$5,$F2819))),COUNT($H$1:H2818)+1,"")</f>
        <v>0</v>
      </c>
      <c r="I2819" s="9">
        <f>IF(AND($G2819&lt;&gt;"",ISNUMBER(SEARCH('Nr rejestracyjny'!$F$5,$G2819))),COUNT($I$1:I2818)+1,"")</f>
        <v>0</v>
      </c>
    </row>
    <row r="2820" spans="6:9">
      <c r="F2820" s="7">
        <f>IF('W rejestracji'!$C$2827="","",'W rejestracji'!$C$2827)</f>
        <v>0</v>
      </c>
      <c r="G2820" s="7">
        <f>IF(Zarejestrowane!$C$2827="","",Zarejestrowane!$C$2827)</f>
        <v>0</v>
      </c>
      <c r="H2820" s="9">
        <f>IF(AND($F2820&lt;&gt;"",ISNUMBER(SEARCH('Nr rejestracyjny'!$F$5,$F2820))),COUNT($H$1:H2819)+1,"")</f>
        <v>0</v>
      </c>
      <c r="I2820" s="9">
        <f>IF(AND($G2820&lt;&gt;"",ISNUMBER(SEARCH('Nr rejestracyjny'!$F$5,$G2820))),COUNT($I$1:I2819)+1,"")</f>
        <v>0</v>
      </c>
    </row>
    <row r="2821" spans="6:9">
      <c r="F2821" s="7">
        <f>IF('W rejestracji'!$C$2828="","",'W rejestracji'!$C$2828)</f>
        <v>0</v>
      </c>
      <c r="G2821" s="7">
        <f>IF(Zarejestrowane!$C$2828="","",Zarejestrowane!$C$2828)</f>
        <v>0</v>
      </c>
      <c r="H2821" s="9">
        <f>IF(AND($F2821&lt;&gt;"",ISNUMBER(SEARCH('Nr rejestracyjny'!$F$5,$F2821))),COUNT($H$1:H2820)+1,"")</f>
        <v>0</v>
      </c>
      <c r="I2821" s="9">
        <f>IF(AND($G2821&lt;&gt;"",ISNUMBER(SEARCH('Nr rejestracyjny'!$F$5,$G2821))),COUNT($I$1:I2820)+1,"")</f>
        <v>0</v>
      </c>
    </row>
    <row r="2822" spans="6:9">
      <c r="F2822" s="7">
        <f>IF('W rejestracji'!$C$2829="","",'W rejestracji'!$C$2829)</f>
        <v>0</v>
      </c>
      <c r="G2822" s="7">
        <f>IF(Zarejestrowane!$C$2829="","",Zarejestrowane!$C$2829)</f>
        <v>0</v>
      </c>
      <c r="H2822" s="9">
        <f>IF(AND($F2822&lt;&gt;"",ISNUMBER(SEARCH('Nr rejestracyjny'!$F$5,$F2822))),COUNT($H$1:H2821)+1,"")</f>
        <v>0</v>
      </c>
      <c r="I2822" s="9">
        <f>IF(AND($G2822&lt;&gt;"",ISNUMBER(SEARCH('Nr rejestracyjny'!$F$5,$G2822))),COUNT($I$1:I2821)+1,"")</f>
        <v>0</v>
      </c>
    </row>
    <row r="2823" spans="6:9">
      <c r="F2823" s="7">
        <f>IF('W rejestracji'!$C$2830="","",'W rejestracji'!$C$2830)</f>
        <v>0</v>
      </c>
      <c r="G2823" s="7">
        <f>IF(Zarejestrowane!$C$2830="","",Zarejestrowane!$C$2830)</f>
        <v>0</v>
      </c>
      <c r="H2823" s="9">
        <f>IF(AND($F2823&lt;&gt;"",ISNUMBER(SEARCH('Nr rejestracyjny'!$F$5,$F2823))),COUNT($H$1:H2822)+1,"")</f>
        <v>0</v>
      </c>
      <c r="I2823" s="9">
        <f>IF(AND($G2823&lt;&gt;"",ISNUMBER(SEARCH('Nr rejestracyjny'!$F$5,$G2823))),COUNT($I$1:I2822)+1,"")</f>
        <v>0</v>
      </c>
    </row>
    <row r="2824" spans="6:9">
      <c r="F2824" s="7">
        <f>IF('W rejestracji'!$C$2831="","",'W rejestracji'!$C$2831)</f>
        <v>0</v>
      </c>
      <c r="G2824" s="7">
        <f>IF(Zarejestrowane!$C$2831="","",Zarejestrowane!$C$2831)</f>
        <v>0</v>
      </c>
      <c r="H2824" s="9">
        <f>IF(AND($F2824&lt;&gt;"",ISNUMBER(SEARCH('Nr rejestracyjny'!$F$5,$F2824))),COUNT($H$1:H2823)+1,"")</f>
        <v>0</v>
      </c>
      <c r="I2824" s="9">
        <f>IF(AND($G2824&lt;&gt;"",ISNUMBER(SEARCH('Nr rejestracyjny'!$F$5,$G2824))),COUNT($I$1:I2823)+1,"")</f>
        <v>0</v>
      </c>
    </row>
    <row r="2825" spans="6:9">
      <c r="F2825" s="7">
        <f>IF('W rejestracji'!$C$2832="","",'W rejestracji'!$C$2832)</f>
        <v>0</v>
      </c>
      <c r="G2825" s="7">
        <f>IF(Zarejestrowane!$C$2832="","",Zarejestrowane!$C$2832)</f>
        <v>0</v>
      </c>
      <c r="H2825" s="9">
        <f>IF(AND($F2825&lt;&gt;"",ISNUMBER(SEARCH('Nr rejestracyjny'!$F$5,$F2825))),COUNT($H$1:H2824)+1,"")</f>
        <v>0</v>
      </c>
      <c r="I2825" s="9">
        <f>IF(AND($G2825&lt;&gt;"",ISNUMBER(SEARCH('Nr rejestracyjny'!$F$5,$G2825))),COUNT($I$1:I2824)+1,"")</f>
        <v>0</v>
      </c>
    </row>
    <row r="2826" spans="6:9">
      <c r="F2826" s="7">
        <f>IF('W rejestracji'!$C$2833="","",'W rejestracji'!$C$2833)</f>
        <v>0</v>
      </c>
      <c r="G2826" s="7">
        <f>IF(Zarejestrowane!$C$2833="","",Zarejestrowane!$C$2833)</f>
        <v>0</v>
      </c>
      <c r="H2826" s="9">
        <f>IF(AND($F2826&lt;&gt;"",ISNUMBER(SEARCH('Nr rejestracyjny'!$F$5,$F2826))),COUNT($H$1:H2825)+1,"")</f>
        <v>0</v>
      </c>
      <c r="I2826" s="9">
        <f>IF(AND($G2826&lt;&gt;"",ISNUMBER(SEARCH('Nr rejestracyjny'!$F$5,$G2826))),COUNT($I$1:I2825)+1,"")</f>
        <v>0</v>
      </c>
    </row>
    <row r="2827" spans="6:9">
      <c r="F2827" s="7">
        <f>IF('W rejestracji'!$C$2834="","",'W rejestracji'!$C$2834)</f>
        <v>0</v>
      </c>
      <c r="G2827" s="7">
        <f>IF(Zarejestrowane!$C$2834="","",Zarejestrowane!$C$2834)</f>
        <v>0</v>
      </c>
      <c r="H2827" s="9">
        <f>IF(AND($F2827&lt;&gt;"",ISNUMBER(SEARCH('Nr rejestracyjny'!$F$5,$F2827))),COUNT($H$1:H2826)+1,"")</f>
        <v>0</v>
      </c>
      <c r="I2827" s="9">
        <f>IF(AND($G2827&lt;&gt;"",ISNUMBER(SEARCH('Nr rejestracyjny'!$F$5,$G2827))),COUNT($I$1:I2826)+1,"")</f>
        <v>0</v>
      </c>
    </row>
    <row r="2828" spans="6:9">
      <c r="F2828" s="7">
        <f>IF('W rejestracji'!$C$2835="","",'W rejestracji'!$C$2835)</f>
        <v>0</v>
      </c>
      <c r="G2828" s="7">
        <f>IF(Zarejestrowane!$C$2835="","",Zarejestrowane!$C$2835)</f>
        <v>0</v>
      </c>
      <c r="H2828" s="9">
        <f>IF(AND($F2828&lt;&gt;"",ISNUMBER(SEARCH('Nr rejestracyjny'!$F$5,$F2828))),COUNT($H$1:H2827)+1,"")</f>
        <v>0</v>
      </c>
      <c r="I2828" s="9">
        <f>IF(AND($G2828&lt;&gt;"",ISNUMBER(SEARCH('Nr rejestracyjny'!$F$5,$G2828))),COUNT($I$1:I2827)+1,"")</f>
        <v>0</v>
      </c>
    </row>
    <row r="2829" spans="6:9">
      <c r="F2829" s="7">
        <f>IF('W rejestracji'!$C$2836="","",'W rejestracji'!$C$2836)</f>
        <v>0</v>
      </c>
      <c r="G2829" s="7">
        <f>IF(Zarejestrowane!$C$2836="","",Zarejestrowane!$C$2836)</f>
        <v>0</v>
      </c>
      <c r="H2829" s="9">
        <f>IF(AND($F2829&lt;&gt;"",ISNUMBER(SEARCH('Nr rejestracyjny'!$F$5,$F2829))),COUNT($H$1:H2828)+1,"")</f>
        <v>0</v>
      </c>
      <c r="I2829" s="9">
        <f>IF(AND($G2829&lt;&gt;"",ISNUMBER(SEARCH('Nr rejestracyjny'!$F$5,$G2829))),COUNT($I$1:I2828)+1,"")</f>
        <v>0</v>
      </c>
    </row>
    <row r="2830" spans="6:9">
      <c r="F2830" s="7">
        <f>IF('W rejestracji'!$C$2837="","",'W rejestracji'!$C$2837)</f>
        <v>0</v>
      </c>
      <c r="G2830" s="7">
        <f>IF(Zarejestrowane!$C$2837="","",Zarejestrowane!$C$2837)</f>
        <v>0</v>
      </c>
      <c r="H2830" s="9">
        <f>IF(AND($F2830&lt;&gt;"",ISNUMBER(SEARCH('Nr rejestracyjny'!$F$5,$F2830))),COUNT($H$1:H2829)+1,"")</f>
        <v>0</v>
      </c>
      <c r="I2830" s="9">
        <f>IF(AND($G2830&lt;&gt;"",ISNUMBER(SEARCH('Nr rejestracyjny'!$F$5,$G2830))),COUNT($I$1:I2829)+1,"")</f>
        <v>0</v>
      </c>
    </row>
    <row r="2831" spans="6:9">
      <c r="F2831" s="7">
        <f>IF('W rejestracji'!$C$2838="","",'W rejestracji'!$C$2838)</f>
        <v>0</v>
      </c>
      <c r="G2831" s="7">
        <f>IF(Zarejestrowane!$C$2838="","",Zarejestrowane!$C$2838)</f>
        <v>0</v>
      </c>
      <c r="H2831" s="9">
        <f>IF(AND($F2831&lt;&gt;"",ISNUMBER(SEARCH('Nr rejestracyjny'!$F$5,$F2831))),COUNT($H$1:H2830)+1,"")</f>
        <v>0</v>
      </c>
      <c r="I2831" s="9">
        <f>IF(AND($G2831&lt;&gt;"",ISNUMBER(SEARCH('Nr rejestracyjny'!$F$5,$G2831))),COUNT($I$1:I2830)+1,"")</f>
        <v>0</v>
      </c>
    </row>
    <row r="2832" spans="6:9">
      <c r="F2832" s="7">
        <f>IF('W rejestracji'!$C$2839="","",'W rejestracji'!$C$2839)</f>
        <v>0</v>
      </c>
      <c r="G2832" s="7">
        <f>IF(Zarejestrowane!$C$2839="","",Zarejestrowane!$C$2839)</f>
        <v>0</v>
      </c>
      <c r="H2832" s="9">
        <f>IF(AND($F2832&lt;&gt;"",ISNUMBER(SEARCH('Nr rejestracyjny'!$F$5,$F2832))),COUNT($H$1:H2831)+1,"")</f>
        <v>0</v>
      </c>
      <c r="I2832" s="9">
        <f>IF(AND($G2832&lt;&gt;"",ISNUMBER(SEARCH('Nr rejestracyjny'!$F$5,$G2832))),COUNT($I$1:I2831)+1,"")</f>
        <v>0</v>
      </c>
    </row>
    <row r="2833" spans="6:9">
      <c r="F2833" s="7">
        <f>IF('W rejestracji'!$C$2840="","",'W rejestracji'!$C$2840)</f>
        <v>0</v>
      </c>
      <c r="G2833" s="7">
        <f>IF(Zarejestrowane!$C$2840="","",Zarejestrowane!$C$2840)</f>
        <v>0</v>
      </c>
      <c r="H2833" s="9">
        <f>IF(AND($F2833&lt;&gt;"",ISNUMBER(SEARCH('Nr rejestracyjny'!$F$5,$F2833))),COUNT($H$1:H2832)+1,"")</f>
        <v>0</v>
      </c>
      <c r="I2833" s="9">
        <f>IF(AND($G2833&lt;&gt;"",ISNUMBER(SEARCH('Nr rejestracyjny'!$F$5,$G2833))),COUNT($I$1:I2832)+1,"")</f>
        <v>0</v>
      </c>
    </row>
    <row r="2834" spans="6:9">
      <c r="F2834" s="7">
        <f>IF('W rejestracji'!$C$2841="","",'W rejestracji'!$C$2841)</f>
        <v>0</v>
      </c>
      <c r="G2834" s="7">
        <f>IF(Zarejestrowane!$C$2841="","",Zarejestrowane!$C$2841)</f>
        <v>0</v>
      </c>
      <c r="H2834" s="9">
        <f>IF(AND($F2834&lt;&gt;"",ISNUMBER(SEARCH('Nr rejestracyjny'!$F$5,$F2834))),COUNT($H$1:H2833)+1,"")</f>
        <v>0</v>
      </c>
      <c r="I2834" s="9">
        <f>IF(AND($G2834&lt;&gt;"",ISNUMBER(SEARCH('Nr rejestracyjny'!$F$5,$G2834))),COUNT($I$1:I2833)+1,"")</f>
        <v>0</v>
      </c>
    </row>
    <row r="2835" spans="6:9">
      <c r="F2835" s="7">
        <f>IF('W rejestracji'!$C$2842="","",'W rejestracji'!$C$2842)</f>
        <v>0</v>
      </c>
      <c r="G2835" s="7">
        <f>IF(Zarejestrowane!$C$2842="","",Zarejestrowane!$C$2842)</f>
        <v>0</v>
      </c>
      <c r="H2835" s="9">
        <f>IF(AND($F2835&lt;&gt;"",ISNUMBER(SEARCH('Nr rejestracyjny'!$F$5,$F2835))),COUNT($H$1:H2834)+1,"")</f>
        <v>0</v>
      </c>
      <c r="I2835" s="9">
        <f>IF(AND($G2835&lt;&gt;"",ISNUMBER(SEARCH('Nr rejestracyjny'!$F$5,$G2835))),COUNT($I$1:I2834)+1,"")</f>
        <v>0</v>
      </c>
    </row>
    <row r="2836" spans="6:9">
      <c r="F2836" s="7">
        <f>IF('W rejestracji'!$C$2843="","",'W rejestracji'!$C$2843)</f>
        <v>0</v>
      </c>
      <c r="G2836" s="7">
        <f>IF(Zarejestrowane!$C$2843="","",Zarejestrowane!$C$2843)</f>
        <v>0</v>
      </c>
      <c r="H2836" s="9">
        <f>IF(AND($F2836&lt;&gt;"",ISNUMBER(SEARCH('Nr rejestracyjny'!$F$5,$F2836))),COUNT($H$1:H2835)+1,"")</f>
        <v>0</v>
      </c>
      <c r="I2836" s="9">
        <f>IF(AND($G2836&lt;&gt;"",ISNUMBER(SEARCH('Nr rejestracyjny'!$F$5,$G2836))),COUNT($I$1:I2835)+1,"")</f>
        <v>0</v>
      </c>
    </row>
    <row r="2837" spans="6:9">
      <c r="F2837" s="7">
        <f>IF('W rejestracji'!$C$2844="","",'W rejestracji'!$C$2844)</f>
        <v>0</v>
      </c>
      <c r="G2837" s="7">
        <f>IF(Zarejestrowane!$C$2844="","",Zarejestrowane!$C$2844)</f>
        <v>0</v>
      </c>
      <c r="H2837" s="9">
        <f>IF(AND($F2837&lt;&gt;"",ISNUMBER(SEARCH('Nr rejestracyjny'!$F$5,$F2837))),COUNT($H$1:H2836)+1,"")</f>
        <v>0</v>
      </c>
      <c r="I2837" s="9">
        <f>IF(AND($G2837&lt;&gt;"",ISNUMBER(SEARCH('Nr rejestracyjny'!$F$5,$G2837))),COUNT($I$1:I2836)+1,"")</f>
        <v>0</v>
      </c>
    </row>
    <row r="2838" spans="6:9">
      <c r="F2838" s="7">
        <f>IF('W rejestracji'!$C$2845="","",'W rejestracji'!$C$2845)</f>
        <v>0</v>
      </c>
      <c r="G2838" s="7">
        <f>IF(Zarejestrowane!$C$2845="","",Zarejestrowane!$C$2845)</f>
        <v>0</v>
      </c>
      <c r="H2838" s="9">
        <f>IF(AND($F2838&lt;&gt;"",ISNUMBER(SEARCH('Nr rejestracyjny'!$F$5,$F2838))),COUNT($H$1:H2837)+1,"")</f>
        <v>0</v>
      </c>
      <c r="I2838" s="9">
        <f>IF(AND($G2838&lt;&gt;"",ISNUMBER(SEARCH('Nr rejestracyjny'!$F$5,$G2838))),COUNT($I$1:I2837)+1,"")</f>
        <v>0</v>
      </c>
    </row>
    <row r="2839" spans="6:9">
      <c r="F2839" s="7">
        <f>IF('W rejestracji'!$C$2846="","",'W rejestracji'!$C$2846)</f>
        <v>0</v>
      </c>
      <c r="G2839" s="7">
        <f>IF(Zarejestrowane!$C$2846="","",Zarejestrowane!$C$2846)</f>
        <v>0</v>
      </c>
      <c r="H2839" s="9">
        <f>IF(AND($F2839&lt;&gt;"",ISNUMBER(SEARCH('Nr rejestracyjny'!$F$5,$F2839))),COUNT($H$1:H2838)+1,"")</f>
        <v>0</v>
      </c>
      <c r="I2839" s="9">
        <f>IF(AND($G2839&lt;&gt;"",ISNUMBER(SEARCH('Nr rejestracyjny'!$F$5,$G2839))),COUNT($I$1:I2838)+1,"")</f>
        <v>0</v>
      </c>
    </row>
    <row r="2840" spans="6:9">
      <c r="F2840" s="7">
        <f>IF('W rejestracji'!$C$2847="","",'W rejestracji'!$C$2847)</f>
        <v>0</v>
      </c>
      <c r="G2840" s="7">
        <f>IF(Zarejestrowane!$C$2847="","",Zarejestrowane!$C$2847)</f>
        <v>0</v>
      </c>
      <c r="H2840" s="9">
        <f>IF(AND($F2840&lt;&gt;"",ISNUMBER(SEARCH('Nr rejestracyjny'!$F$5,$F2840))),COUNT($H$1:H2839)+1,"")</f>
        <v>0</v>
      </c>
      <c r="I2840" s="9">
        <f>IF(AND($G2840&lt;&gt;"",ISNUMBER(SEARCH('Nr rejestracyjny'!$F$5,$G2840))),COUNT($I$1:I2839)+1,"")</f>
        <v>0</v>
      </c>
    </row>
    <row r="2841" spans="6:9">
      <c r="F2841" s="7">
        <f>IF('W rejestracji'!$C$2848="","",'W rejestracji'!$C$2848)</f>
        <v>0</v>
      </c>
      <c r="G2841" s="7">
        <f>IF(Zarejestrowane!$C$2848="","",Zarejestrowane!$C$2848)</f>
        <v>0</v>
      </c>
      <c r="H2841" s="9">
        <f>IF(AND($F2841&lt;&gt;"",ISNUMBER(SEARCH('Nr rejestracyjny'!$F$5,$F2841))),COUNT($H$1:H2840)+1,"")</f>
        <v>0</v>
      </c>
      <c r="I2841" s="9">
        <f>IF(AND($G2841&lt;&gt;"",ISNUMBER(SEARCH('Nr rejestracyjny'!$F$5,$G2841))),COUNT($I$1:I2840)+1,"")</f>
        <v>0</v>
      </c>
    </row>
    <row r="2842" spans="6:9">
      <c r="F2842" s="7">
        <f>IF('W rejestracji'!$C$2849="","",'W rejestracji'!$C$2849)</f>
        <v>0</v>
      </c>
      <c r="G2842" s="7">
        <f>IF(Zarejestrowane!$C$2849="","",Zarejestrowane!$C$2849)</f>
        <v>0</v>
      </c>
      <c r="H2842" s="9">
        <f>IF(AND($F2842&lt;&gt;"",ISNUMBER(SEARCH('Nr rejestracyjny'!$F$5,$F2842))),COUNT($H$1:H2841)+1,"")</f>
        <v>0</v>
      </c>
      <c r="I2842" s="9">
        <f>IF(AND($G2842&lt;&gt;"",ISNUMBER(SEARCH('Nr rejestracyjny'!$F$5,$G2842))),COUNT($I$1:I2841)+1,"")</f>
        <v>0</v>
      </c>
    </row>
    <row r="2843" spans="6:9">
      <c r="F2843" s="7">
        <f>IF('W rejestracji'!$C$2850="","",'W rejestracji'!$C$2850)</f>
        <v>0</v>
      </c>
      <c r="G2843" s="7">
        <f>IF(Zarejestrowane!$C$2850="","",Zarejestrowane!$C$2850)</f>
        <v>0</v>
      </c>
      <c r="H2843" s="9">
        <f>IF(AND($F2843&lt;&gt;"",ISNUMBER(SEARCH('Nr rejestracyjny'!$F$5,$F2843))),COUNT($H$1:H2842)+1,"")</f>
        <v>0</v>
      </c>
      <c r="I2843" s="9">
        <f>IF(AND($G2843&lt;&gt;"",ISNUMBER(SEARCH('Nr rejestracyjny'!$F$5,$G2843))),COUNT($I$1:I2842)+1,"")</f>
        <v>0</v>
      </c>
    </row>
    <row r="2844" spans="6:9">
      <c r="F2844" s="7">
        <f>IF('W rejestracji'!$C$2851="","",'W rejestracji'!$C$2851)</f>
        <v>0</v>
      </c>
      <c r="G2844" s="7">
        <f>IF(Zarejestrowane!$C$2851="","",Zarejestrowane!$C$2851)</f>
        <v>0</v>
      </c>
      <c r="H2844" s="9">
        <f>IF(AND($F2844&lt;&gt;"",ISNUMBER(SEARCH('Nr rejestracyjny'!$F$5,$F2844))),COUNT($H$1:H2843)+1,"")</f>
        <v>0</v>
      </c>
      <c r="I2844" s="9">
        <f>IF(AND($G2844&lt;&gt;"",ISNUMBER(SEARCH('Nr rejestracyjny'!$F$5,$G2844))),COUNT($I$1:I2843)+1,"")</f>
        <v>0</v>
      </c>
    </row>
    <row r="2845" spans="6:9">
      <c r="F2845" s="7">
        <f>IF('W rejestracji'!$C$2852="","",'W rejestracji'!$C$2852)</f>
        <v>0</v>
      </c>
      <c r="G2845" s="7">
        <f>IF(Zarejestrowane!$C$2852="","",Zarejestrowane!$C$2852)</f>
        <v>0</v>
      </c>
      <c r="H2845" s="9">
        <f>IF(AND($F2845&lt;&gt;"",ISNUMBER(SEARCH('Nr rejestracyjny'!$F$5,$F2845))),COUNT($H$1:H2844)+1,"")</f>
        <v>0</v>
      </c>
      <c r="I2845" s="9">
        <f>IF(AND($G2845&lt;&gt;"",ISNUMBER(SEARCH('Nr rejestracyjny'!$F$5,$G2845))),COUNT($I$1:I2844)+1,"")</f>
        <v>0</v>
      </c>
    </row>
    <row r="2846" spans="6:9">
      <c r="F2846" s="7">
        <f>IF('W rejestracji'!$C$2853="","",'W rejestracji'!$C$2853)</f>
        <v>0</v>
      </c>
      <c r="G2846" s="7">
        <f>IF(Zarejestrowane!$C$2853="","",Zarejestrowane!$C$2853)</f>
        <v>0</v>
      </c>
      <c r="H2846" s="9">
        <f>IF(AND($F2846&lt;&gt;"",ISNUMBER(SEARCH('Nr rejestracyjny'!$F$5,$F2846))),COUNT($H$1:H2845)+1,"")</f>
        <v>0</v>
      </c>
      <c r="I2846" s="9">
        <f>IF(AND($G2846&lt;&gt;"",ISNUMBER(SEARCH('Nr rejestracyjny'!$F$5,$G2846))),COUNT($I$1:I2845)+1,"")</f>
        <v>0</v>
      </c>
    </row>
    <row r="2847" spans="6:9">
      <c r="F2847" s="7">
        <f>IF('W rejestracji'!$C$2854="","",'W rejestracji'!$C$2854)</f>
        <v>0</v>
      </c>
      <c r="G2847" s="7">
        <f>IF(Zarejestrowane!$C$2854="","",Zarejestrowane!$C$2854)</f>
        <v>0</v>
      </c>
      <c r="H2847" s="9">
        <f>IF(AND($F2847&lt;&gt;"",ISNUMBER(SEARCH('Nr rejestracyjny'!$F$5,$F2847))),COUNT($H$1:H2846)+1,"")</f>
        <v>0</v>
      </c>
      <c r="I2847" s="9">
        <f>IF(AND($G2847&lt;&gt;"",ISNUMBER(SEARCH('Nr rejestracyjny'!$F$5,$G2847))),COUNT($I$1:I2846)+1,"")</f>
        <v>0</v>
      </c>
    </row>
    <row r="2848" spans="6:9">
      <c r="F2848" s="7">
        <f>IF('W rejestracji'!$C$2855="","",'W rejestracji'!$C$2855)</f>
        <v>0</v>
      </c>
      <c r="G2848" s="7">
        <f>IF(Zarejestrowane!$C$2855="","",Zarejestrowane!$C$2855)</f>
        <v>0</v>
      </c>
      <c r="H2848" s="9">
        <f>IF(AND($F2848&lt;&gt;"",ISNUMBER(SEARCH('Nr rejestracyjny'!$F$5,$F2848))),COUNT($H$1:H2847)+1,"")</f>
        <v>0</v>
      </c>
      <c r="I2848" s="9">
        <f>IF(AND($G2848&lt;&gt;"",ISNUMBER(SEARCH('Nr rejestracyjny'!$F$5,$G2848))),COUNT($I$1:I2847)+1,"")</f>
        <v>0</v>
      </c>
    </row>
    <row r="2849" spans="6:9">
      <c r="F2849" s="7">
        <f>IF('W rejestracji'!$C$2856="","",'W rejestracji'!$C$2856)</f>
        <v>0</v>
      </c>
      <c r="G2849" s="7">
        <f>IF(Zarejestrowane!$C$2856="","",Zarejestrowane!$C$2856)</f>
        <v>0</v>
      </c>
      <c r="H2849" s="9">
        <f>IF(AND($F2849&lt;&gt;"",ISNUMBER(SEARCH('Nr rejestracyjny'!$F$5,$F2849))),COUNT($H$1:H2848)+1,"")</f>
        <v>0</v>
      </c>
      <c r="I2849" s="9">
        <f>IF(AND($G2849&lt;&gt;"",ISNUMBER(SEARCH('Nr rejestracyjny'!$F$5,$G2849))),COUNT($I$1:I2848)+1,"")</f>
        <v>0</v>
      </c>
    </row>
    <row r="2850" spans="6:9">
      <c r="F2850" s="7">
        <f>IF('W rejestracji'!$C$2857="","",'W rejestracji'!$C$2857)</f>
        <v>0</v>
      </c>
      <c r="G2850" s="7">
        <f>IF(Zarejestrowane!$C$2857="","",Zarejestrowane!$C$2857)</f>
        <v>0</v>
      </c>
      <c r="H2850" s="9">
        <f>IF(AND($F2850&lt;&gt;"",ISNUMBER(SEARCH('Nr rejestracyjny'!$F$5,$F2850))),COUNT($H$1:H2849)+1,"")</f>
        <v>0</v>
      </c>
      <c r="I2850" s="9">
        <f>IF(AND($G2850&lt;&gt;"",ISNUMBER(SEARCH('Nr rejestracyjny'!$F$5,$G2850))),COUNT($I$1:I2849)+1,"")</f>
        <v>0</v>
      </c>
    </row>
    <row r="2851" spans="6:9">
      <c r="F2851" s="7">
        <f>IF('W rejestracji'!$C$2858="","",'W rejestracji'!$C$2858)</f>
        <v>0</v>
      </c>
      <c r="G2851" s="7">
        <f>IF(Zarejestrowane!$C$2858="","",Zarejestrowane!$C$2858)</f>
        <v>0</v>
      </c>
      <c r="H2851" s="9">
        <f>IF(AND($F2851&lt;&gt;"",ISNUMBER(SEARCH('Nr rejestracyjny'!$F$5,$F2851))),COUNT($H$1:H2850)+1,"")</f>
        <v>0</v>
      </c>
      <c r="I2851" s="9">
        <f>IF(AND($G2851&lt;&gt;"",ISNUMBER(SEARCH('Nr rejestracyjny'!$F$5,$G2851))),COUNT($I$1:I2850)+1,"")</f>
        <v>0</v>
      </c>
    </row>
    <row r="2852" spans="6:9">
      <c r="F2852" s="7">
        <f>IF('W rejestracji'!$C$2859="","",'W rejestracji'!$C$2859)</f>
        <v>0</v>
      </c>
      <c r="G2852" s="7">
        <f>IF(Zarejestrowane!$C$2859="","",Zarejestrowane!$C$2859)</f>
        <v>0</v>
      </c>
      <c r="H2852" s="9">
        <f>IF(AND($F2852&lt;&gt;"",ISNUMBER(SEARCH('Nr rejestracyjny'!$F$5,$F2852))),COUNT($H$1:H2851)+1,"")</f>
        <v>0</v>
      </c>
      <c r="I2852" s="9">
        <f>IF(AND($G2852&lt;&gt;"",ISNUMBER(SEARCH('Nr rejestracyjny'!$F$5,$G2852))),COUNT($I$1:I2851)+1,"")</f>
        <v>0</v>
      </c>
    </row>
    <row r="2853" spans="6:9">
      <c r="F2853" s="7">
        <f>IF('W rejestracji'!$C$2860="","",'W rejestracji'!$C$2860)</f>
        <v>0</v>
      </c>
      <c r="G2853" s="7">
        <f>IF(Zarejestrowane!$C$2860="","",Zarejestrowane!$C$2860)</f>
        <v>0</v>
      </c>
      <c r="H2853" s="9">
        <f>IF(AND($F2853&lt;&gt;"",ISNUMBER(SEARCH('Nr rejestracyjny'!$F$5,$F2853))),COUNT($H$1:H2852)+1,"")</f>
        <v>0</v>
      </c>
      <c r="I2853" s="9">
        <f>IF(AND($G2853&lt;&gt;"",ISNUMBER(SEARCH('Nr rejestracyjny'!$F$5,$G2853))),COUNT($I$1:I2852)+1,"")</f>
        <v>0</v>
      </c>
    </row>
    <row r="2854" spans="6:9">
      <c r="F2854" s="7">
        <f>IF('W rejestracji'!$C$2861="","",'W rejestracji'!$C$2861)</f>
        <v>0</v>
      </c>
      <c r="G2854" s="7">
        <f>IF(Zarejestrowane!$C$2861="","",Zarejestrowane!$C$2861)</f>
        <v>0</v>
      </c>
      <c r="H2854" s="9">
        <f>IF(AND($F2854&lt;&gt;"",ISNUMBER(SEARCH('Nr rejestracyjny'!$F$5,$F2854))),COUNT($H$1:H2853)+1,"")</f>
        <v>0</v>
      </c>
      <c r="I2854" s="9">
        <f>IF(AND($G2854&lt;&gt;"",ISNUMBER(SEARCH('Nr rejestracyjny'!$F$5,$G2854))),COUNT($I$1:I2853)+1,"")</f>
        <v>0</v>
      </c>
    </row>
    <row r="2855" spans="6:9">
      <c r="F2855" s="7">
        <f>IF('W rejestracji'!$C$2862="","",'W rejestracji'!$C$2862)</f>
        <v>0</v>
      </c>
      <c r="G2855" s="7">
        <f>IF(Zarejestrowane!$C$2862="","",Zarejestrowane!$C$2862)</f>
        <v>0</v>
      </c>
      <c r="H2855" s="9">
        <f>IF(AND($F2855&lt;&gt;"",ISNUMBER(SEARCH('Nr rejestracyjny'!$F$5,$F2855))),COUNT($H$1:H2854)+1,"")</f>
        <v>0</v>
      </c>
      <c r="I2855" s="9">
        <f>IF(AND($G2855&lt;&gt;"",ISNUMBER(SEARCH('Nr rejestracyjny'!$F$5,$G2855))),COUNT($I$1:I2854)+1,"")</f>
        <v>0</v>
      </c>
    </row>
    <row r="2856" spans="6:9">
      <c r="F2856" s="7">
        <f>IF('W rejestracji'!$C$2863="","",'W rejestracji'!$C$2863)</f>
        <v>0</v>
      </c>
      <c r="G2856" s="7">
        <f>IF(Zarejestrowane!$C$2863="","",Zarejestrowane!$C$2863)</f>
        <v>0</v>
      </c>
      <c r="H2856" s="9">
        <f>IF(AND($F2856&lt;&gt;"",ISNUMBER(SEARCH('Nr rejestracyjny'!$F$5,$F2856))),COUNT($H$1:H2855)+1,"")</f>
        <v>0</v>
      </c>
      <c r="I2856" s="9">
        <f>IF(AND($G2856&lt;&gt;"",ISNUMBER(SEARCH('Nr rejestracyjny'!$F$5,$G2856))),COUNT($I$1:I2855)+1,"")</f>
        <v>0</v>
      </c>
    </row>
    <row r="2857" spans="6:9">
      <c r="F2857" s="7">
        <f>IF('W rejestracji'!$C$2864="","",'W rejestracji'!$C$2864)</f>
        <v>0</v>
      </c>
      <c r="G2857" s="7">
        <f>IF(Zarejestrowane!$C$2864="","",Zarejestrowane!$C$2864)</f>
        <v>0</v>
      </c>
      <c r="H2857" s="9">
        <f>IF(AND($F2857&lt;&gt;"",ISNUMBER(SEARCH('Nr rejestracyjny'!$F$5,$F2857))),COUNT($H$1:H2856)+1,"")</f>
        <v>0</v>
      </c>
      <c r="I2857" s="9">
        <f>IF(AND($G2857&lt;&gt;"",ISNUMBER(SEARCH('Nr rejestracyjny'!$F$5,$G2857))),COUNT($I$1:I2856)+1,"")</f>
        <v>0</v>
      </c>
    </row>
    <row r="2858" spans="6:9">
      <c r="F2858" s="7">
        <f>IF('W rejestracji'!$C$2865="","",'W rejestracji'!$C$2865)</f>
        <v>0</v>
      </c>
      <c r="G2858" s="7">
        <f>IF(Zarejestrowane!$C$2865="","",Zarejestrowane!$C$2865)</f>
        <v>0</v>
      </c>
      <c r="H2858" s="9">
        <f>IF(AND($F2858&lt;&gt;"",ISNUMBER(SEARCH('Nr rejestracyjny'!$F$5,$F2858))),COUNT($H$1:H2857)+1,"")</f>
        <v>0</v>
      </c>
      <c r="I2858" s="9">
        <f>IF(AND($G2858&lt;&gt;"",ISNUMBER(SEARCH('Nr rejestracyjny'!$F$5,$G2858))),COUNT($I$1:I2857)+1,"")</f>
        <v>0</v>
      </c>
    </row>
    <row r="2859" spans="6:9">
      <c r="F2859" s="7">
        <f>IF('W rejestracji'!$C$2866="","",'W rejestracji'!$C$2866)</f>
        <v>0</v>
      </c>
      <c r="G2859" s="7">
        <f>IF(Zarejestrowane!$C$2866="","",Zarejestrowane!$C$2866)</f>
        <v>0</v>
      </c>
      <c r="H2859" s="9">
        <f>IF(AND($F2859&lt;&gt;"",ISNUMBER(SEARCH('Nr rejestracyjny'!$F$5,$F2859))),COUNT($H$1:H2858)+1,"")</f>
        <v>0</v>
      </c>
      <c r="I2859" s="9">
        <f>IF(AND($G2859&lt;&gt;"",ISNUMBER(SEARCH('Nr rejestracyjny'!$F$5,$G2859))),COUNT($I$1:I2858)+1,"")</f>
        <v>0</v>
      </c>
    </row>
    <row r="2860" spans="6:9">
      <c r="F2860" s="7">
        <f>IF('W rejestracji'!$C$2867="","",'W rejestracji'!$C$2867)</f>
        <v>0</v>
      </c>
      <c r="G2860" s="7">
        <f>IF(Zarejestrowane!$C$2867="","",Zarejestrowane!$C$2867)</f>
        <v>0</v>
      </c>
      <c r="H2860" s="9">
        <f>IF(AND($F2860&lt;&gt;"",ISNUMBER(SEARCH('Nr rejestracyjny'!$F$5,$F2860))),COUNT($H$1:H2859)+1,"")</f>
        <v>0</v>
      </c>
      <c r="I2860" s="9">
        <f>IF(AND($G2860&lt;&gt;"",ISNUMBER(SEARCH('Nr rejestracyjny'!$F$5,$G2860))),COUNT($I$1:I2859)+1,"")</f>
        <v>0</v>
      </c>
    </row>
    <row r="2861" spans="6:9">
      <c r="F2861" s="7">
        <f>IF('W rejestracji'!$C$2868="","",'W rejestracji'!$C$2868)</f>
        <v>0</v>
      </c>
      <c r="G2861" s="7">
        <f>IF(Zarejestrowane!$C$2868="","",Zarejestrowane!$C$2868)</f>
        <v>0</v>
      </c>
      <c r="H2861" s="9">
        <f>IF(AND($F2861&lt;&gt;"",ISNUMBER(SEARCH('Nr rejestracyjny'!$F$5,$F2861))),COUNT($H$1:H2860)+1,"")</f>
        <v>0</v>
      </c>
      <c r="I2861" s="9">
        <f>IF(AND($G2861&lt;&gt;"",ISNUMBER(SEARCH('Nr rejestracyjny'!$F$5,$G2861))),COUNT($I$1:I2860)+1,"")</f>
        <v>0</v>
      </c>
    </row>
    <row r="2862" spans="6:9">
      <c r="F2862" s="7">
        <f>IF('W rejestracji'!$C$2869="","",'W rejestracji'!$C$2869)</f>
        <v>0</v>
      </c>
      <c r="G2862" s="7">
        <f>IF(Zarejestrowane!$C$2869="","",Zarejestrowane!$C$2869)</f>
        <v>0</v>
      </c>
      <c r="H2862" s="9">
        <f>IF(AND($F2862&lt;&gt;"",ISNUMBER(SEARCH('Nr rejestracyjny'!$F$5,$F2862))),COUNT($H$1:H2861)+1,"")</f>
        <v>0</v>
      </c>
      <c r="I2862" s="9">
        <f>IF(AND($G2862&lt;&gt;"",ISNUMBER(SEARCH('Nr rejestracyjny'!$F$5,$G2862))),COUNT($I$1:I2861)+1,"")</f>
        <v>0</v>
      </c>
    </row>
    <row r="2863" spans="6:9">
      <c r="F2863" s="7">
        <f>IF('W rejestracji'!$C$2870="","",'W rejestracji'!$C$2870)</f>
        <v>0</v>
      </c>
      <c r="G2863" s="7">
        <f>IF(Zarejestrowane!$C$2870="","",Zarejestrowane!$C$2870)</f>
        <v>0</v>
      </c>
      <c r="H2863" s="9">
        <f>IF(AND($F2863&lt;&gt;"",ISNUMBER(SEARCH('Nr rejestracyjny'!$F$5,$F2863))),COUNT($H$1:H2862)+1,"")</f>
        <v>0</v>
      </c>
      <c r="I2863" s="9">
        <f>IF(AND($G2863&lt;&gt;"",ISNUMBER(SEARCH('Nr rejestracyjny'!$F$5,$G2863))),COUNT($I$1:I2862)+1,"")</f>
        <v>0</v>
      </c>
    </row>
    <row r="2864" spans="6:9">
      <c r="F2864" s="7">
        <f>IF('W rejestracji'!$C$2871="","",'W rejestracji'!$C$2871)</f>
        <v>0</v>
      </c>
      <c r="G2864" s="7">
        <f>IF(Zarejestrowane!$C$2871="","",Zarejestrowane!$C$2871)</f>
        <v>0</v>
      </c>
      <c r="H2864" s="9">
        <f>IF(AND($F2864&lt;&gt;"",ISNUMBER(SEARCH('Nr rejestracyjny'!$F$5,$F2864))),COUNT($H$1:H2863)+1,"")</f>
        <v>0</v>
      </c>
      <c r="I2864" s="9">
        <f>IF(AND($G2864&lt;&gt;"",ISNUMBER(SEARCH('Nr rejestracyjny'!$F$5,$G2864))),COUNT($I$1:I2863)+1,"")</f>
        <v>0</v>
      </c>
    </row>
    <row r="2865" spans="6:9">
      <c r="F2865" s="7">
        <f>IF('W rejestracji'!$C$2872="","",'W rejestracji'!$C$2872)</f>
        <v>0</v>
      </c>
      <c r="G2865" s="7">
        <f>IF(Zarejestrowane!$C$2872="","",Zarejestrowane!$C$2872)</f>
        <v>0</v>
      </c>
      <c r="H2865" s="9">
        <f>IF(AND($F2865&lt;&gt;"",ISNUMBER(SEARCH('Nr rejestracyjny'!$F$5,$F2865))),COUNT($H$1:H2864)+1,"")</f>
        <v>0</v>
      </c>
      <c r="I2865" s="9">
        <f>IF(AND($G2865&lt;&gt;"",ISNUMBER(SEARCH('Nr rejestracyjny'!$F$5,$G2865))),COUNT($I$1:I2864)+1,"")</f>
        <v>0</v>
      </c>
    </row>
    <row r="2866" spans="6:9">
      <c r="F2866" s="7">
        <f>IF('W rejestracji'!$C$2873="","",'W rejestracji'!$C$2873)</f>
        <v>0</v>
      </c>
      <c r="G2866" s="7">
        <f>IF(Zarejestrowane!$C$2873="","",Zarejestrowane!$C$2873)</f>
        <v>0</v>
      </c>
      <c r="H2866" s="9">
        <f>IF(AND($F2866&lt;&gt;"",ISNUMBER(SEARCH('Nr rejestracyjny'!$F$5,$F2866))),COUNT($H$1:H2865)+1,"")</f>
        <v>0</v>
      </c>
      <c r="I2866" s="9">
        <f>IF(AND($G2866&lt;&gt;"",ISNUMBER(SEARCH('Nr rejestracyjny'!$F$5,$G2866))),COUNT($I$1:I2865)+1,"")</f>
        <v>0</v>
      </c>
    </row>
    <row r="2867" spans="6:9">
      <c r="F2867" s="7">
        <f>IF('W rejestracji'!$C$2874="","",'W rejestracji'!$C$2874)</f>
        <v>0</v>
      </c>
      <c r="G2867" s="7">
        <f>IF(Zarejestrowane!$C$2874="","",Zarejestrowane!$C$2874)</f>
        <v>0</v>
      </c>
      <c r="H2867" s="9">
        <f>IF(AND($F2867&lt;&gt;"",ISNUMBER(SEARCH('Nr rejestracyjny'!$F$5,$F2867))),COUNT($H$1:H2866)+1,"")</f>
        <v>0</v>
      </c>
      <c r="I2867" s="9">
        <f>IF(AND($G2867&lt;&gt;"",ISNUMBER(SEARCH('Nr rejestracyjny'!$F$5,$G2867))),COUNT($I$1:I2866)+1,"")</f>
        <v>0</v>
      </c>
    </row>
    <row r="2868" spans="6:9">
      <c r="F2868" s="7">
        <f>IF('W rejestracji'!$C$2875="","",'W rejestracji'!$C$2875)</f>
        <v>0</v>
      </c>
      <c r="G2868" s="7">
        <f>IF(Zarejestrowane!$C$2875="","",Zarejestrowane!$C$2875)</f>
        <v>0</v>
      </c>
      <c r="H2868" s="9">
        <f>IF(AND($F2868&lt;&gt;"",ISNUMBER(SEARCH('Nr rejestracyjny'!$F$5,$F2868))),COUNT($H$1:H2867)+1,"")</f>
        <v>0</v>
      </c>
      <c r="I2868" s="9">
        <f>IF(AND($G2868&lt;&gt;"",ISNUMBER(SEARCH('Nr rejestracyjny'!$F$5,$G2868))),COUNT($I$1:I2867)+1,"")</f>
        <v>0</v>
      </c>
    </row>
    <row r="2869" spans="6:9">
      <c r="F2869" s="7">
        <f>IF('W rejestracji'!$C$2876="","",'W rejestracji'!$C$2876)</f>
        <v>0</v>
      </c>
      <c r="G2869" s="7">
        <f>IF(Zarejestrowane!$C$2876="","",Zarejestrowane!$C$2876)</f>
        <v>0</v>
      </c>
      <c r="H2869" s="9">
        <f>IF(AND($F2869&lt;&gt;"",ISNUMBER(SEARCH('Nr rejestracyjny'!$F$5,$F2869))),COUNT($H$1:H2868)+1,"")</f>
        <v>0</v>
      </c>
      <c r="I2869" s="9">
        <f>IF(AND($G2869&lt;&gt;"",ISNUMBER(SEARCH('Nr rejestracyjny'!$F$5,$G2869))),COUNT($I$1:I2868)+1,"")</f>
        <v>0</v>
      </c>
    </row>
    <row r="2870" spans="6:9">
      <c r="F2870" s="7">
        <f>IF('W rejestracji'!$C$2877="","",'W rejestracji'!$C$2877)</f>
        <v>0</v>
      </c>
      <c r="G2870" s="7">
        <f>IF(Zarejestrowane!$C$2877="","",Zarejestrowane!$C$2877)</f>
        <v>0</v>
      </c>
      <c r="H2870" s="9">
        <f>IF(AND($F2870&lt;&gt;"",ISNUMBER(SEARCH('Nr rejestracyjny'!$F$5,$F2870))),COUNT($H$1:H2869)+1,"")</f>
        <v>0</v>
      </c>
      <c r="I2870" s="9">
        <f>IF(AND($G2870&lt;&gt;"",ISNUMBER(SEARCH('Nr rejestracyjny'!$F$5,$G2870))),COUNT($I$1:I2869)+1,"")</f>
        <v>0</v>
      </c>
    </row>
    <row r="2871" spans="6:9">
      <c r="F2871" s="7">
        <f>IF('W rejestracji'!$C$2878="","",'W rejestracji'!$C$2878)</f>
        <v>0</v>
      </c>
      <c r="G2871" s="7">
        <f>IF(Zarejestrowane!$C$2878="","",Zarejestrowane!$C$2878)</f>
        <v>0</v>
      </c>
      <c r="H2871" s="9">
        <f>IF(AND($F2871&lt;&gt;"",ISNUMBER(SEARCH('Nr rejestracyjny'!$F$5,$F2871))),COUNT($H$1:H2870)+1,"")</f>
        <v>0</v>
      </c>
      <c r="I2871" s="9">
        <f>IF(AND($G2871&lt;&gt;"",ISNUMBER(SEARCH('Nr rejestracyjny'!$F$5,$G2871))),COUNT($I$1:I2870)+1,"")</f>
        <v>0</v>
      </c>
    </row>
    <row r="2872" spans="6:9">
      <c r="F2872" s="7">
        <f>IF('W rejestracji'!$C$2879="","",'W rejestracji'!$C$2879)</f>
        <v>0</v>
      </c>
      <c r="G2872" s="7">
        <f>IF(Zarejestrowane!$C$2879="","",Zarejestrowane!$C$2879)</f>
        <v>0</v>
      </c>
      <c r="H2872" s="9">
        <f>IF(AND($F2872&lt;&gt;"",ISNUMBER(SEARCH('Nr rejestracyjny'!$F$5,$F2872))),COUNT($H$1:H2871)+1,"")</f>
        <v>0</v>
      </c>
      <c r="I2872" s="9">
        <f>IF(AND($G2872&lt;&gt;"",ISNUMBER(SEARCH('Nr rejestracyjny'!$F$5,$G2872))),COUNT($I$1:I2871)+1,"")</f>
        <v>0</v>
      </c>
    </row>
    <row r="2873" spans="6:9">
      <c r="F2873" s="7">
        <f>IF('W rejestracji'!$C$2880="","",'W rejestracji'!$C$2880)</f>
        <v>0</v>
      </c>
      <c r="G2873" s="7">
        <f>IF(Zarejestrowane!$C$2880="","",Zarejestrowane!$C$2880)</f>
        <v>0</v>
      </c>
      <c r="H2873" s="9">
        <f>IF(AND($F2873&lt;&gt;"",ISNUMBER(SEARCH('Nr rejestracyjny'!$F$5,$F2873))),COUNT($H$1:H2872)+1,"")</f>
        <v>0</v>
      </c>
      <c r="I2873" s="9">
        <f>IF(AND($G2873&lt;&gt;"",ISNUMBER(SEARCH('Nr rejestracyjny'!$F$5,$G2873))),COUNT($I$1:I2872)+1,"")</f>
        <v>0</v>
      </c>
    </row>
    <row r="2874" spans="6:9">
      <c r="F2874" s="7">
        <f>IF('W rejestracji'!$C$2881="","",'W rejestracji'!$C$2881)</f>
        <v>0</v>
      </c>
      <c r="G2874" s="7">
        <f>IF(Zarejestrowane!$C$2881="","",Zarejestrowane!$C$2881)</f>
        <v>0</v>
      </c>
      <c r="H2874" s="9">
        <f>IF(AND($F2874&lt;&gt;"",ISNUMBER(SEARCH('Nr rejestracyjny'!$F$5,$F2874))),COUNT($H$1:H2873)+1,"")</f>
        <v>0</v>
      </c>
      <c r="I2874" s="9">
        <f>IF(AND($G2874&lt;&gt;"",ISNUMBER(SEARCH('Nr rejestracyjny'!$F$5,$G2874))),COUNT($I$1:I2873)+1,"")</f>
        <v>0</v>
      </c>
    </row>
    <row r="2875" spans="6:9">
      <c r="F2875" s="7">
        <f>IF('W rejestracji'!$C$2882="","",'W rejestracji'!$C$2882)</f>
        <v>0</v>
      </c>
      <c r="G2875" s="7">
        <f>IF(Zarejestrowane!$C$2882="","",Zarejestrowane!$C$2882)</f>
        <v>0</v>
      </c>
      <c r="H2875" s="9">
        <f>IF(AND($F2875&lt;&gt;"",ISNUMBER(SEARCH('Nr rejestracyjny'!$F$5,$F2875))),COUNT($H$1:H2874)+1,"")</f>
        <v>0</v>
      </c>
      <c r="I2875" s="9">
        <f>IF(AND($G2875&lt;&gt;"",ISNUMBER(SEARCH('Nr rejestracyjny'!$F$5,$G2875))),COUNT($I$1:I2874)+1,"")</f>
        <v>0</v>
      </c>
    </row>
    <row r="2876" spans="6:9">
      <c r="F2876" s="7">
        <f>IF('W rejestracji'!$C$2883="","",'W rejestracji'!$C$2883)</f>
        <v>0</v>
      </c>
      <c r="G2876" s="7">
        <f>IF(Zarejestrowane!$C$2883="","",Zarejestrowane!$C$2883)</f>
        <v>0</v>
      </c>
      <c r="H2876" s="9">
        <f>IF(AND($F2876&lt;&gt;"",ISNUMBER(SEARCH('Nr rejestracyjny'!$F$5,$F2876))),COUNT($H$1:H2875)+1,"")</f>
        <v>0</v>
      </c>
      <c r="I2876" s="9">
        <f>IF(AND($G2876&lt;&gt;"",ISNUMBER(SEARCH('Nr rejestracyjny'!$F$5,$G2876))),COUNT($I$1:I2875)+1,"")</f>
        <v>0</v>
      </c>
    </row>
    <row r="2877" spans="6:9">
      <c r="F2877" s="7">
        <f>IF('W rejestracji'!$C$2884="","",'W rejestracji'!$C$2884)</f>
        <v>0</v>
      </c>
      <c r="G2877" s="7">
        <f>IF(Zarejestrowane!$C$2884="","",Zarejestrowane!$C$2884)</f>
        <v>0</v>
      </c>
      <c r="H2877" s="9">
        <f>IF(AND($F2877&lt;&gt;"",ISNUMBER(SEARCH('Nr rejestracyjny'!$F$5,$F2877))),COUNT($H$1:H2876)+1,"")</f>
        <v>0</v>
      </c>
      <c r="I2877" s="9">
        <f>IF(AND($G2877&lt;&gt;"",ISNUMBER(SEARCH('Nr rejestracyjny'!$F$5,$G2877))),COUNT($I$1:I2876)+1,"")</f>
        <v>0</v>
      </c>
    </row>
    <row r="2878" spans="6:9">
      <c r="F2878" s="7">
        <f>IF('W rejestracji'!$C$2885="","",'W rejestracji'!$C$2885)</f>
        <v>0</v>
      </c>
      <c r="G2878" s="7">
        <f>IF(Zarejestrowane!$C$2885="","",Zarejestrowane!$C$2885)</f>
        <v>0</v>
      </c>
      <c r="H2878" s="9">
        <f>IF(AND($F2878&lt;&gt;"",ISNUMBER(SEARCH('Nr rejestracyjny'!$F$5,$F2878))),COUNT($H$1:H2877)+1,"")</f>
        <v>0</v>
      </c>
      <c r="I2878" s="9">
        <f>IF(AND($G2878&lt;&gt;"",ISNUMBER(SEARCH('Nr rejestracyjny'!$F$5,$G2878))),COUNT($I$1:I2877)+1,"")</f>
        <v>0</v>
      </c>
    </row>
    <row r="2879" spans="6:9">
      <c r="F2879" s="7">
        <f>IF('W rejestracji'!$C$2886="","",'W rejestracji'!$C$2886)</f>
        <v>0</v>
      </c>
      <c r="G2879" s="7">
        <f>IF(Zarejestrowane!$C$2886="","",Zarejestrowane!$C$2886)</f>
        <v>0</v>
      </c>
      <c r="H2879" s="9">
        <f>IF(AND($F2879&lt;&gt;"",ISNUMBER(SEARCH('Nr rejestracyjny'!$F$5,$F2879))),COUNT($H$1:H2878)+1,"")</f>
        <v>0</v>
      </c>
      <c r="I2879" s="9">
        <f>IF(AND($G2879&lt;&gt;"",ISNUMBER(SEARCH('Nr rejestracyjny'!$F$5,$G2879))),COUNT($I$1:I2878)+1,"")</f>
        <v>0</v>
      </c>
    </row>
    <row r="2880" spans="6:9">
      <c r="F2880" s="7">
        <f>IF('W rejestracji'!$C$2887="","",'W rejestracji'!$C$2887)</f>
        <v>0</v>
      </c>
      <c r="G2880" s="7">
        <f>IF(Zarejestrowane!$C$2887="","",Zarejestrowane!$C$2887)</f>
        <v>0</v>
      </c>
      <c r="H2880" s="9">
        <f>IF(AND($F2880&lt;&gt;"",ISNUMBER(SEARCH('Nr rejestracyjny'!$F$5,$F2880))),COUNT($H$1:H2879)+1,"")</f>
        <v>0</v>
      </c>
      <c r="I2880" s="9">
        <f>IF(AND($G2880&lt;&gt;"",ISNUMBER(SEARCH('Nr rejestracyjny'!$F$5,$G2880))),COUNT($I$1:I2879)+1,"")</f>
        <v>0</v>
      </c>
    </row>
    <row r="2881" spans="6:9">
      <c r="F2881" s="7">
        <f>IF('W rejestracji'!$C$2888="","",'W rejestracji'!$C$2888)</f>
        <v>0</v>
      </c>
      <c r="G2881" s="7">
        <f>IF(Zarejestrowane!$C$2888="","",Zarejestrowane!$C$2888)</f>
        <v>0</v>
      </c>
      <c r="H2881" s="9">
        <f>IF(AND($F2881&lt;&gt;"",ISNUMBER(SEARCH('Nr rejestracyjny'!$F$5,$F2881))),COUNT($H$1:H2880)+1,"")</f>
        <v>0</v>
      </c>
      <c r="I2881" s="9">
        <f>IF(AND($G2881&lt;&gt;"",ISNUMBER(SEARCH('Nr rejestracyjny'!$F$5,$G2881))),COUNT($I$1:I2880)+1,"")</f>
        <v>0</v>
      </c>
    </row>
    <row r="2882" spans="6:9">
      <c r="F2882" s="7">
        <f>IF('W rejestracji'!$C$2889="","",'W rejestracji'!$C$2889)</f>
        <v>0</v>
      </c>
      <c r="G2882" s="7">
        <f>IF(Zarejestrowane!$C$2889="","",Zarejestrowane!$C$2889)</f>
        <v>0</v>
      </c>
      <c r="H2882" s="9">
        <f>IF(AND($F2882&lt;&gt;"",ISNUMBER(SEARCH('Nr rejestracyjny'!$F$5,$F2882))),COUNT($H$1:H2881)+1,"")</f>
        <v>0</v>
      </c>
      <c r="I2882" s="9">
        <f>IF(AND($G2882&lt;&gt;"",ISNUMBER(SEARCH('Nr rejestracyjny'!$F$5,$G2882))),COUNT($I$1:I2881)+1,"")</f>
        <v>0</v>
      </c>
    </row>
    <row r="2883" spans="6:9">
      <c r="F2883" s="7">
        <f>IF('W rejestracji'!$C$2890="","",'W rejestracji'!$C$2890)</f>
        <v>0</v>
      </c>
      <c r="G2883" s="7">
        <f>IF(Zarejestrowane!$C$2890="","",Zarejestrowane!$C$2890)</f>
        <v>0</v>
      </c>
      <c r="H2883" s="9">
        <f>IF(AND($F2883&lt;&gt;"",ISNUMBER(SEARCH('Nr rejestracyjny'!$F$5,$F2883))),COUNT($H$1:H2882)+1,"")</f>
        <v>0</v>
      </c>
      <c r="I2883" s="9">
        <f>IF(AND($G2883&lt;&gt;"",ISNUMBER(SEARCH('Nr rejestracyjny'!$F$5,$G2883))),COUNT($I$1:I2882)+1,"")</f>
        <v>0</v>
      </c>
    </row>
    <row r="2884" spans="6:9">
      <c r="F2884" s="7">
        <f>IF('W rejestracji'!$C$2891="","",'W rejestracji'!$C$2891)</f>
        <v>0</v>
      </c>
      <c r="G2884" s="7">
        <f>IF(Zarejestrowane!$C$2891="","",Zarejestrowane!$C$2891)</f>
        <v>0</v>
      </c>
      <c r="H2884" s="9">
        <f>IF(AND($F2884&lt;&gt;"",ISNUMBER(SEARCH('Nr rejestracyjny'!$F$5,$F2884))),COUNT($H$1:H2883)+1,"")</f>
        <v>0</v>
      </c>
      <c r="I2884" s="9">
        <f>IF(AND($G2884&lt;&gt;"",ISNUMBER(SEARCH('Nr rejestracyjny'!$F$5,$G2884))),COUNT($I$1:I2883)+1,"")</f>
        <v>0</v>
      </c>
    </row>
    <row r="2885" spans="6:9">
      <c r="F2885" s="7">
        <f>IF('W rejestracji'!$C$2892="","",'W rejestracji'!$C$2892)</f>
        <v>0</v>
      </c>
      <c r="G2885" s="7">
        <f>IF(Zarejestrowane!$C$2892="","",Zarejestrowane!$C$2892)</f>
        <v>0</v>
      </c>
      <c r="H2885" s="9">
        <f>IF(AND($F2885&lt;&gt;"",ISNUMBER(SEARCH('Nr rejestracyjny'!$F$5,$F2885))),COUNT($H$1:H2884)+1,"")</f>
        <v>0</v>
      </c>
      <c r="I2885" s="9">
        <f>IF(AND($G2885&lt;&gt;"",ISNUMBER(SEARCH('Nr rejestracyjny'!$F$5,$G2885))),COUNT($I$1:I2884)+1,"")</f>
        <v>0</v>
      </c>
    </row>
    <row r="2886" spans="6:9">
      <c r="F2886" s="7">
        <f>IF('W rejestracji'!$C$2893="","",'W rejestracji'!$C$2893)</f>
        <v>0</v>
      </c>
      <c r="G2886" s="7">
        <f>IF(Zarejestrowane!$C$2893="","",Zarejestrowane!$C$2893)</f>
        <v>0</v>
      </c>
      <c r="H2886" s="9">
        <f>IF(AND($F2886&lt;&gt;"",ISNUMBER(SEARCH('Nr rejestracyjny'!$F$5,$F2886))),COUNT($H$1:H2885)+1,"")</f>
        <v>0</v>
      </c>
      <c r="I2886" s="9">
        <f>IF(AND($G2886&lt;&gt;"",ISNUMBER(SEARCH('Nr rejestracyjny'!$F$5,$G2886))),COUNT($I$1:I2885)+1,"")</f>
        <v>0</v>
      </c>
    </row>
    <row r="2887" spans="6:9">
      <c r="F2887" s="7">
        <f>IF('W rejestracji'!$C$2894="","",'W rejestracji'!$C$2894)</f>
        <v>0</v>
      </c>
      <c r="G2887" s="7">
        <f>IF(Zarejestrowane!$C$2894="","",Zarejestrowane!$C$2894)</f>
        <v>0</v>
      </c>
      <c r="H2887" s="9">
        <f>IF(AND($F2887&lt;&gt;"",ISNUMBER(SEARCH('Nr rejestracyjny'!$F$5,$F2887))),COUNT($H$1:H2886)+1,"")</f>
        <v>0</v>
      </c>
      <c r="I2887" s="9">
        <f>IF(AND($G2887&lt;&gt;"",ISNUMBER(SEARCH('Nr rejestracyjny'!$F$5,$G2887))),COUNT($I$1:I2886)+1,"")</f>
        <v>0</v>
      </c>
    </row>
    <row r="2888" spans="6:9">
      <c r="F2888" s="7">
        <f>IF('W rejestracji'!$C$2895="","",'W rejestracji'!$C$2895)</f>
        <v>0</v>
      </c>
      <c r="G2888" s="7">
        <f>IF(Zarejestrowane!$C$2895="","",Zarejestrowane!$C$2895)</f>
        <v>0</v>
      </c>
      <c r="H2888" s="9">
        <f>IF(AND($F2888&lt;&gt;"",ISNUMBER(SEARCH('Nr rejestracyjny'!$F$5,$F2888))),COUNT($H$1:H2887)+1,"")</f>
        <v>0</v>
      </c>
      <c r="I2888" s="9">
        <f>IF(AND($G2888&lt;&gt;"",ISNUMBER(SEARCH('Nr rejestracyjny'!$F$5,$G2888))),COUNT($I$1:I2887)+1,"")</f>
        <v>0</v>
      </c>
    </row>
    <row r="2889" spans="6:9">
      <c r="F2889" s="7">
        <f>IF('W rejestracji'!$C$2896="","",'W rejestracji'!$C$2896)</f>
        <v>0</v>
      </c>
      <c r="G2889" s="7">
        <f>IF(Zarejestrowane!$C$2896="","",Zarejestrowane!$C$2896)</f>
        <v>0</v>
      </c>
      <c r="H2889" s="9">
        <f>IF(AND($F2889&lt;&gt;"",ISNUMBER(SEARCH('Nr rejestracyjny'!$F$5,$F2889))),COUNT($H$1:H2888)+1,"")</f>
        <v>0</v>
      </c>
      <c r="I2889" s="9">
        <f>IF(AND($G2889&lt;&gt;"",ISNUMBER(SEARCH('Nr rejestracyjny'!$F$5,$G2889))),COUNT($I$1:I2888)+1,"")</f>
        <v>0</v>
      </c>
    </row>
    <row r="2890" spans="6:9">
      <c r="F2890" s="7">
        <f>IF('W rejestracji'!$C$2897="","",'W rejestracji'!$C$2897)</f>
        <v>0</v>
      </c>
      <c r="G2890" s="7">
        <f>IF(Zarejestrowane!$C$2897="","",Zarejestrowane!$C$2897)</f>
        <v>0</v>
      </c>
      <c r="H2890" s="9">
        <f>IF(AND($F2890&lt;&gt;"",ISNUMBER(SEARCH('Nr rejestracyjny'!$F$5,$F2890))),COUNT($H$1:H2889)+1,"")</f>
        <v>0</v>
      </c>
      <c r="I2890" s="9">
        <f>IF(AND($G2890&lt;&gt;"",ISNUMBER(SEARCH('Nr rejestracyjny'!$F$5,$G2890))),COUNT($I$1:I2889)+1,"")</f>
        <v>0</v>
      </c>
    </row>
    <row r="2891" spans="6:9">
      <c r="F2891" s="7">
        <f>IF('W rejestracji'!$C$2898="","",'W rejestracji'!$C$2898)</f>
        <v>0</v>
      </c>
      <c r="G2891" s="7">
        <f>IF(Zarejestrowane!$C$2898="","",Zarejestrowane!$C$2898)</f>
        <v>0</v>
      </c>
      <c r="H2891" s="9">
        <f>IF(AND($F2891&lt;&gt;"",ISNUMBER(SEARCH('Nr rejestracyjny'!$F$5,$F2891))),COUNT($H$1:H2890)+1,"")</f>
        <v>0</v>
      </c>
      <c r="I2891" s="9">
        <f>IF(AND($G2891&lt;&gt;"",ISNUMBER(SEARCH('Nr rejestracyjny'!$F$5,$G2891))),COUNT($I$1:I2890)+1,"")</f>
        <v>0</v>
      </c>
    </row>
    <row r="2892" spans="6:9">
      <c r="F2892" s="7">
        <f>IF('W rejestracji'!$C$2899="","",'W rejestracji'!$C$2899)</f>
        <v>0</v>
      </c>
      <c r="G2892" s="7">
        <f>IF(Zarejestrowane!$C$2899="","",Zarejestrowane!$C$2899)</f>
        <v>0</v>
      </c>
      <c r="H2892" s="9">
        <f>IF(AND($F2892&lt;&gt;"",ISNUMBER(SEARCH('Nr rejestracyjny'!$F$5,$F2892))),COUNT($H$1:H2891)+1,"")</f>
        <v>0</v>
      </c>
      <c r="I2892" s="9">
        <f>IF(AND($G2892&lt;&gt;"",ISNUMBER(SEARCH('Nr rejestracyjny'!$F$5,$G2892))),COUNT($I$1:I2891)+1,"")</f>
        <v>0</v>
      </c>
    </row>
    <row r="2893" spans="6:9">
      <c r="F2893" s="7">
        <f>IF('W rejestracji'!$C$2900="","",'W rejestracji'!$C$2900)</f>
        <v>0</v>
      </c>
      <c r="G2893" s="7">
        <f>IF(Zarejestrowane!$C$2900="","",Zarejestrowane!$C$2900)</f>
        <v>0</v>
      </c>
      <c r="H2893" s="9">
        <f>IF(AND($F2893&lt;&gt;"",ISNUMBER(SEARCH('Nr rejestracyjny'!$F$5,$F2893))),COUNT($H$1:H2892)+1,"")</f>
        <v>0</v>
      </c>
      <c r="I2893" s="9">
        <f>IF(AND($G2893&lt;&gt;"",ISNUMBER(SEARCH('Nr rejestracyjny'!$F$5,$G2893))),COUNT($I$1:I2892)+1,"")</f>
        <v>0</v>
      </c>
    </row>
    <row r="2894" spans="6:9">
      <c r="F2894" s="7">
        <f>IF('W rejestracji'!$C$2901="","",'W rejestracji'!$C$2901)</f>
        <v>0</v>
      </c>
      <c r="G2894" s="7">
        <f>IF(Zarejestrowane!$C$2901="","",Zarejestrowane!$C$2901)</f>
        <v>0</v>
      </c>
      <c r="H2894" s="9">
        <f>IF(AND($F2894&lt;&gt;"",ISNUMBER(SEARCH('Nr rejestracyjny'!$F$5,$F2894))),COUNT($H$1:H2893)+1,"")</f>
        <v>0</v>
      </c>
      <c r="I2894" s="9">
        <f>IF(AND($G2894&lt;&gt;"",ISNUMBER(SEARCH('Nr rejestracyjny'!$F$5,$G2894))),COUNT($I$1:I2893)+1,"")</f>
        <v>0</v>
      </c>
    </row>
    <row r="2895" spans="6:9">
      <c r="F2895" s="7">
        <f>IF('W rejestracji'!$C$2902="","",'W rejestracji'!$C$2902)</f>
        <v>0</v>
      </c>
      <c r="G2895" s="7">
        <f>IF(Zarejestrowane!$C$2902="","",Zarejestrowane!$C$2902)</f>
        <v>0</v>
      </c>
      <c r="H2895" s="9">
        <f>IF(AND($F2895&lt;&gt;"",ISNUMBER(SEARCH('Nr rejestracyjny'!$F$5,$F2895))),COUNT($H$1:H2894)+1,"")</f>
        <v>0</v>
      </c>
      <c r="I2895" s="9">
        <f>IF(AND($G2895&lt;&gt;"",ISNUMBER(SEARCH('Nr rejestracyjny'!$F$5,$G2895))),COUNT($I$1:I2894)+1,"")</f>
        <v>0</v>
      </c>
    </row>
    <row r="2896" spans="6:9">
      <c r="F2896" s="7">
        <f>IF('W rejestracji'!$C$2903="","",'W rejestracji'!$C$2903)</f>
        <v>0</v>
      </c>
      <c r="G2896" s="7">
        <f>IF(Zarejestrowane!$C$2903="","",Zarejestrowane!$C$2903)</f>
        <v>0</v>
      </c>
      <c r="H2896" s="9">
        <f>IF(AND($F2896&lt;&gt;"",ISNUMBER(SEARCH('Nr rejestracyjny'!$F$5,$F2896))),COUNT($H$1:H2895)+1,"")</f>
        <v>0</v>
      </c>
      <c r="I2896" s="9">
        <f>IF(AND($G2896&lt;&gt;"",ISNUMBER(SEARCH('Nr rejestracyjny'!$F$5,$G2896))),COUNT($I$1:I2895)+1,"")</f>
        <v>0</v>
      </c>
    </row>
    <row r="2897" spans="6:9">
      <c r="F2897" s="7">
        <f>IF('W rejestracji'!$C$2904="","",'W rejestracji'!$C$2904)</f>
        <v>0</v>
      </c>
      <c r="G2897" s="7">
        <f>IF(Zarejestrowane!$C$2904="","",Zarejestrowane!$C$2904)</f>
        <v>0</v>
      </c>
      <c r="H2897" s="9">
        <f>IF(AND($F2897&lt;&gt;"",ISNUMBER(SEARCH('Nr rejestracyjny'!$F$5,$F2897))),COUNT($H$1:H2896)+1,"")</f>
        <v>0</v>
      </c>
      <c r="I2897" s="9">
        <f>IF(AND($G2897&lt;&gt;"",ISNUMBER(SEARCH('Nr rejestracyjny'!$F$5,$G2897))),COUNT($I$1:I2896)+1,"")</f>
        <v>0</v>
      </c>
    </row>
    <row r="2898" spans="6:9">
      <c r="F2898" s="7">
        <f>IF('W rejestracji'!$C$2905="","",'W rejestracji'!$C$2905)</f>
        <v>0</v>
      </c>
      <c r="G2898" s="7">
        <f>IF(Zarejestrowane!$C$2905="","",Zarejestrowane!$C$2905)</f>
        <v>0</v>
      </c>
      <c r="H2898" s="9">
        <f>IF(AND($F2898&lt;&gt;"",ISNUMBER(SEARCH('Nr rejestracyjny'!$F$5,$F2898))),COUNT($H$1:H2897)+1,"")</f>
        <v>0</v>
      </c>
      <c r="I2898" s="9">
        <f>IF(AND($G2898&lt;&gt;"",ISNUMBER(SEARCH('Nr rejestracyjny'!$F$5,$G2898))),COUNT($I$1:I2897)+1,"")</f>
        <v>0</v>
      </c>
    </row>
    <row r="2899" spans="6:9">
      <c r="F2899" s="7">
        <f>IF('W rejestracji'!$C$2906="","",'W rejestracji'!$C$2906)</f>
        <v>0</v>
      </c>
      <c r="G2899" s="7">
        <f>IF(Zarejestrowane!$C$2906="","",Zarejestrowane!$C$2906)</f>
        <v>0</v>
      </c>
      <c r="H2899" s="9">
        <f>IF(AND($F2899&lt;&gt;"",ISNUMBER(SEARCH('Nr rejestracyjny'!$F$5,$F2899))),COUNT($H$1:H2898)+1,"")</f>
        <v>0</v>
      </c>
      <c r="I2899" s="9">
        <f>IF(AND($G2899&lt;&gt;"",ISNUMBER(SEARCH('Nr rejestracyjny'!$F$5,$G2899))),COUNT($I$1:I2898)+1,"")</f>
        <v>0</v>
      </c>
    </row>
    <row r="2900" spans="6:9">
      <c r="F2900" s="7">
        <f>IF('W rejestracji'!$C$2907="","",'W rejestracji'!$C$2907)</f>
        <v>0</v>
      </c>
      <c r="G2900" s="7">
        <f>IF(Zarejestrowane!$C$2907="","",Zarejestrowane!$C$2907)</f>
        <v>0</v>
      </c>
      <c r="H2900" s="9">
        <f>IF(AND($F2900&lt;&gt;"",ISNUMBER(SEARCH('Nr rejestracyjny'!$F$5,$F2900))),COUNT($H$1:H2899)+1,"")</f>
        <v>0</v>
      </c>
      <c r="I2900" s="9">
        <f>IF(AND($G2900&lt;&gt;"",ISNUMBER(SEARCH('Nr rejestracyjny'!$F$5,$G2900))),COUNT($I$1:I2899)+1,"")</f>
        <v>0</v>
      </c>
    </row>
    <row r="2901" spans="6:9">
      <c r="F2901" s="7">
        <f>IF('W rejestracji'!$C$2908="","",'W rejestracji'!$C$2908)</f>
        <v>0</v>
      </c>
      <c r="G2901" s="7">
        <f>IF(Zarejestrowane!$C$2908="","",Zarejestrowane!$C$2908)</f>
        <v>0</v>
      </c>
      <c r="H2901" s="9">
        <f>IF(AND($F2901&lt;&gt;"",ISNUMBER(SEARCH('Nr rejestracyjny'!$F$5,$F2901))),COUNT($H$1:H2900)+1,"")</f>
        <v>0</v>
      </c>
      <c r="I2901" s="9">
        <f>IF(AND($G2901&lt;&gt;"",ISNUMBER(SEARCH('Nr rejestracyjny'!$F$5,$G2901))),COUNT($I$1:I2900)+1,"")</f>
        <v>0</v>
      </c>
    </row>
    <row r="2902" spans="6:9">
      <c r="F2902" s="7">
        <f>IF('W rejestracji'!$C$2909="","",'W rejestracji'!$C$2909)</f>
        <v>0</v>
      </c>
      <c r="G2902" s="7">
        <f>IF(Zarejestrowane!$C$2909="","",Zarejestrowane!$C$2909)</f>
        <v>0</v>
      </c>
      <c r="H2902" s="9">
        <f>IF(AND($F2902&lt;&gt;"",ISNUMBER(SEARCH('Nr rejestracyjny'!$F$5,$F2902))),COUNT($H$1:H2901)+1,"")</f>
        <v>0</v>
      </c>
      <c r="I2902" s="9">
        <f>IF(AND($G2902&lt;&gt;"",ISNUMBER(SEARCH('Nr rejestracyjny'!$F$5,$G2902))),COUNT($I$1:I2901)+1,"")</f>
        <v>0</v>
      </c>
    </row>
    <row r="2903" spans="6:9">
      <c r="F2903" s="7">
        <f>IF('W rejestracji'!$C$2910="","",'W rejestracji'!$C$2910)</f>
        <v>0</v>
      </c>
      <c r="G2903" s="7">
        <f>IF(Zarejestrowane!$C$2910="","",Zarejestrowane!$C$2910)</f>
        <v>0</v>
      </c>
      <c r="H2903" s="9">
        <f>IF(AND($F2903&lt;&gt;"",ISNUMBER(SEARCH('Nr rejestracyjny'!$F$5,$F2903))),COUNT($H$1:H2902)+1,"")</f>
        <v>0</v>
      </c>
      <c r="I2903" s="9">
        <f>IF(AND($G2903&lt;&gt;"",ISNUMBER(SEARCH('Nr rejestracyjny'!$F$5,$G2903))),COUNT($I$1:I2902)+1,"")</f>
        <v>0</v>
      </c>
    </row>
    <row r="2904" spans="6:9">
      <c r="F2904" s="7">
        <f>IF('W rejestracji'!$C$2911="","",'W rejestracji'!$C$2911)</f>
        <v>0</v>
      </c>
      <c r="G2904" s="7">
        <f>IF(Zarejestrowane!$C$2911="","",Zarejestrowane!$C$2911)</f>
        <v>0</v>
      </c>
      <c r="H2904" s="9">
        <f>IF(AND($F2904&lt;&gt;"",ISNUMBER(SEARCH('Nr rejestracyjny'!$F$5,$F2904))),COUNT($H$1:H2903)+1,"")</f>
        <v>0</v>
      </c>
      <c r="I2904" s="9">
        <f>IF(AND($G2904&lt;&gt;"",ISNUMBER(SEARCH('Nr rejestracyjny'!$F$5,$G2904))),COUNT($I$1:I2903)+1,"")</f>
        <v>0</v>
      </c>
    </row>
    <row r="2905" spans="6:9">
      <c r="F2905" s="7">
        <f>IF('W rejestracji'!$C$2912="","",'W rejestracji'!$C$2912)</f>
        <v>0</v>
      </c>
      <c r="G2905" s="7">
        <f>IF(Zarejestrowane!$C$2912="","",Zarejestrowane!$C$2912)</f>
        <v>0</v>
      </c>
      <c r="H2905" s="9">
        <f>IF(AND($F2905&lt;&gt;"",ISNUMBER(SEARCH('Nr rejestracyjny'!$F$5,$F2905))),COUNT($H$1:H2904)+1,"")</f>
        <v>0</v>
      </c>
      <c r="I2905" s="9">
        <f>IF(AND($G2905&lt;&gt;"",ISNUMBER(SEARCH('Nr rejestracyjny'!$F$5,$G2905))),COUNT($I$1:I2904)+1,"")</f>
        <v>0</v>
      </c>
    </row>
    <row r="2906" spans="6:9">
      <c r="F2906" s="7">
        <f>IF('W rejestracji'!$C$2913="","",'W rejestracji'!$C$2913)</f>
        <v>0</v>
      </c>
      <c r="G2906" s="7">
        <f>IF(Zarejestrowane!$C$2913="","",Zarejestrowane!$C$2913)</f>
        <v>0</v>
      </c>
      <c r="H2906" s="9">
        <f>IF(AND($F2906&lt;&gt;"",ISNUMBER(SEARCH('Nr rejestracyjny'!$F$5,$F2906))),COUNT($H$1:H2905)+1,"")</f>
        <v>0</v>
      </c>
      <c r="I2906" s="9">
        <f>IF(AND($G2906&lt;&gt;"",ISNUMBER(SEARCH('Nr rejestracyjny'!$F$5,$G2906))),COUNT($I$1:I2905)+1,"")</f>
        <v>0</v>
      </c>
    </row>
    <row r="2907" spans="6:9">
      <c r="F2907" s="7">
        <f>IF('W rejestracji'!$C$2914="","",'W rejestracji'!$C$2914)</f>
        <v>0</v>
      </c>
      <c r="G2907" s="7">
        <f>IF(Zarejestrowane!$C$2914="","",Zarejestrowane!$C$2914)</f>
        <v>0</v>
      </c>
      <c r="H2907" s="9">
        <f>IF(AND($F2907&lt;&gt;"",ISNUMBER(SEARCH('Nr rejestracyjny'!$F$5,$F2907))),COUNT($H$1:H2906)+1,"")</f>
        <v>0</v>
      </c>
      <c r="I2907" s="9">
        <f>IF(AND($G2907&lt;&gt;"",ISNUMBER(SEARCH('Nr rejestracyjny'!$F$5,$G2907))),COUNT($I$1:I2906)+1,"")</f>
        <v>0</v>
      </c>
    </row>
    <row r="2908" spans="6:9">
      <c r="F2908" s="7">
        <f>IF('W rejestracji'!$C$2915="","",'W rejestracji'!$C$2915)</f>
        <v>0</v>
      </c>
      <c r="G2908" s="7">
        <f>IF(Zarejestrowane!$C$2915="","",Zarejestrowane!$C$2915)</f>
        <v>0</v>
      </c>
      <c r="H2908" s="9">
        <f>IF(AND($F2908&lt;&gt;"",ISNUMBER(SEARCH('Nr rejestracyjny'!$F$5,$F2908))),COUNT($H$1:H2907)+1,"")</f>
        <v>0</v>
      </c>
      <c r="I2908" s="9">
        <f>IF(AND($G2908&lt;&gt;"",ISNUMBER(SEARCH('Nr rejestracyjny'!$F$5,$G2908))),COUNT($I$1:I2907)+1,"")</f>
        <v>0</v>
      </c>
    </row>
    <row r="2909" spans="6:9">
      <c r="F2909" s="7">
        <f>IF('W rejestracji'!$C$2916="","",'W rejestracji'!$C$2916)</f>
        <v>0</v>
      </c>
      <c r="G2909" s="7">
        <f>IF(Zarejestrowane!$C$2916="","",Zarejestrowane!$C$2916)</f>
        <v>0</v>
      </c>
      <c r="H2909" s="9">
        <f>IF(AND($F2909&lt;&gt;"",ISNUMBER(SEARCH('Nr rejestracyjny'!$F$5,$F2909))),COUNT($H$1:H2908)+1,"")</f>
        <v>0</v>
      </c>
      <c r="I2909" s="9">
        <f>IF(AND($G2909&lt;&gt;"",ISNUMBER(SEARCH('Nr rejestracyjny'!$F$5,$G2909))),COUNT($I$1:I2908)+1,"")</f>
        <v>0</v>
      </c>
    </row>
    <row r="2910" spans="6:9">
      <c r="F2910" s="7">
        <f>IF('W rejestracji'!$C$2917="","",'W rejestracji'!$C$2917)</f>
        <v>0</v>
      </c>
      <c r="G2910" s="7">
        <f>IF(Zarejestrowane!$C$2917="","",Zarejestrowane!$C$2917)</f>
        <v>0</v>
      </c>
      <c r="H2910" s="9">
        <f>IF(AND($F2910&lt;&gt;"",ISNUMBER(SEARCH('Nr rejestracyjny'!$F$5,$F2910))),COUNT($H$1:H2909)+1,"")</f>
        <v>0</v>
      </c>
      <c r="I2910" s="9">
        <f>IF(AND($G2910&lt;&gt;"",ISNUMBER(SEARCH('Nr rejestracyjny'!$F$5,$G2910))),COUNT($I$1:I2909)+1,"")</f>
        <v>0</v>
      </c>
    </row>
    <row r="2911" spans="6:9">
      <c r="F2911" s="7">
        <f>IF('W rejestracji'!$C$2918="","",'W rejestracji'!$C$2918)</f>
        <v>0</v>
      </c>
      <c r="G2911" s="7">
        <f>IF(Zarejestrowane!$C$2918="","",Zarejestrowane!$C$2918)</f>
        <v>0</v>
      </c>
      <c r="H2911" s="9">
        <f>IF(AND($F2911&lt;&gt;"",ISNUMBER(SEARCH('Nr rejestracyjny'!$F$5,$F2911))),COUNT($H$1:H2910)+1,"")</f>
        <v>0</v>
      </c>
      <c r="I2911" s="9">
        <f>IF(AND($G2911&lt;&gt;"",ISNUMBER(SEARCH('Nr rejestracyjny'!$F$5,$G2911))),COUNT($I$1:I2910)+1,"")</f>
        <v>0</v>
      </c>
    </row>
    <row r="2912" spans="6:9">
      <c r="F2912" s="7">
        <f>IF('W rejestracji'!$C$2919="","",'W rejestracji'!$C$2919)</f>
        <v>0</v>
      </c>
      <c r="G2912" s="7">
        <f>IF(Zarejestrowane!$C$2919="","",Zarejestrowane!$C$2919)</f>
        <v>0</v>
      </c>
      <c r="H2912" s="9">
        <f>IF(AND($F2912&lt;&gt;"",ISNUMBER(SEARCH('Nr rejestracyjny'!$F$5,$F2912))),COUNT($H$1:H2911)+1,"")</f>
        <v>0</v>
      </c>
      <c r="I2912" s="9">
        <f>IF(AND($G2912&lt;&gt;"",ISNUMBER(SEARCH('Nr rejestracyjny'!$F$5,$G2912))),COUNT($I$1:I2911)+1,"")</f>
        <v>0</v>
      </c>
    </row>
    <row r="2913" spans="6:9">
      <c r="F2913" s="7">
        <f>IF('W rejestracji'!$C$2920="","",'W rejestracji'!$C$2920)</f>
        <v>0</v>
      </c>
      <c r="G2913" s="7">
        <f>IF(Zarejestrowane!$C$2920="","",Zarejestrowane!$C$2920)</f>
        <v>0</v>
      </c>
      <c r="H2913" s="9">
        <f>IF(AND($F2913&lt;&gt;"",ISNUMBER(SEARCH('Nr rejestracyjny'!$F$5,$F2913))),COUNT($H$1:H2912)+1,"")</f>
        <v>0</v>
      </c>
      <c r="I2913" s="9">
        <f>IF(AND($G2913&lt;&gt;"",ISNUMBER(SEARCH('Nr rejestracyjny'!$F$5,$G2913))),COUNT($I$1:I2912)+1,"")</f>
        <v>0</v>
      </c>
    </row>
    <row r="2914" spans="6:9">
      <c r="F2914" s="7">
        <f>IF('W rejestracji'!$C$2921="","",'W rejestracji'!$C$2921)</f>
        <v>0</v>
      </c>
      <c r="G2914" s="7">
        <f>IF(Zarejestrowane!$C$2921="","",Zarejestrowane!$C$2921)</f>
        <v>0</v>
      </c>
      <c r="H2914" s="9">
        <f>IF(AND($F2914&lt;&gt;"",ISNUMBER(SEARCH('Nr rejestracyjny'!$F$5,$F2914))),COUNT($H$1:H2913)+1,"")</f>
        <v>0</v>
      </c>
      <c r="I2914" s="9">
        <f>IF(AND($G2914&lt;&gt;"",ISNUMBER(SEARCH('Nr rejestracyjny'!$F$5,$G2914))),COUNT($I$1:I2913)+1,"")</f>
        <v>0</v>
      </c>
    </row>
    <row r="2915" spans="6:9">
      <c r="F2915" s="7">
        <f>IF('W rejestracji'!$C$2922="","",'W rejestracji'!$C$2922)</f>
        <v>0</v>
      </c>
      <c r="G2915" s="7">
        <f>IF(Zarejestrowane!$C$2922="","",Zarejestrowane!$C$2922)</f>
        <v>0</v>
      </c>
      <c r="H2915" s="9">
        <f>IF(AND($F2915&lt;&gt;"",ISNUMBER(SEARCH('Nr rejestracyjny'!$F$5,$F2915))),COUNT($H$1:H2914)+1,"")</f>
        <v>0</v>
      </c>
      <c r="I2915" s="9">
        <f>IF(AND($G2915&lt;&gt;"",ISNUMBER(SEARCH('Nr rejestracyjny'!$F$5,$G2915))),COUNT($I$1:I2914)+1,"")</f>
        <v>0</v>
      </c>
    </row>
    <row r="2916" spans="6:9">
      <c r="F2916" s="7">
        <f>IF('W rejestracji'!$C$2923="","",'W rejestracji'!$C$2923)</f>
        <v>0</v>
      </c>
      <c r="G2916" s="7">
        <f>IF(Zarejestrowane!$C$2923="","",Zarejestrowane!$C$2923)</f>
        <v>0</v>
      </c>
      <c r="H2916" s="9">
        <f>IF(AND($F2916&lt;&gt;"",ISNUMBER(SEARCH('Nr rejestracyjny'!$F$5,$F2916))),COUNT($H$1:H2915)+1,"")</f>
        <v>0</v>
      </c>
      <c r="I2916" s="9">
        <f>IF(AND($G2916&lt;&gt;"",ISNUMBER(SEARCH('Nr rejestracyjny'!$F$5,$G2916))),COUNT($I$1:I2915)+1,"")</f>
        <v>0</v>
      </c>
    </row>
    <row r="2917" spans="6:9">
      <c r="F2917" s="7">
        <f>IF('W rejestracji'!$C$2924="","",'W rejestracji'!$C$2924)</f>
        <v>0</v>
      </c>
      <c r="G2917" s="7">
        <f>IF(Zarejestrowane!$C$2924="","",Zarejestrowane!$C$2924)</f>
        <v>0</v>
      </c>
      <c r="H2917" s="9">
        <f>IF(AND($F2917&lt;&gt;"",ISNUMBER(SEARCH('Nr rejestracyjny'!$F$5,$F2917))),COUNT($H$1:H2916)+1,"")</f>
        <v>0</v>
      </c>
      <c r="I2917" s="9">
        <f>IF(AND($G2917&lt;&gt;"",ISNUMBER(SEARCH('Nr rejestracyjny'!$F$5,$G2917))),COUNT($I$1:I2916)+1,"")</f>
        <v>0</v>
      </c>
    </row>
    <row r="2918" spans="6:9">
      <c r="F2918" s="7">
        <f>IF('W rejestracji'!$C$2925="","",'W rejestracji'!$C$2925)</f>
        <v>0</v>
      </c>
      <c r="G2918" s="7">
        <f>IF(Zarejestrowane!$C$2925="","",Zarejestrowane!$C$2925)</f>
        <v>0</v>
      </c>
      <c r="H2918" s="9">
        <f>IF(AND($F2918&lt;&gt;"",ISNUMBER(SEARCH('Nr rejestracyjny'!$F$5,$F2918))),COUNT($H$1:H2917)+1,"")</f>
        <v>0</v>
      </c>
      <c r="I2918" s="9">
        <f>IF(AND($G2918&lt;&gt;"",ISNUMBER(SEARCH('Nr rejestracyjny'!$F$5,$G2918))),COUNT($I$1:I2917)+1,"")</f>
        <v>0</v>
      </c>
    </row>
    <row r="2919" spans="6:9">
      <c r="F2919" s="7">
        <f>IF('W rejestracji'!$C$2926="","",'W rejestracji'!$C$2926)</f>
        <v>0</v>
      </c>
      <c r="G2919" s="7">
        <f>IF(Zarejestrowane!$C$2926="","",Zarejestrowane!$C$2926)</f>
        <v>0</v>
      </c>
      <c r="H2919" s="9">
        <f>IF(AND($F2919&lt;&gt;"",ISNUMBER(SEARCH('Nr rejestracyjny'!$F$5,$F2919))),COUNT($H$1:H2918)+1,"")</f>
        <v>0</v>
      </c>
      <c r="I2919" s="9">
        <f>IF(AND($G2919&lt;&gt;"",ISNUMBER(SEARCH('Nr rejestracyjny'!$F$5,$G2919))),COUNT($I$1:I2918)+1,"")</f>
        <v>0</v>
      </c>
    </row>
    <row r="2920" spans="6:9">
      <c r="F2920" s="7">
        <f>IF('W rejestracji'!$C$2927="","",'W rejestracji'!$C$2927)</f>
        <v>0</v>
      </c>
      <c r="G2920" s="7">
        <f>IF(Zarejestrowane!$C$2927="","",Zarejestrowane!$C$2927)</f>
        <v>0</v>
      </c>
      <c r="H2920" s="9">
        <f>IF(AND($F2920&lt;&gt;"",ISNUMBER(SEARCH('Nr rejestracyjny'!$F$5,$F2920))),COUNT($H$1:H2919)+1,"")</f>
        <v>0</v>
      </c>
      <c r="I2920" s="9">
        <f>IF(AND($G2920&lt;&gt;"",ISNUMBER(SEARCH('Nr rejestracyjny'!$F$5,$G2920))),COUNT($I$1:I2919)+1,"")</f>
        <v>0</v>
      </c>
    </row>
    <row r="2921" spans="6:9">
      <c r="F2921" s="7">
        <f>IF('W rejestracji'!$C$2928="","",'W rejestracji'!$C$2928)</f>
        <v>0</v>
      </c>
      <c r="G2921" s="7">
        <f>IF(Zarejestrowane!$C$2928="","",Zarejestrowane!$C$2928)</f>
        <v>0</v>
      </c>
      <c r="H2921" s="9">
        <f>IF(AND($F2921&lt;&gt;"",ISNUMBER(SEARCH('Nr rejestracyjny'!$F$5,$F2921))),COUNT($H$1:H2920)+1,"")</f>
        <v>0</v>
      </c>
      <c r="I2921" s="9">
        <f>IF(AND($G2921&lt;&gt;"",ISNUMBER(SEARCH('Nr rejestracyjny'!$F$5,$G2921))),COUNT($I$1:I2920)+1,"")</f>
        <v>0</v>
      </c>
    </row>
    <row r="2922" spans="6:9">
      <c r="F2922" s="7">
        <f>IF('W rejestracji'!$C$2929="","",'W rejestracji'!$C$2929)</f>
        <v>0</v>
      </c>
      <c r="G2922" s="7">
        <f>IF(Zarejestrowane!$C$2929="","",Zarejestrowane!$C$2929)</f>
        <v>0</v>
      </c>
      <c r="H2922" s="9">
        <f>IF(AND($F2922&lt;&gt;"",ISNUMBER(SEARCH('Nr rejestracyjny'!$F$5,$F2922))),COUNT($H$1:H2921)+1,"")</f>
        <v>0</v>
      </c>
      <c r="I2922" s="9">
        <f>IF(AND($G2922&lt;&gt;"",ISNUMBER(SEARCH('Nr rejestracyjny'!$F$5,$G2922))),COUNT($I$1:I2921)+1,"")</f>
        <v>0</v>
      </c>
    </row>
    <row r="2923" spans="6:9">
      <c r="F2923" s="7">
        <f>IF('W rejestracji'!$C$2930="","",'W rejestracji'!$C$2930)</f>
        <v>0</v>
      </c>
      <c r="G2923" s="7">
        <f>IF(Zarejestrowane!$C$2930="","",Zarejestrowane!$C$2930)</f>
        <v>0</v>
      </c>
      <c r="H2923" s="9">
        <f>IF(AND($F2923&lt;&gt;"",ISNUMBER(SEARCH('Nr rejestracyjny'!$F$5,$F2923))),COUNT($H$1:H2922)+1,"")</f>
        <v>0</v>
      </c>
      <c r="I2923" s="9">
        <f>IF(AND($G2923&lt;&gt;"",ISNUMBER(SEARCH('Nr rejestracyjny'!$F$5,$G2923))),COUNT($I$1:I2922)+1,"")</f>
        <v>0</v>
      </c>
    </row>
    <row r="2924" spans="6:9">
      <c r="F2924" s="7">
        <f>IF('W rejestracji'!$C$2931="","",'W rejestracji'!$C$2931)</f>
        <v>0</v>
      </c>
      <c r="G2924" s="7">
        <f>IF(Zarejestrowane!$C$2931="","",Zarejestrowane!$C$2931)</f>
        <v>0</v>
      </c>
      <c r="H2924" s="9">
        <f>IF(AND($F2924&lt;&gt;"",ISNUMBER(SEARCH('Nr rejestracyjny'!$F$5,$F2924))),COUNT($H$1:H2923)+1,"")</f>
        <v>0</v>
      </c>
      <c r="I2924" s="9">
        <f>IF(AND($G2924&lt;&gt;"",ISNUMBER(SEARCH('Nr rejestracyjny'!$F$5,$G2924))),COUNT($I$1:I2923)+1,"")</f>
        <v>0</v>
      </c>
    </row>
    <row r="2925" spans="6:9">
      <c r="F2925" s="7">
        <f>IF('W rejestracji'!$C$2932="","",'W rejestracji'!$C$2932)</f>
        <v>0</v>
      </c>
      <c r="G2925" s="7">
        <f>IF(Zarejestrowane!$C$2932="","",Zarejestrowane!$C$2932)</f>
        <v>0</v>
      </c>
      <c r="H2925" s="9">
        <f>IF(AND($F2925&lt;&gt;"",ISNUMBER(SEARCH('Nr rejestracyjny'!$F$5,$F2925))),COUNT($H$1:H2924)+1,"")</f>
        <v>0</v>
      </c>
      <c r="I2925" s="9">
        <f>IF(AND($G2925&lt;&gt;"",ISNUMBER(SEARCH('Nr rejestracyjny'!$F$5,$G2925))),COUNT($I$1:I2924)+1,"")</f>
        <v>0</v>
      </c>
    </row>
    <row r="2926" spans="6:9">
      <c r="F2926" s="7">
        <f>IF('W rejestracji'!$C$2933="","",'W rejestracji'!$C$2933)</f>
        <v>0</v>
      </c>
      <c r="G2926" s="7">
        <f>IF(Zarejestrowane!$C$2933="","",Zarejestrowane!$C$2933)</f>
        <v>0</v>
      </c>
      <c r="H2926" s="9">
        <f>IF(AND($F2926&lt;&gt;"",ISNUMBER(SEARCH('Nr rejestracyjny'!$F$5,$F2926))),COUNT($H$1:H2925)+1,"")</f>
        <v>0</v>
      </c>
      <c r="I2926" s="9">
        <f>IF(AND($G2926&lt;&gt;"",ISNUMBER(SEARCH('Nr rejestracyjny'!$F$5,$G2926))),COUNT($I$1:I2925)+1,"")</f>
        <v>0</v>
      </c>
    </row>
    <row r="2927" spans="6:9">
      <c r="F2927" s="7">
        <f>IF('W rejestracji'!$C$2934="","",'W rejestracji'!$C$2934)</f>
        <v>0</v>
      </c>
      <c r="G2927" s="7">
        <f>IF(Zarejestrowane!$C$2934="","",Zarejestrowane!$C$2934)</f>
        <v>0</v>
      </c>
      <c r="H2927" s="9">
        <f>IF(AND($F2927&lt;&gt;"",ISNUMBER(SEARCH('Nr rejestracyjny'!$F$5,$F2927))),COUNT($H$1:H2926)+1,"")</f>
        <v>0</v>
      </c>
      <c r="I2927" s="9">
        <f>IF(AND($G2927&lt;&gt;"",ISNUMBER(SEARCH('Nr rejestracyjny'!$F$5,$G2927))),COUNT($I$1:I2926)+1,"")</f>
        <v>0</v>
      </c>
    </row>
    <row r="2928" spans="6:9">
      <c r="F2928" s="7">
        <f>IF('W rejestracji'!$C$2935="","",'W rejestracji'!$C$2935)</f>
        <v>0</v>
      </c>
      <c r="G2928" s="7">
        <f>IF(Zarejestrowane!$C$2935="","",Zarejestrowane!$C$2935)</f>
        <v>0</v>
      </c>
      <c r="H2928" s="9">
        <f>IF(AND($F2928&lt;&gt;"",ISNUMBER(SEARCH('Nr rejestracyjny'!$F$5,$F2928))),COUNT($H$1:H2927)+1,"")</f>
        <v>0</v>
      </c>
      <c r="I2928" s="9">
        <f>IF(AND($G2928&lt;&gt;"",ISNUMBER(SEARCH('Nr rejestracyjny'!$F$5,$G2928))),COUNT($I$1:I2927)+1,"")</f>
        <v>0</v>
      </c>
    </row>
    <row r="2929" spans="6:9">
      <c r="F2929" s="7">
        <f>IF('W rejestracji'!$C$2936="","",'W rejestracji'!$C$2936)</f>
        <v>0</v>
      </c>
      <c r="G2929" s="7">
        <f>IF(Zarejestrowane!$C$2936="","",Zarejestrowane!$C$2936)</f>
        <v>0</v>
      </c>
      <c r="H2929" s="9">
        <f>IF(AND($F2929&lt;&gt;"",ISNUMBER(SEARCH('Nr rejestracyjny'!$F$5,$F2929))),COUNT($H$1:H2928)+1,"")</f>
        <v>0</v>
      </c>
      <c r="I2929" s="9">
        <f>IF(AND($G2929&lt;&gt;"",ISNUMBER(SEARCH('Nr rejestracyjny'!$F$5,$G2929))),COUNT($I$1:I2928)+1,"")</f>
        <v>0</v>
      </c>
    </row>
    <row r="2930" spans="6:9">
      <c r="F2930" s="7">
        <f>IF('W rejestracji'!$C$2937="","",'W rejestracji'!$C$2937)</f>
        <v>0</v>
      </c>
      <c r="G2930" s="7">
        <f>IF(Zarejestrowane!$C$2937="","",Zarejestrowane!$C$2937)</f>
        <v>0</v>
      </c>
      <c r="H2930" s="9">
        <f>IF(AND($F2930&lt;&gt;"",ISNUMBER(SEARCH('Nr rejestracyjny'!$F$5,$F2930))),COUNT($H$1:H2929)+1,"")</f>
        <v>0</v>
      </c>
      <c r="I2930" s="9">
        <f>IF(AND($G2930&lt;&gt;"",ISNUMBER(SEARCH('Nr rejestracyjny'!$F$5,$G2930))),COUNT($I$1:I2929)+1,"")</f>
        <v>0</v>
      </c>
    </row>
    <row r="2931" spans="6:9">
      <c r="F2931" s="7">
        <f>IF('W rejestracji'!$C$2938="","",'W rejestracji'!$C$2938)</f>
        <v>0</v>
      </c>
      <c r="G2931" s="7">
        <f>IF(Zarejestrowane!$C$2938="","",Zarejestrowane!$C$2938)</f>
        <v>0</v>
      </c>
      <c r="H2931" s="9">
        <f>IF(AND($F2931&lt;&gt;"",ISNUMBER(SEARCH('Nr rejestracyjny'!$F$5,$F2931))),COUNT($H$1:H2930)+1,"")</f>
        <v>0</v>
      </c>
      <c r="I2931" s="9">
        <f>IF(AND($G2931&lt;&gt;"",ISNUMBER(SEARCH('Nr rejestracyjny'!$F$5,$G2931))),COUNT($I$1:I2930)+1,"")</f>
        <v>0</v>
      </c>
    </row>
    <row r="2932" spans="6:9">
      <c r="F2932" s="7">
        <f>IF('W rejestracji'!$C$2939="","",'W rejestracji'!$C$2939)</f>
        <v>0</v>
      </c>
      <c r="G2932" s="7">
        <f>IF(Zarejestrowane!$C$2939="","",Zarejestrowane!$C$2939)</f>
        <v>0</v>
      </c>
      <c r="H2932" s="9">
        <f>IF(AND($F2932&lt;&gt;"",ISNUMBER(SEARCH('Nr rejestracyjny'!$F$5,$F2932))),COUNT($H$1:H2931)+1,"")</f>
        <v>0</v>
      </c>
      <c r="I2932" s="9">
        <f>IF(AND($G2932&lt;&gt;"",ISNUMBER(SEARCH('Nr rejestracyjny'!$F$5,$G2932))),COUNT($I$1:I2931)+1,"")</f>
        <v>0</v>
      </c>
    </row>
    <row r="2933" spans="6:9">
      <c r="F2933" s="7">
        <f>IF('W rejestracji'!$C$2940="","",'W rejestracji'!$C$2940)</f>
        <v>0</v>
      </c>
      <c r="G2933" s="7">
        <f>IF(Zarejestrowane!$C$2940="","",Zarejestrowane!$C$2940)</f>
        <v>0</v>
      </c>
      <c r="H2933" s="9">
        <f>IF(AND($F2933&lt;&gt;"",ISNUMBER(SEARCH('Nr rejestracyjny'!$F$5,$F2933))),COUNT($H$1:H2932)+1,"")</f>
        <v>0</v>
      </c>
      <c r="I2933" s="9">
        <f>IF(AND($G2933&lt;&gt;"",ISNUMBER(SEARCH('Nr rejestracyjny'!$F$5,$G2933))),COUNT($I$1:I2932)+1,"")</f>
        <v>0</v>
      </c>
    </row>
    <row r="2934" spans="6:9">
      <c r="F2934" s="7">
        <f>IF('W rejestracji'!$C$2941="","",'W rejestracji'!$C$2941)</f>
        <v>0</v>
      </c>
      <c r="G2934" s="7">
        <f>IF(Zarejestrowane!$C$2941="","",Zarejestrowane!$C$2941)</f>
        <v>0</v>
      </c>
      <c r="H2934" s="9">
        <f>IF(AND($F2934&lt;&gt;"",ISNUMBER(SEARCH('Nr rejestracyjny'!$F$5,$F2934))),COUNT($H$1:H2933)+1,"")</f>
        <v>0</v>
      </c>
      <c r="I2934" s="9">
        <f>IF(AND($G2934&lt;&gt;"",ISNUMBER(SEARCH('Nr rejestracyjny'!$F$5,$G2934))),COUNT($I$1:I2933)+1,"")</f>
        <v>0</v>
      </c>
    </row>
    <row r="2935" spans="6:9">
      <c r="F2935" s="7">
        <f>IF('W rejestracji'!$C$2942="","",'W rejestracji'!$C$2942)</f>
        <v>0</v>
      </c>
      <c r="G2935" s="7">
        <f>IF(Zarejestrowane!$C$2942="","",Zarejestrowane!$C$2942)</f>
        <v>0</v>
      </c>
      <c r="H2935" s="9">
        <f>IF(AND($F2935&lt;&gt;"",ISNUMBER(SEARCH('Nr rejestracyjny'!$F$5,$F2935))),COUNT($H$1:H2934)+1,"")</f>
        <v>0</v>
      </c>
      <c r="I2935" s="9">
        <f>IF(AND($G2935&lt;&gt;"",ISNUMBER(SEARCH('Nr rejestracyjny'!$F$5,$G2935))),COUNT($I$1:I2934)+1,"")</f>
        <v>0</v>
      </c>
    </row>
    <row r="2936" spans="6:9">
      <c r="F2936" s="7">
        <f>IF('W rejestracji'!$C$2943="","",'W rejestracji'!$C$2943)</f>
        <v>0</v>
      </c>
      <c r="G2936" s="7">
        <f>IF(Zarejestrowane!$C$2943="","",Zarejestrowane!$C$2943)</f>
        <v>0</v>
      </c>
      <c r="H2936" s="9">
        <f>IF(AND($F2936&lt;&gt;"",ISNUMBER(SEARCH('Nr rejestracyjny'!$F$5,$F2936))),COUNT($H$1:H2935)+1,"")</f>
        <v>0</v>
      </c>
      <c r="I2936" s="9">
        <f>IF(AND($G2936&lt;&gt;"",ISNUMBER(SEARCH('Nr rejestracyjny'!$F$5,$G2936))),COUNT($I$1:I2935)+1,"")</f>
        <v>0</v>
      </c>
    </row>
    <row r="2937" spans="6:9">
      <c r="F2937" s="7">
        <f>IF('W rejestracji'!$C$2944="","",'W rejestracji'!$C$2944)</f>
        <v>0</v>
      </c>
      <c r="G2937" s="7">
        <f>IF(Zarejestrowane!$C$2944="","",Zarejestrowane!$C$2944)</f>
        <v>0</v>
      </c>
      <c r="H2937" s="9">
        <f>IF(AND($F2937&lt;&gt;"",ISNUMBER(SEARCH('Nr rejestracyjny'!$F$5,$F2937))),COUNT($H$1:H2936)+1,"")</f>
        <v>0</v>
      </c>
      <c r="I2937" s="9">
        <f>IF(AND($G2937&lt;&gt;"",ISNUMBER(SEARCH('Nr rejestracyjny'!$F$5,$G2937))),COUNT($I$1:I2936)+1,"")</f>
        <v>0</v>
      </c>
    </row>
    <row r="2938" spans="6:9">
      <c r="F2938" s="7">
        <f>IF('W rejestracji'!$C$2945="","",'W rejestracji'!$C$2945)</f>
        <v>0</v>
      </c>
      <c r="G2938" s="7">
        <f>IF(Zarejestrowane!$C$2945="","",Zarejestrowane!$C$2945)</f>
        <v>0</v>
      </c>
      <c r="H2938" s="9">
        <f>IF(AND($F2938&lt;&gt;"",ISNUMBER(SEARCH('Nr rejestracyjny'!$F$5,$F2938))),COUNT($H$1:H2937)+1,"")</f>
        <v>0</v>
      </c>
      <c r="I2938" s="9">
        <f>IF(AND($G2938&lt;&gt;"",ISNUMBER(SEARCH('Nr rejestracyjny'!$F$5,$G2938))),COUNT($I$1:I2937)+1,"")</f>
        <v>0</v>
      </c>
    </row>
    <row r="2939" spans="6:9">
      <c r="F2939" s="7">
        <f>IF('W rejestracji'!$C$2946="","",'W rejestracji'!$C$2946)</f>
        <v>0</v>
      </c>
      <c r="G2939" s="7">
        <f>IF(Zarejestrowane!$C$2946="","",Zarejestrowane!$C$2946)</f>
        <v>0</v>
      </c>
      <c r="H2939" s="9">
        <f>IF(AND($F2939&lt;&gt;"",ISNUMBER(SEARCH('Nr rejestracyjny'!$F$5,$F2939))),COUNT($H$1:H2938)+1,"")</f>
        <v>0</v>
      </c>
      <c r="I2939" s="9">
        <f>IF(AND($G2939&lt;&gt;"",ISNUMBER(SEARCH('Nr rejestracyjny'!$F$5,$G2939))),COUNT($I$1:I2938)+1,"")</f>
        <v>0</v>
      </c>
    </row>
    <row r="2940" spans="6:9">
      <c r="F2940" s="7">
        <f>IF('W rejestracji'!$C$2947="","",'W rejestracji'!$C$2947)</f>
        <v>0</v>
      </c>
      <c r="G2940" s="7">
        <f>IF(Zarejestrowane!$C$2947="","",Zarejestrowane!$C$2947)</f>
        <v>0</v>
      </c>
      <c r="H2940" s="9">
        <f>IF(AND($F2940&lt;&gt;"",ISNUMBER(SEARCH('Nr rejestracyjny'!$F$5,$F2940))),COUNT($H$1:H2939)+1,"")</f>
        <v>0</v>
      </c>
      <c r="I2940" s="9">
        <f>IF(AND($G2940&lt;&gt;"",ISNUMBER(SEARCH('Nr rejestracyjny'!$F$5,$G2940))),COUNT($I$1:I2939)+1,"")</f>
        <v>0</v>
      </c>
    </row>
    <row r="2941" spans="6:9">
      <c r="F2941" s="7">
        <f>IF('W rejestracji'!$C$2948="","",'W rejestracji'!$C$2948)</f>
        <v>0</v>
      </c>
      <c r="G2941" s="7">
        <f>IF(Zarejestrowane!$C$2948="","",Zarejestrowane!$C$2948)</f>
        <v>0</v>
      </c>
      <c r="H2941" s="9">
        <f>IF(AND($F2941&lt;&gt;"",ISNUMBER(SEARCH('Nr rejestracyjny'!$F$5,$F2941))),COUNT($H$1:H2940)+1,"")</f>
        <v>0</v>
      </c>
      <c r="I2941" s="9">
        <f>IF(AND($G2941&lt;&gt;"",ISNUMBER(SEARCH('Nr rejestracyjny'!$F$5,$G2941))),COUNT($I$1:I2940)+1,"")</f>
        <v>0</v>
      </c>
    </row>
    <row r="2942" spans="6:9">
      <c r="F2942" s="7">
        <f>IF('W rejestracji'!$C$2949="","",'W rejestracji'!$C$2949)</f>
        <v>0</v>
      </c>
      <c r="G2942" s="7">
        <f>IF(Zarejestrowane!$C$2949="","",Zarejestrowane!$C$2949)</f>
        <v>0</v>
      </c>
      <c r="H2942" s="9">
        <f>IF(AND($F2942&lt;&gt;"",ISNUMBER(SEARCH('Nr rejestracyjny'!$F$5,$F2942))),COUNT($H$1:H2941)+1,"")</f>
        <v>0</v>
      </c>
      <c r="I2942" s="9">
        <f>IF(AND($G2942&lt;&gt;"",ISNUMBER(SEARCH('Nr rejestracyjny'!$F$5,$G2942))),COUNT($I$1:I2941)+1,"")</f>
        <v>0</v>
      </c>
    </row>
    <row r="2943" spans="6:9">
      <c r="F2943" s="7">
        <f>IF('W rejestracji'!$C$2950="","",'W rejestracji'!$C$2950)</f>
        <v>0</v>
      </c>
      <c r="G2943" s="7">
        <f>IF(Zarejestrowane!$C$2950="","",Zarejestrowane!$C$2950)</f>
        <v>0</v>
      </c>
      <c r="H2943" s="9">
        <f>IF(AND($F2943&lt;&gt;"",ISNUMBER(SEARCH('Nr rejestracyjny'!$F$5,$F2943))),COUNT($H$1:H2942)+1,"")</f>
        <v>0</v>
      </c>
      <c r="I2943" s="9">
        <f>IF(AND($G2943&lt;&gt;"",ISNUMBER(SEARCH('Nr rejestracyjny'!$F$5,$G2943))),COUNT($I$1:I2942)+1,"")</f>
        <v>0</v>
      </c>
    </row>
    <row r="2944" spans="6:9">
      <c r="F2944" s="7">
        <f>IF('W rejestracji'!$C$2951="","",'W rejestracji'!$C$2951)</f>
        <v>0</v>
      </c>
      <c r="G2944" s="7">
        <f>IF(Zarejestrowane!$C$2951="","",Zarejestrowane!$C$2951)</f>
        <v>0</v>
      </c>
      <c r="H2944" s="9">
        <f>IF(AND($F2944&lt;&gt;"",ISNUMBER(SEARCH('Nr rejestracyjny'!$F$5,$F2944))),COUNT($H$1:H2943)+1,"")</f>
        <v>0</v>
      </c>
      <c r="I2944" s="9">
        <f>IF(AND($G2944&lt;&gt;"",ISNUMBER(SEARCH('Nr rejestracyjny'!$F$5,$G2944))),COUNT($I$1:I2943)+1,"")</f>
        <v>0</v>
      </c>
    </row>
    <row r="2945" spans="6:9">
      <c r="F2945" s="7">
        <f>IF('W rejestracji'!$C$2952="","",'W rejestracji'!$C$2952)</f>
        <v>0</v>
      </c>
      <c r="G2945" s="7">
        <f>IF(Zarejestrowane!$C$2952="","",Zarejestrowane!$C$2952)</f>
        <v>0</v>
      </c>
      <c r="H2945" s="9">
        <f>IF(AND($F2945&lt;&gt;"",ISNUMBER(SEARCH('Nr rejestracyjny'!$F$5,$F2945))),COUNT($H$1:H2944)+1,"")</f>
        <v>0</v>
      </c>
      <c r="I2945" s="9">
        <f>IF(AND($G2945&lt;&gt;"",ISNUMBER(SEARCH('Nr rejestracyjny'!$F$5,$G2945))),COUNT($I$1:I2944)+1,"")</f>
        <v>0</v>
      </c>
    </row>
    <row r="2946" spans="6:9">
      <c r="F2946" s="7">
        <f>IF('W rejestracji'!$C$2953="","",'W rejestracji'!$C$2953)</f>
        <v>0</v>
      </c>
      <c r="G2946" s="7">
        <f>IF(Zarejestrowane!$C$2953="","",Zarejestrowane!$C$2953)</f>
        <v>0</v>
      </c>
      <c r="H2946" s="9">
        <f>IF(AND($F2946&lt;&gt;"",ISNUMBER(SEARCH('Nr rejestracyjny'!$F$5,$F2946))),COUNT($H$1:H2945)+1,"")</f>
        <v>0</v>
      </c>
      <c r="I2946" s="9">
        <f>IF(AND($G2946&lt;&gt;"",ISNUMBER(SEARCH('Nr rejestracyjny'!$F$5,$G2946))),COUNT($I$1:I2945)+1,"")</f>
        <v>0</v>
      </c>
    </row>
    <row r="2947" spans="6:9">
      <c r="F2947" s="7">
        <f>IF('W rejestracji'!$C$2954="","",'W rejestracji'!$C$2954)</f>
        <v>0</v>
      </c>
      <c r="G2947" s="7">
        <f>IF(Zarejestrowane!$C$2954="","",Zarejestrowane!$C$2954)</f>
        <v>0</v>
      </c>
      <c r="H2947" s="9">
        <f>IF(AND($F2947&lt;&gt;"",ISNUMBER(SEARCH('Nr rejestracyjny'!$F$5,$F2947))),COUNT($H$1:H2946)+1,"")</f>
        <v>0</v>
      </c>
      <c r="I2947" s="9">
        <f>IF(AND($G2947&lt;&gt;"",ISNUMBER(SEARCH('Nr rejestracyjny'!$F$5,$G2947))),COUNT($I$1:I2946)+1,"")</f>
        <v>0</v>
      </c>
    </row>
    <row r="2948" spans="6:9">
      <c r="F2948" s="7">
        <f>IF('W rejestracji'!$C$2955="","",'W rejestracji'!$C$2955)</f>
        <v>0</v>
      </c>
      <c r="G2948" s="7">
        <f>IF(Zarejestrowane!$C$2955="","",Zarejestrowane!$C$2955)</f>
        <v>0</v>
      </c>
      <c r="H2948" s="9">
        <f>IF(AND($F2948&lt;&gt;"",ISNUMBER(SEARCH('Nr rejestracyjny'!$F$5,$F2948))),COUNT($H$1:H2947)+1,"")</f>
        <v>0</v>
      </c>
      <c r="I2948" s="9">
        <f>IF(AND($G2948&lt;&gt;"",ISNUMBER(SEARCH('Nr rejestracyjny'!$F$5,$G2948))),COUNT($I$1:I2947)+1,"")</f>
        <v>0</v>
      </c>
    </row>
    <row r="2949" spans="6:9">
      <c r="F2949" s="7">
        <f>IF('W rejestracji'!$C$2956="","",'W rejestracji'!$C$2956)</f>
        <v>0</v>
      </c>
      <c r="G2949" s="7">
        <f>IF(Zarejestrowane!$C$2956="","",Zarejestrowane!$C$2956)</f>
        <v>0</v>
      </c>
      <c r="H2949" s="9">
        <f>IF(AND($F2949&lt;&gt;"",ISNUMBER(SEARCH('Nr rejestracyjny'!$F$5,$F2949))),COUNT($H$1:H2948)+1,"")</f>
        <v>0</v>
      </c>
      <c r="I2949" s="9">
        <f>IF(AND($G2949&lt;&gt;"",ISNUMBER(SEARCH('Nr rejestracyjny'!$F$5,$G2949))),COUNT($I$1:I2948)+1,"")</f>
        <v>0</v>
      </c>
    </row>
    <row r="2950" spans="6:9">
      <c r="F2950" s="7">
        <f>IF('W rejestracji'!$C$2957="","",'W rejestracji'!$C$2957)</f>
        <v>0</v>
      </c>
      <c r="G2950" s="7">
        <f>IF(Zarejestrowane!$C$2957="","",Zarejestrowane!$C$2957)</f>
        <v>0</v>
      </c>
      <c r="H2950" s="9">
        <f>IF(AND($F2950&lt;&gt;"",ISNUMBER(SEARCH('Nr rejestracyjny'!$F$5,$F2950))),COUNT($H$1:H2949)+1,"")</f>
        <v>0</v>
      </c>
      <c r="I2950" s="9">
        <f>IF(AND($G2950&lt;&gt;"",ISNUMBER(SEARCH('Nr rejestracyjny'!$F$5,$G2950))),COUNT($I$1:I2949)+1,"")</f>
        <v>0</v>
      </c>
    </row>
    <row r="2951" spans="6:9">
      <c r="F2951" s="7">
        <f>IF('W rejestracji'!$C$2958="","",'W rejestracji'!$C$2958)</f>
        <v>0</v>
      </c>
      <c r="G2951" s="7">
        <f>IF(Zarejestrowane!$C$2958="","",Zarejestrowane!$C$2958)</f>
        <v>0</v>
      </c>
      <c r="H2951" s="9">
        <f>IF(AND($F2951&lt;&gt;"",ISNUMBER(SEARCH('Nr rejestracyjny'!$F$5,$F2951))),COUNT($H$1:H2950)+1,"")</f>
        <v>0</v>
      </c>
      <c r="I2951" s="9">
        <f>IF(AND($G2951&lt;&gt;"",ISNUMBER(SEARCH('Nr rejestracyjny'!$F$5,$G2951))),COUNT($I$1:I2950)+1,"")</f>
        <v>0</v>
      </c>
    </row>
    <row r="2952" spans="6:9">
      <c r="F2952" s="7">
        <f>IF('W rejestracji'!$C$2959="","",'W rejestracji'!$C$2959)</f>
        <v>0</v>
      </c>
      <c r="G2952" s="7">
        <f>IF(Zarejestrowane!$C$2959="","",Zarejestrowane!$C$2959)</f>
        <v>0</v>
      </c>
      <c r="H2952" s="9">
        <f>IF(AND($F2952&lt;&gt;"",ISNUMBER(SEARCH('Nr rejestracyjny'!$F$5,$F2952))),COUNT($H$1:H2951)+1,"")</f>
        <v>0</v>
      </c>
      <c r="I2952" s="9">
        <f>IF(AND($G2952&lt;&gt;"",ISNUMBER(SEARCH('Nr rejestracyjny'!$F$5,$G2952))),COUNT($I$1:I2951)+1,"")</f>
        <v>0</v>
      </c>
    </row>
    <row r="2953" spans="6:9">
      <c r="F2953" s="7">
        <f>IF('W rejestracji'!$C$2960="","",'W rejestracji'!$C$2960)</f>
        <v>0</v>
      </c>
      <c r="G2953" s="7">
        <f>IF(Zarejestrowane!$C$2960="","",Zarejestrowane!$C$2960)</f>
        <v>0</v>
      </c>
      <c r="H2953" s="9">
        <f>IF(AND($F2953&lt;&gt;"",ISNUMBER(SEARCH('Nr rejestracyjny'!$F$5,$F2953))),COUNT($H$1:H2952)+1,"")</f>
        <v>0</v>
      </c>
      <c r="I2953" s="9">
        <f>IF(AND($G2953&lt;&gt;"",ISNUMBER(SEARCH('Nr rejestracyjny'!$F$5,$G2953))),COUNT($I$1:I2952)+1,"")</f>
        <v>0</v>
      </c>
    </row>
    <row r="2954" spans="6:9">
      <c r="F2954" s="7">
        <f>IF('W rejestracji'!$C$2961="","",'W rejestracji'!$C$2961)</f>
        <v>0</v>
      </c>
      <c r="G2954" s="7">
        <f>IF(Zarejestrowane!$C$2961="","",Zarejestrowane!$C$2961)</f>
        <v>0</v>
      </c>
      <c r="H2954" s="9">
        <f>IF(AND($F2954&lt;&gt;"",ISNUMBER(SEARCH('Nr rejestracyjny'!$F$5,$F2954))),COUNT($H$1:H2953)+1,"")</f>
        <v>0</v>
      </c>
      <c r="I2954" s="9">
        <f>IF(AND($G2954&lt;&gt;"",ISNUMBER(SEARCH('Nr rejestracyjny'!$F$5,$G2954))),COUNT($I$1:I2953)+1,"")</f>
        <v>0</v>
      </c>
    </row>
    <row r="2955" spans="6:9">
      <c r="F2955" s="7">
        <f>IF('W rejestracji'!$C$2962="","",'W rejestracji'!$C$2962)</f>
        <v>0</v>
      </c>
      <c r="G2955" s="7">
        <f>IF(Zarejestrowane!$C$2962="","",Zarejestrowane!$C$2962)</f>
        <v>0</v>
      </c>
      <c r="H2955" s="9">
        <f>IF(AND($F2955&lt;&gt;"",ISNUMBER(SEARCH('Nr rejestracyjny'!$F$5,$F2955))),COUNT($H$1:H2954)+1,"")</f>
        <v>0</v>
      </c>
      <c r="I2955" s="9">
        <f>IF(AND($G2955&lt;&gt;"",ISNUMBER(SEARCH('Nr rejestracyjny'!$F$5,$G2955))),COUNT($I$1:I2954)+1,"")</f>
        <v>0</v>
      </c>
    </row>
    <row r="2956" spans="6:9">
      <c r="F2956" s="7">
        <f>IF('W rejestracji'!$C$2963="","",'W rejestracji'!$C$2963)</f>
        <v>0</v>
      </c>
      <c r="G2956" s="7">
        <f>IF(Zarejestrowane!$C$2963="","",Zarejestrowane!$C$2963)</f>
        <v>0</v>
      </c>
      <c r="H2956" s="9">
        <f>IF(AND($F2956&lt;&gt;"",ISNUMBER(SEARCH('Nr rejestracyjny'!$F$5,$F2956))),COUNT($H$1:H2955)+1,"")</f>
        <v>0</v>
      </c>
      <c r="I2956" s="9">
        <f>IF(AND($G2956&lt;&gt;"",ISNUMBER(SEARCH('Nr rejestracyjny'!$F$5,$G2956))),COUNT($I$1:I2955)+1,"")</f>
        <v>0</v>
      </c>
    </row>
    <row r="2957" spans="6:9">
      <c r="F2957" s="7">
        <f>IF('W rejestracji'!$C$2964="","",'W rejestracji'!$C$2964)</f>
        <v>0</v>
      </c>
      <c r="G2957" s="7">
        <f>IF(Zarejestrowane!$C$2964="","",Zarejestrowane!$C$2964)</f>
        <v>0</v>
      </c>
      <c r="H2957" s="9">
        <f>IF(AND($F2957&lt;&gt;"",ISNUMBER(SEARCH('Nr rejestracyjny'!$F$5,$F2957))),COUNT($H$1:H2956)+1,"")</f>
        <v>0</v>
      </c>
      <c r="I2957" s="9">
        <f>IF(AND($G2957&lt;&gt;"",ISNUMBER(SEARCH('Nr rejestracyjny'!$F$5,$G2957))),COUNT($I$1:I2956)+1,"")</f>
        <v>0</v>
      </c>
    </row>
    <row r="2958" spans="6:9">
      <c r="F2958" s="7">
        <f>IF('W rejestracji'!$C$2965="","",'W rejestracji'!$C$2965)</f>
        <v>0</v>
      </c>
      <c r="G2958" s="7">
        <f>IF(Zarejestrowane!$C$2965="","",Zarejestrowane!$C$2965)</f>
        <v>0</v>
      </c>
      <c r="H2958" s="9">
        <f>IF(AND($F2958&lt;&gt;"",ISNUMBER(SEARCH('Nr rejestracyjny'!$F$5,$F2958))),COUNT($H$1:H2957)+1,"")</f>
        <v>0</v>
      </c>
      <c r="I2958" s="9">
        <f>IF(AND($G2958&lt;&gt;"",ISNUMBER(SEARCH('Nr rejestracyjny'!$F$5,$G2958))),COUNT($I$1:I2957)+1,"")</f>
        <v>0</v>
      </c>
    </row>
    <row r="2959" spans="6:9">
      <c r="F2959" s="7">
        <f>IF('W rejestracji'!$C$2966="","",'W rejestracji'!$C$2966)</f>
        <v>0</v>
      </c>
      <c r="G2959" s="7">
        <f>IF(Zarejestrowane!$C$2966="","",Zarejestrowane!$C$2966)</f>
        <v>0</v>
      </c>
      <c r="H2959" s="9">
        <f>IF(AND($F2959&lt;&gt;"",ISNUMBER(SEARCH('Nr rejestracyjny'!$F$5,$F2959))),COUNT($H$1:H2958)+1,"")</f>
        <v>0</v>
      </c>
      <c r="I2959" s="9">
        <f>IF(AND($G2959&lt;&gt;"",ISNUMBER(SEARCH('Nr rejestracyjny'!$F$5,$G2959))),COUNT($I$1:I2958)+1,"")</f>
        <v>0</v>
      </c>
    </row>
    <row r="2960" spans="6:9">
      <c r="F2960" s="7">
        <f>IF('W rejestracji'!$C$2967="","",'W rejestracji'!$C$2967)</f>
        <v>0</v>
      </c>
      <c r="G2960" s="7">
        <f>IF(Zarejestrowane!$C$2967="","",Zarejestrowane!$C$2967)</f>
        <v>0</v>
      </c>
      <c r="H2960" s="9">
        <f>IF(AND($F2960&lt;&gt;"",ISNUMBER(SEARCH('Nr rejestracyjny'!$F$5,$F2960))),COUNT($H$1:H2959)+1,"")</f>
        <v>0</v>
      </c>
      <c r="I2960" s="9">
        <f>IF(AND($G2960&lt;&gt;"",ISNUMBER(SEARCH('Nr rejestracyjny'!$F$5,$G2960))),COUNT($I$1:I2959)+1,"")</f>
        <v>0</v>
      </c>
    </row>
    <row r="2961" spans="6:9">
      <c r="F2961" s="7">
        <f>IF('W rejestracji'!$C$2968="","",'W rejestracji'!$C$2968)</f>
        <v>0</v>
      </c>
      <c r="G2961" s="7">
        <f>IF(Zarejestrowane!$C$2968="","",Zarejestrowane!$C$2968)</f>
        <v>0</v>
      </c>
      <c r="H2961" s="9">
        <f>IF(AND($F2961&lt;&gt;"",ISNUMBER(SEARCH('Nr rejestracyjny'!$F$5,$F2961))),COUNT($H$1:H2960)+1,"")</f>
        <v>0</v>
      </c>
      <c r="I2961" s="9">
        <f>IF(AND($G2961&lt;&gt;"",ISNUMBER(SEARCH('Nr rejestracyjny'!$F$5,$G2961))),COUNT($I$1:I2960)+1,"")</f>
        <v>0</v>
      </c>
    </row>
    <row r="2962" spans="6:9">
      <c r="F2962" s="7">
        <f>IF('W rejestracji'!$C$2969="","",'W rejestracji'!$C$2969)</f>
        <v>0</v>
      </c>
      <c r="G2962" s="7">
        <f>IF(Zarejestrowane!$C$2969="","",Zarejestrowane!$C$2969)</f>
        <v>0</v>
      </c>
      <c r="H2962" s="9">
        <f>IF(AND($F2962&lt;&gt;"",ISNUMBER(SEARCH('Nr rejestracyjny'!$F$5,$F2962))),COUNT($H$1:H2961)+1,"")</f>
        <v>0</v>
      </c>
      <c r="I2962" s="9">
        <f>IF(AND($G2962&lt;&gt;"",ISNUMBER(SEARCH('Nr rejestracyjny'!$F$5,$G2962))),COUNT($I$1:I2961)+1,"")</f>
        <v>0</v>
      </c>
    </row>
    <row r="2963" spans="6:9">
      <c r="F2963" s="7">
        <f>IF('W rejestracji'!$C$2970="","",'W rejestracji'!$C$2970)</f>
        <v>0</v>
      </c>
      <c r="G2963" s="7">
        <f>IF(Zarejestrowane!$C$2970="","",Zarejestrowane!$C$2970)</f>
        <v>0</v>
      </c>
      <c r="H2963" s="9">
        <f>IF(AND($F2963&lt;&gt;"",ISNUMBER(SEARCH('Nr rejestracyjny'!$F$5,$F2963))),COUNT($H$1:H2962)+1,"")</f>
        <v>0</v>
      </c>
      <c r="I2963" s="9">
        <f>IF(AND($G2963&lt;&gt;"",ISNUMBER(SEARCH('Nr rejestracyjny'!$F$5,$G2963))),COUNT($I$1:I2962)+1,"")</f>
        <v>0</v>
      </c>
    </row>
    <row r="2964" spans="6:9">
      <c r="F2964" s="7">
        <f>IF('W rejestracji'!$C$2971="","",'W rejestracji'!$C$2971)</f>
        <v>0</v>
      </c>
      <c r="G2964" s="7">
        <f>IF(Zarejestrowane!$C$2971="","",Zarejestrowane!$C$2971)</f>
        <v>0</v>
      </c>
      <c r="H2964" s="9">
        <f>IF(AND($F2964&lt;&gt;"",ISNUMBER(SEARCH('Nr rejestracyjny'!$F$5,$F2964))),COUNT($H$1:H2963)+1,"")</f>
        <v>0</v>
      </c>
      <c r="I2964" s="9">
        <f>IF(AND($G2964&lt;&gt;"",ISNUMBER(SEARCH('Nr rejestracyjny'!$F$5,$G2964))),COUNT($I$1:I2963)+1,"")</f>
        <v>0</v>
      </c>
    </row>
    <row r="2965" spans="6:9">
      <c r="F2965" s="7">
        <f>IF('W rejestracji'!$C$2972="","",'W rejestracji'!$C$2972)</f>
        <v>0</v>
      </c>
      <c r="G2965" s="7">
        <f>IF(Zarejestrowane!$C$2972="","",Zarejestrowane!$C$2972)</f>
        <v>0</v>
      </c>
      <c r="H2965" s="9">
        <f>IF(AND($F2965&lt;&gt;"",ISNUMBER(SEARCH('Nr rejestracyjny'!$F$5,$F2965))),COUNT($H$1:H2964)+1,"")</f>
        <v>0</v>
      </c>
      <c r="I2965" s="9">
        <f>IF(AND($G2965&lt;&gt;"",ISNUMBER(SEARCH('Nr rejestracyjny'!$F$5,$G2965))),COUNT($I$1:I2964)+1,"")</f>
        <v>0</v>
      </c>
    </row>
    <row r="2966" spans="6:9">
      <c r="F2966" s="7">
        <f>IF('W rejestracji'!$C$2973="","",'W rejestracji'!$C$2973)</f>
        <v>0</v>
      </c>
      <c r="G2966" s="7">
        <f>IF(Zarejestrowane!$C$2973="","",Zarejestrowane!$C$2973)</f>
        <v>0</v>
      </c>
      <c r="H2966" s="9">
        <f>IF(AND($F2966&lt;&gt;"",ISNUMBER(SEARCH('Nr rejestracyjny'!$F$5,$F2966))),COUNT($H$1:H2965)+1,"")</f>
        <v>0</v>
      </c>
      <c r="I2966" s="9">
        <f>IF(AND($G2966&lt;&gt;"",ISNUMBER(SEARCH('Nr rejestracyjny'!$F$5,$G2966))),COUNT($I$1:I2965)+1,"")</f>
        <v>0</v>
      </c>
    </row>
    <row r="2967" spans="6:9">
      <c r="F2967" s="7">
        <f>IF('W rejestracji'!$C$2974="","",'W rejestracji'!$C$2974)</f>
        <v>0</v>
      </c>
      <c r="G2967" s="7">
        <f>IF(Zarejestrowane!$C$2974="","",Zarejestrowane!$C$2974)</f>
        <v>0</v>
      </c>
      <c r="H2967" s="9">
        <f>IF(AND($F2967&lt;&gt;"",ISNUMBER(SEARCH('Nr rejestracyjny'!$F$5,$F2967))),COUNT($H$1:H2966)+1,"")</f>
        <v>0</v>
      </c>
      <c r="I2967" s="9">
        <f>IF(AND($G2967&lt;&gt;"",ISNUMBER(SEARCH('Nr rejestracyjny'!$F$5,$G2967))),COUNT($I$1:I2966)+1,"")</f>
        <v>0</v>
      </c>
    </row>
    <row r="2968" spans="6:9">
      <c r="F2968" s="7">
        <f>IF('W rejestracji'!$C$2975="","",'W rejestracji'!$C$2975)</f>
        <v>0</v>
      </c>
      <c r="G2968" s="7">
        <f>IF(Zarejestrowane!$C$2975="","",Zarejestrowane!$C$2975)</f>
        <v>0</v>
      </c>
      <c r="H2968" s="9">
        <f>IF(AND($F2968&lt;&gt;"",ISNUMBER(SEARCH('Nr rejestracyjny'!$F$5,$F2968))),COUNT($H$1:H2967)+1,"")</f>
        <v>0</v>
      </c>
      <c r="I2968" s="9">
        <f>IF(AND($G2968&lt;&gt;"",ISNUMBER(SEARCH('Nr rejestracyjny'!$F$5,$G2968))),COUNT($I$1:I2967)+1,"")</f>
        <v>0</v>
      </c>
    </row>
    <row r="2969" spans="6:9">
      <c r="F2969" s="7">
        <f>IF('W rejestracji'!$C$2976="","",'W rejestracji'!$C$2976)</f>
        <v>0</v>
      </c>
      <c r="G2969" s="7">
        <f>IF(Zarejestrowane!$C$2976="","",Zarejestrowane!$C$2976)</f>
        <v>0</v>
      </c>
      <c r="H2969" s="9">
        <f>IF(AND($F2969&lt;&gt;"",ISNUMBER(SEARCH('Nr rejestracyjny'!$F$5,$F2969))),COUNT($H$1:H2968)+1,"")</f>
        <v>0</v>
      </c>
      <c r="I2969" s="9">
        <f>IF(AND($G2969&lt;&gt;"",ISNUMBER(SEARCH('Nr rejestracyjny'!$F$5,$G2969))),COUNT($I$1:I2968)+1,"")</f>
        <v>0</v>
      </c>
    </row>
    <row r="2970" spans="6:9">
      <c r="F2970" s="7">
        <f>IF('W rejestracji'!$C$2977="","",'W rejestracji'!$C$2977)</f>
        <v>0</v>
      </c>
      <c r="G2970" s="7">
        <f>IF(Zarejestrowane!$C$2977="","",Zarejestrowane!$C$2977)</f>
        <v>0</v>
      </c>
      <c r="H2970" s="9">
        <f>IF(AND($F2970&lt;&gt;"",ISNUMBER(SEARCH('Nr rejestracyjny'!$F$5,$F2970))),COUNT($H$1:H2969)+1,"")</f>
        <v>0</v>
      </c>
      <c r="I2970" s="9">
        <f>IF(AND($G2970&lt;&gt;"",ISNUMBER(SEARCH('Nr rejestracyjny'!$F$5,$G2970))),COUNT($I$1:I2969)+1,"")</f>
        <v>0</v>
      </c>
    </row>
    <row r="2971" spans="6:9">
      <c r="F2971" s="7">
        <f>IF('W rejestracji'!$C$2978="","",'W rejestracji'!$C$2978)</f>
        <v>0</v>
      </c>
      <c r="G2971" s="7">
        <f>IF(Zarejestrowane!$C$2978="","",Zarejestrowane!$C$2978)</f>
        <v>0</v>
      </c>
      <c r="H2971" s="9">
        <f>IF(AND($F2971&lt;&gt;"",ISNUMBER(SEARCH('Nr rejestracyjny'!$F$5,$F2971))),COUNT($H$1:H2970)+1,"")</f>
        <v>0</v>
      </c>
      <c r="I2971" s="9">
        <f>IF(AND($G2971&lt;&gt;"",ISNUMBER(SEARCH('Nr rejestracyjny'!$F$5,$G2971))),COUNT($I$1:I2970)+1,"")</f>
        <v>0</v>
      </c>
    </row>
    <row r="2972" spans="6:9">
      <c r="F2972" s="7">
        <f>IF('W rejestracji'!$C$2979="","",'W rejestracji'!$C$2979)</f>
        <v>0</v>
      </c>
      <c r="G2972" s="7">
        <f>IF(Zarejestrowane!$C$2979="","",Zarejestrowane!$C$2979)</f>
        <v>0</v>
      </c>
      <c r="H2972" s="9">
        <f>IF(AND($F2972&lt;&gt;"",ISNUMBER(SEARCH('Nr rejestracyjny'!$F$5,$F2972))),COUNT($H$1:H2971)+1,"")</f>
        <v>0</v>
      </c>
      <c r="I2972" s="9">
        <f>IF(AND($G2972&lt;&gt;"",ISNUMBER(SEARCH('Nr rejestracyjny'!$F$5,$G2972))),COUNT($I$1:I2971)+1,"")</f>
        <v>0</v>
      </c>
    </row>
    <row r="2973" spans="6:9">
      <c r="F2973" s="7">
        <f>IF('W rejestracji'!$C$2980="","",'W rejestracji'!$C$2980)</f>
        <v>0</v>
      </c>
      <c r="G2973" s="7">
        <f>IF(Zarejestrowane!$C$2980="","",Zarejestrowane!$C$2980)</f>
        <v>0</v>
      </c>
      <c r="H2973" s="9">
        <f>IF(AND($F2973&lt;&gt;"",ISNUMBER(SEARCH('Nr rejestracyjny'!$F$5,$F2973))),COUNT($H$1:H2972)+1,"")</f>
        <v>0</v>
      </c>
      <c r="I2973" s="9">
        <f>IF(AND($G2973&lt;&gt;"",ISNUMBER(SEARCH('Nr rejestracyjny'!$F$5,$G2973))),COUNT($I$1:I2972)+1,"")</f>
        <v>0</v>
      </c>
    </row>
    <row r="2974" spans="6:9">
      <c r="F2974" s="7">
        <f>IF('W rejestracji'!$C$2981="","",'W rejestracji'!$C$2981)</f>
        <v>0</v>
      </c>
      <c r="G2974" s="7">
        <f>IF(Zarejestrowane!$C$2981="","",Zarejestrowane!$C$2981)</f>
        <v>0</v>
      </c>
      <c r="H2974" s="9">
        <f>IF(AND($F2974&lt;&gt;"",ISNUMBER(SEARCH('Nr rejestracyjny'!$F$5,$F2974))),COUNT($H$1:H2973)+1,"")</f>
        <v>0</v>
      </c>
      <c r="I2974" s="9">
        <f>IF(AND($G2974&lt;&gt;"",ISNUMBER(SEARCH('Nr rejestracyjny'!$F$5,$G2974))),COUNT($I$1:I2973)+1,"")</f>
        <v>0</v>
      </c>
    </row>
    <row r="2975" spans="6:9">
      <c r="F2975" s="7">
        <f>IF('W rejestracji'!$C$2982="","",'W rejestracji'!$C$2982)</f>
        <v>0</v>
      </c>
      <c r="G2975" s="7">
        <f>IF(Zarejestrowane!$C$2982="","",Zarejestrowane!$C$2982)</f>
        <v>0</v>
      </c>
      <c r="H2975" s="9">
        <f>IF(AND($F2975&lt;&gt;"",ISNUMBER(SEARCH('Nr rejestracyjny'!$F$5,$F2975))),COUNT($H$1:H2974)+1,"")</f>
        <v>0</v>
      </c>
      <c r="I2975" s="9">
        <f>IF(AND($G2975&lt;&gt;"",ISNUMBER(SEARCH('Nr rejestracyjny'!$F$5,$G2975))),COUNT($I$1:I2974)+1,"")</f>
        <v>0</v>
      </c>
    </row>
    <row r="2976" spans="6:9">
      <c r="F2976" s="7">
        <f>IF('W rejestracji'!$C$2983="","",'W rejestracji'!$C$2983)</f>
        <v>0</v>
      </c>
      <c r="G2976" s="7">
        <f>IF(Zarejestrowane!$C$2983="","",Zarejestrowane!$C$2983)</f>
        <v>0</v>
      </c>
      <c r="H2976" s="9">
        <f>IF(AND($F2976&lt;&gt;"",ISNUMBER(SEARCH('Nr rejestracyjny'!$F$5,$F2976))),COUNT($H$1:H2975)+1,"")</f>
        <v>0</v>
      </c>
      <c r="I2976" s="9">
        <f>IF(AND($G2976&lt;&gt;"",ISNUMBER(SEARCH('Nr rejestracyjny'!$F$5,$G2976))),COUNT($I$1:I2975)+1,"")</f>
        <v>0</v>
      </c>
    </row>
    <row r="2977" spans="6:9">
      <c r="F2977" s="7">
        <f>IF('W rejestracji'!$C$2984="","",'W rejestracji'!$C$2984)</f>
        <v>0</v>
      </c>
      <c r="G2977" s="7">
        <f>IF(Zarejestrowane!$C$2984="","",Zarejestrowane!$C$2984)</f>
        <v>0</v>
      </c>
      <c r="H2977" s="9">
        <f>IF(AND($F2977&lt;&gt;"",ISNUMBER(SEARCH('Nr rejestracyjny'!$F$5,$F2977))),COUNT($H$1:H2976)+1,"")</f>
        <v>0</v>
      </c>
      <c r="I2977" s="9">
        <f>IF(AND($G2977&lt;&gt;"",ISNUMBER(SEARCH('Nr rejestracyjny'!$F$5,$G2977))),COUNT($I$1:I2976)+1,"")</f>
        <v>0</v>
      </c>
    </row>
    <row r="2978" spans="6:9">
      <c r="F2978" s="7">
        <f>IF('W rejestracji'!$C$2985="","",'W rejestracji'!$C$2985)</f>
        <v>0</v>
      </c>
      <c r="G2978" s="7">
        <f>IF(Zarejestrowane!$C$2985="","",Zarejestrowane!$C$2985)</f>
        <v>0</v>
      </c>
      <c r="H2978" s="9">
        <f>IF(AND($F2978&lt;&gt;"",ISNUMBER(SEARCH('Nr rejestracyjny'!$F$5,$F2978))),COUNT($H$1:H2977)+1,"")</f>
        <v>0</v>
      </c>
      <c r="I2978" s="9">
        <f>IF(AND($G2978&lt;&gt;"",ISNUMBER(SEARCH('Nr rejestracyjny'!$F$5,$G2978))),COUNT($I$1:I2977)+1,"")</f>
        <v>0</v>
      </c>
    </row>
    <row r="2979" spans="6:9">
      <c r="F2979" s="7">
        <f>IF('W rejestracji'!$C$2986="","",'W rejestracji'!$C$2986)</f>
        <v>0</v>
      </c>
      <c r="G2979" s="7">
        <f>IF(Zarejestrowane!$C$2986="","",Zarejestrowane!$C$2986)</f>
        <v>0</v>
      </c>
      <c r="H2979" s="9">
        <f>IF(AND($F2979&lt;&gt;"",ISNUMBER(SEARCH('Nr rejestracyjny'!$F$5,$F2979))),COUNT($H$1:H2978)+1,"")</f>
        <v>0</v>
      </c>
      <c r="I2979" s="9">
        <f>IF(AND($G2979&lt;&gt;"",ISNUMBER(SEARCH('Nr rejestracyjny'!$F$5,$G2979))),COUNT($I$1:I2978)+1,"")</f>
        <v>0</v>
      </c>
    </row>
    <row r="2980" spans="6:9">
      <c r="F2980" s="7">
        <f>IF('W rejestracji'!$C$2987="","",'W rejestracji'!$C$2987)</f>
        <v>0</v>
      </c>
      <c r="G2980" s="7">
        <f>IF(Zarejestrowane!$C$2987="","",Zarejestrowane!$C$2987)</f>
        <v>0</v>
      </c>
      <c r="H2980" s="9">
        <f>IF(AND($F2980&lt;&gt;"",ISNUMBER(SEARCH('Nr rejestracyjny'!$F$5,$F2980))),COUNT($H$1:H2979)+1,"")</f>
        <v>0</v>
      </c>
      <c r="I2980" s="9">
        <f>IF(AND($G2980&lt;&gt;"",ISNUMBER(SEARCH('Nr rejestracyjny'!$F$5,$G2980))),COUNT($I$1:I2979)+1,"")</f>
        <v>0</v>
      </c>
    </row>
    <row r="2981" spans="6:9">
      <c r="F2981" s="7">
        <f>IF('W rejestracji'!$C$2988="","",'W rejestracji'!$C$2988)</f>
        <v>0</v>
      </c>
      <c r="G2981" s="7">
        <f>IF(Zarejestrowane!$C$2988="","",Zarejestrowane!$C$2988)</f>
        <v>0</v>
      </c>
      <c r="H2981" s="9">
        <f>IF(AND($F2981&lt;&gt;"",ISNUMBER(SEARCH('Nr rejestracyjny'!$F$5,$F2981))),COUNT($H$1:H2980)+1,"")</f>
        <v>0</v>
      </c>
      <c r="I2981" s="9">
        <f>IF(AND($G2981&lt;&gt;"",ISNUMBER(SEARCH('Nr rejestracyjny'!$F$5,$G2981))),COUNT($I$1:I2980)+1,"")</f>
        <v>0</v>
      </c>
    </row>
    <row r="2982" spans="6:9">
      <c r="F2982" s="7">
        <f>IF('W rejestracji'!$C$2989="","",'W rejestracji'!$C$2989)</f>
        <v>0</v>
      </c>
      <c r="G2982" s="7">
        <f>IF(Zarejestrowane!$C$2989="","",Zarejestrowane!$C$2989)</f>
        <v>0</v>
      </c>
      <c r="H2982" s="9">
        <f>IF(AND($F2982&lt;&gt;"",ISNUMBER(SEARCH('Nr rejestracyjny'!$F$5,$F2982))),COUNT($H$1:H2981)+1,"")</f>
        <v>0</v>
      </c>
      <c r="I2982" s="9">
        <f>IF(AND($G2982&lt;&gt;"",ISNUMBER(SEARCH('Nr rejestracyjny'!$F$5,$G2982))),COUNT($I$1:I2981)+1,"")</f>
        <v>0</v>
      </c>
    </row>
    <row r="2983" spans="6:9">
      <c r="F2983" s="7">
        <f>IF('W rejestracji'!$C$2990="","",'W rejestracji'!$C$2990)</f>
        <v>0</v>
      </c>
      <c r="G2983" s="7">
        <f>IF(Zarejestrowane!$C$2990="","",Zarejestrowane!$C$2990)</f>
        <v>0</v>
      </c>
      <c r="H2983" s="9">
        <f>IF(AND($F2983&lt;&gt;"",ISNUMBER(SEARCH('Nr rejestracyjny'!$F$5,$F2983))),COUNT($H$1:H2982)+1,"")</f>
        <v>0</v>
      </c>
      <c r="I2983" s="9">
        <f>IF(AND($G2983&lt;&gt;"",ISNUMBER(SEARCH('Nr rejestracyjny'!$F$5,$G2983))),COUNT($I$1:I2982)+1,"")</f>
        <v>0</v>
      </c>
    </row>
    <row r="2984" spans="6:9">
      <c r="F2984" s="7">
        <f>IF('W rejestracji'!$C$2991="","",'W rejestracji'!$C$2991)</f>
        <v>0</v>
      </c>
      <c r="G2984" s="7">
        <f>IF(Zarejestrowane!$C$2991="","",Zarejestrowane!$C$2991)</f>
        <v>0</v>
      </c>
      <c r="H2984" s="9">
        <f>IF(AND($F2984&lt;&gt;"",ISNUMBER(SEARCH('Nr rejestracyjny'!$F$5,$F2984))),COUNT($H$1:H2983)+1,"")</f>
        <v>0</v>
      </c>
      <c r="I2984" s="9">
        <f>IF(AND($G2984&lt;&gt;"",ISNUMBER(SEARCH('Nr rejestracyjny'!$F$5,$G2984))),COUNT($I$1:I2983)+1,"")</f>
        <v>0</v>
      </c>
    </row>
    <row r="2985" spans="6:9">
      <c r="F2985" s="7">
        <f>IF('W rejestracji'!$C$2992="","",'W rejestracji'!$C$2992)</f>
        <v>0</v>
      </c>
      <c r="G2985" s="7">
        <f>IF(Zarejestrowane!$C$2992="","",Zarejestrowane!$C$2992)</f>
        <v>0</v>
      </c>
      <c r="H2985" s="9">
        <f>IF(AND($F2985&lt;&gt;"",ISNUMBER(SEARCH('Nr rejestracyjny'!$F$5,$F2985))),COUNT($H$1:H2984)+1,"")</f>
        <v>0</v>
      </c>
      <c r="I2985" s="9">
        <f>IF(AND($G2985&lt;&gt;"",ISNUMBER(SEARCH('Nr rejestracyjny'!$F$5,$G2985))),COUNT($I$1:I2984)+1,"")</f>
        <v>0</v>
      </c>
    </row>
    <row r="2986" spans="6:9">
      <c r="F2986" s="7">
        <f>IF('W rejestracji'!$C$2993="","",'W rejestracji'!$C$2993)</f>
        <v>0</v>
      </c>
      <c r="G2986" s="7">
        <f>IF(Zarejestrowane!$C$2993="","",Zarejestrowane!$C$2993)</f>
        <v>0</v>
      </c>
      <c r="H2986" s="9">
        <f>IF(AND($F2986&lt;&gt;"",ISNUMBER(SEARCH('Nr rejestracyjny'!$F$5,$F2986))),COUNT($H$1:H2985)+1,"")</f>
        <v>0</v>
      </c>
      <c r="I2986" s="9">
        <f>IF(AND($G2986&lt;&gt;"",ISNUMBER(SEARCH('Nr rejestracyjny'!$F$5,$G2986))),COUNT($I$1:I2985)+1,"")</f>
        <v>0</v>
      </c>
    </row>
    <row r="2987" spans="6:9">
      <c r="F2987" s="7">
        <f>IF('W rejestracji'!$C$2994="","",'W rejestracji'!$C$2994)</f>
        <v>0</v>
      </c>
      <c r="G2987" s="7">
        <f>IF(Zarejestrowane!$C$2994="","",Zarejestrowane!$C$2994)</f>
        <v>0</v>
      </c>
      <c r="H2987" s="9">
        <f>IF(AND($F2987&lt;&gt;"",ISNUMBER(SEARCH('Nr rejestracyjny'!$F$5,$F2987))),COUNT($H$1:H2986)+1,"")</f>
        <v>0</v>
      </c>
      <c r="I2987" s="9">
        <f>IF(AND($G2987&lt;&gt;"",ISNUMBER(SEARCH('Nr rejestracyjny'!$F$5,$G2987))),COUNT($I$1:I2986)+1,"")</f>
        <v>0</v>
      </c>
    </row>
    <row r="2988" spans="6:9">
      <c r="F2988" s="7">
        <f>IF('W rejestracji'!$C$2995="","",'W rejestracji'!$C$2995)</f>
        <v>0</v>
      </c>
      <c r="G2988" s="7">
        <f>IF(Zarejestrowane!$C$2995="","",Zarejestrowane!$C$2995)</f>
        <v>0</v>
      </c>
      <c r="H2988" s="9">
        <f>IF(AND($F2988&lt;&gt;"",ISNUMBER(SEARCH('Nr rejestracyjny'!$F$5,$F2988))),COUNT($H$1:H2987)+1,"")</f>
        <v>0</v>
      </c>
      <c r="I2988" s="9">
        <f>IF(AND($G2988&lt;&gt;"",ISNUMBER(SEARCH('Nr rejestracyjny'!$F$5,$G2988))),COUNT($I$1:I2987)+1,"")</f>
        <v>0</v>
      </c>
    </row>
    <row r="2989" spans="6:9">
      <c r="F2989" s="7">
        <f>IF('W rejestracji'!$C$2996="","",'W rejestracji'!$C$2996)</f>
        <v>0</v>
      </c>
      <c r="G2989" s="7">
        <f>IF(Zarejestrowane!$C$2996="","",Zarejestrowane!$C$2996)</f>
        <v>0</v>
      </c>
      <c r="H2989" s="9">
        <f>IF(AND($F2989&lt;&gt;"",ISNUMBER(SEARCH('Nr rejestracyjny'!$F$5,$F2989))),COUNT($H$1:H2988)+1,"")</f>
        <v>0</v>
      </c>
      <c r="I2989" s="9">
        <f>IF(AND($G2989&lt;&gt;"",ISNUMBER(SEARCH('Nr rejestracyjny'!$F$5,$G2989))),COUNT($I$1:I2988)+1,"")</f>
        <v>0</v>
      </c>
    </row>
    <row r="2990" spans="6:9">
      <c r="F2990" s="7">
        <f>IF('W rejestracji'!$C$2997="","",'W rejestracji'!$C$2997)</f>
        <v>0</v>
      </c>
      <c r="G2990" s="7">
        <f>IF(Zarejestrowane!$C$2997="","",Zarejestrowane!$C$2997)</f>
        <v>0</v>
      </c>
      <c r="H2990" s="9">
        <f>IF(AND($F2990&lt;&gt;"",ISNUMBER(SEARCH('Nr rejestracyjny'!$F$5,$F2990))),COUNT($H$1:H2989)+1,"")</f>
        <v>0</v>
      </c>
      <c r="I2990" s="9">
        <f>IF(AND($G2990&lt;&gt;"",ISNUMBER(SEARCH('Nr rejestracyjny'!$F$5,$G2990))),COUNT($I$1:I2989)+1,"")</f>
        <v>0</v>
      </c>
    </row>
    <row r="2991" spans="6:9">
      <c r="F2991" s="7">
        <f>IF('W rejestracji'!$C$2998="","",'W rejestracji'!$C$2998)</f>
        <v>0</v>
      </c>
      <c r="G2991" s="7">
        <f>IF(Zarejestrowane!$C$2998="","",Zarejestrowane!$C$2998)</f>
        <v>0</v>
      </c>
      <c r="H2991" s="9">
        <f>IF(AND($F2991&lt;&gt;"",ISNUMBER(SEARCH('Nr rejestracyjny'!$F$5,$F2991))),COUNT($H$1:H2990)+1,"")</f>
        <v>0</v>
      </c>
      <c r="I2991" s="9">
        <f>IF(AND($G2991&lt;&gt;"",ISNUMBER(SEARCH('Nr rejestracyjny'!$F$5,$G2991))),COUNT($I$1:I2990)+1,"")</f>
        <v>0</v>
      </c>
    </row>
    <row r="2992" spans="6:9">
      <c r="F2992" s="7">
        <f>IF('W rejestracji'!$C$2999="","",'W rejestracji'!$C$2999)</f>
        <v>0</v>
      </c>
      <c r="G2992" s="7">
        <f>IF(Zarejestrowane!$C$2999="","",Zarejestrowane!$C$2999)</f>
        <v>0</v>
      </c>
      <c r="H2992" s="9">
        <f>IF(AND($F2992&lt;&gt;"",ISNUMBER(SEARCH('Nr rejestracyjny'!$F$5,$F2992))),COUNT($H$1:H2991)+1,"")</f>
        <v>0</v>
      </c>
      <c r="I2992" s="9">
        <f>IF(AND($G2992&lt;&gt;"",ISNUMBER(SEARCH('Nr rejestracyjny'!$F$5,$G2992))),COUNT($I$1:I2991)+1,"")</f>
        <v>0</v>
      </c>
    </row>
    <row r="2993" spans="6:9">
      <c r="F2993" s="7">
        <f>IF('W rejestracji'!$C$3000="","",'W rejestracji'!$C$3000)</f>
        <v>0</v>
      </c>
      <c r="G2993" s="7">
        <f>IF(Zarejestrowane!$C$3000="","",Zarejestrowane!$C$3000)</f>
        <v>0</v>
      </c>
      <c r="H2993" s="9">
        <f>IF(AND($F2993&lt;&gt;"",ISNUMBER(SEARCH('Nr rejestracyjny'!$F$5,$F2993))),COUNT($H$1:H2992)+1,"")</f>
        <v>0</v>
      </c>
      <c r="I2993" s="9">
        <f>IF(AND($G2993&lt;&gt;"",ISNUMBER(SEARCH('Nr rejestracyjny'!$F$5,$G2993))),COUNT($I$1:I2992)+1,"")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PULPIT</vt:lpstr>
      <vt:lpstr>W rejestracji</vt:lpstr>
      <vt:lpstr>Import hurtowy</vt:lpstr>
      <vt:lpstr>Zarejestrowane</vt:lpstr>
      <vt:lpstr>Nr rejestracyjny</vt:lpstr>
      <vt:lpstr>PODSUMOWANIE</vt:lpstr>
      <vt:lpstr>Pilne</vt:lpstr>
      <vt:lpstr>Listy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2026-08-04T08:18:56Z</dcterms:created>
  <dcterms:modified xsi:type="dcterms:W3CDTF">2026-08-04T08:18:56Z</dcterms:modified>
</cp:coreProperties>
</file>